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8D5BD678-E854-4216-9960-94CAF4E7D7D0}" xr6:coauthVersionLast="47" xr6:coauthVersionMax="47" xr10:uidLastSave="{00000000-0000-0000-0000-000000000000}"/>
  <bookViews>
    <workbookView xWindow="-120" yWindow="-120" windowWidth="29040" windowHeight="15840" activeTab="5" xr2:uid="{B51E4793-B208-4265-8850-23D2DD350C21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  <sheet name="Sheet2" sheetId="45" r:id="rId17"/>
  </sheets>
  <functionGroups builtInGroupCount="19"/>
  <definedNames>
    <definedName name="_xlnm._FilterDatabase" localSheetId="2" hidden="1">S.O.A.!$A$1:$D$37</definedName>
    <definedName name="_Toc164143833" localSheetId="5">'FALL Sunday'!$O$11</definedName>
    <definedName name="_Toc164143837" localSheetId="5">'FALL Sunday'!$O$24</definedName>
    <definedName name="_Toc164143839" localSheetId="5">'FALL Sunday'!$O$13</definedName>
    <definedName name="_Toc164143841" localSheetId="5">'FALL Sunday'!$O$25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S.O.A.!$C$135:$C$172</definedName>
    <definedName name="DATFriday">'DAT Friday'!$A$5</definedName>
    <definedName name="DATFridayCols">Scrap!$D$7</definedName>
    <definedName name="DATFridayRows">Scrap!$C$7</definedName>
    <definedName name="DATPreShow">S.O.A.!$A$95:$D$127</definedName>
    <definedName name="DATPreshowTaskClubs">S.O.A.!$D$95:$D$127</definedName>
    <definedName name="DATPreshowTaskHours">S.O.A.!$C$95:$C$127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Friday">'FALL Friday'!$A$5</definedName>
    <definedName name="FALLSaturday">'FALL Saturday'!$A$5</definedName>
    <definedName name="FALLSaturdayRows">Scrap!$C$5</definedName>
    <definedName name="FALLSunday">'FALL Sunday'!$A$5</definedName>
    <definedName name="GrandTotalHours">S.O.A.!$C$177</definedName>
    <definedName name="HoursPerShare">Participants!$C$38</definedName>
    <definedName name="HTSDayWorkHours">S.O.A.!$C$45:$C$84</definedName>
    <definedName name="HTSFridayCols">Scrap!$D$4</definedName>
    <definedName name="HTSFridayRows">Scrap!$C$4</definedName>
    <definedName name="HTSPreShow">S.O.A.!$A$5:$D$38</definedName>
    <definedName name="HTSPreshowTaskClubs">S.O.A.!$D$5:$D$38</definedName>
    <definedName name="HTSPreshowTaskHours">S.O.A.!$C$5:$C$38</definedName>
    <definedName name="HTSSaturdayCols">Scrap!$D$5</definedName>
    <definedName name="HTSSaturdayRows">Scrap!$C$5</definedName>
    <definedName name="HTSSundayCols">Scrap!$D$6</definedName>
    <definedName name="HTSSundayRows">Scrap!$C$6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6">'DAT Friday'!$A$1:$Q$13</definedName>
    <definedName name="_xlnm.Print_Area" localSheetId="7">'DAT Saturday'!$A$1:$L$28</definedName>
    <definedName name="_xlnm.Print_Area" localSheetId="8">'DAT Sunday'!$A$1:$K$31</definedName>
    <definedName name="_xlnm.Print_Area" localSheetId="3">'FALL Friday'!$A$1:$Q$12</definedName>
    <definedName name="_xlnm.Print_Area" localSheetId="4">'FALL Saturday'!$A$1:$L$30</definedName>
    <definedName name="_xlnm.Print_Area" localSheetId="5">'FALL Sunday'!$A$1:$L$31</definedName>
    <definedName name="_xlnm.Print_Area" localSheetId="0">Participants!$A$2:$F$38</definedName>
    <definedName name="_xlnm.Print_Area" localSheetId="2">S.O.A.!$A$1:$E$177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</definedNames>
  <calcPr calcId="191029" calcMode="manual"/>
</workbook>
</file>

<file path=xl/calcChain.xml><?xml version="1.0" encoding="utf-8"?>
<calcChain xmlns="http://schemas.openxmlformats.org/spreadsheetml/2006/main">
  <c r="E8" i="37" l="1"/>
  <c r="C8" i="37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B8" i="37"/>
  <c r="D8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E3" i="28" s="1"/>
  <c r="B2" i="1"/>
  <c r="B3" i="1"/>
  <c r="C39" i="1"/>
  <c r="B43" i="1"/>
  <c r="B44" i="1"/>
  <c r="C85" i="1"/>
  <c r="D85" i="1"/>
  <c r="B93" i="1"/>
  <c r="B94" i="1"/>
  <c r="C94" i="1"/>
  <c r="D94" i="1"/>
  <c r="B103" i="1"/>
  <c r="C128" i="1"/>
  <c r="B132" i="1"/>
  <c r="B133" i="1"/>
  <c r="C173" i="1"/>
  <c r="D173" i="1"/>
  <c r="B5" i="2"/>
  <c r="C34" i="2"/>
  <c r="E36" i="2"/>
  <c r="C175" i="1"/>
  <c r="D7" i="38"/>
  <c r="D8" i="38"/>
  <c r="C7" i="38"/>
  <c r="C8" i="38"/>
  <c r="D9" i="38"/>
  <c r="C4" i="38"/>
  <c r="C9" i="38"/>
  <c r="C6" i="38"/>
  <c r="H4" i="38" l="1"/>
  <c r="C87" i="1"/>
  <c r="C177" i="1" s="1"/>
  <c r="C36" i="2" s="1"/>
  <c r="F8" i="37"/>
  <c r="D8" i="2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38" i="2" l="1"/>
</calcChain>
</file>

<file path=xl/sharedStrings.xml><?xml version="1.0" encoding="utf-8"?>
<sst xmlns="http://schemas.openxmlformats.org/spreadsheetml/2006/main" count="2009" uniqueCount="375">
  <si>
    <t>Current</t>
  </si>
  <si>
    <t>RESPONSIBLE</t>
  </si>
  <si>
    <t>Task Code</t>
  </si>
  <si>
    <t>Task Definition</t>
  </si>
  <si>
    <t>Hours</t>
  </si>
  <si>
    <t>CLUB</t>
  </si>
  <si>
    <t>A</t>
  </si>
  <si>
    <t>Leasing Facility (4)</t>
  </si>
  <si>
    <t>TNT</t>
  </si>
  <si>
    <t>B</t>
  </si>
  <si>
    <t>Facility Liason (2)</t>
  </si>
  <si>
    <t>C</t>
  </si>
  <si>
    <t>Advance Publicity (2)</t>
  </si>
  <si>
    <t>D</t>
  </si>
  <si>
    <t>Flyer creation/Duplication (2)</t>
  </si>
  <si>
    <t>E</t>
  </si>
  <si>
    <t>PSA Mailings (6)</t>
  </si>
  <si>
    <t>LM</t>
  </si>
  <si>
    <t>F1</t>
  </si>
  <si>
    <t>Flyer Mailouts (4) - out of town dealers</t>
  </si>
  <si>
    <t>F2</t>
  </si>
  <si>
    <t>Flyer Mailouts (7) - Local mailing list</t>
  </si>
  <si>
    <t>F3</t>
  </si>
  <si>
    <t>Email flyer distribution</t>
  </si>
  <si>
    <t>DA</t>
  </si>
  <si>
    <t>G</t>
  </si>
  <si>
    <t>TREX</t>
  </si>
  <si>
    <t>H</t>
  </si>
  <si>
    <t>Make Up/Print/Mail Contracts (3)</t>
  </si>
  <si>
    <t>NTNT</t>
  </si>
  <si>
    <t>I</t>
  </si>
  <si>
    <t>Compile and maintain Dealer Lists (4)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</si>
  <si>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</si>
  <si>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</si>
  <si>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</si>
  <si>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</si>
  <si>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</si>
  <si>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</si>
  <si>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</si>
  <si>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</si>
  <si>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Dealer Layout/Space Assignment (Friday) (5)</t>
  </si>
  <si>
    <t>N</t>
  </si>
  <si>
    <t>Ass't Space Assign/Floor Walker (Friday) (5)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</si>
  <si>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</si>
  <si>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</si>
  <si>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</si>
  <si>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</si>
  <si>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</si>
  <si>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</si>
  <si>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</si>
  <si>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</si>
  <si>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</si>
  <si>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Tour Brouchure Creation/Duplication (9)</t>
  </si>
  <si>
    <t>S</t>
  </si>
  <si>
    <t>Arranging for Switching Layout (1)</t>
  </si>
  <si>
    <t>TNOR</t>
  </si>
  <si>
    <t xml:space="preserve">T </t>
  </si>
  <si>
    <t>Cash Box setup/Change (4)</t>
  </si>
  <si>
    <t>U</t>
  </si>
  <si>
    <t>Getting Tickets (1)</t>
  </si>
  <si>
    <t>W</t>
  </si>
  <si>
    <t>Interior Sign Creation/Setup (2)</t>
  </si>
  <si>
    <t>X</t>
  </si>
  <si>
    <t>Arranging for Door Prizes (2)</t>
  </si>
  <si>
    <t>Y</t>
  </si>
  <si>
    <t>Phone Calls on Show Days</t>
  </si>
  <si>
    <t>Z1</t>
  </si>
  <si>
    <t>Z2</t>
  </si>
  <si>
    <t>ET</t>
  </si>
  <si>
    <t>AA</t>
  </si>
  <si>
    <t>PP</t>
  </si>
  <si>
    <t>Maintaining Web Site</t>
  </si>
  <si>
    <t>Total F/W Pre Show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</si>
  <si>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</si>
  <si>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</si>
  <si>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</si>
  <si>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</si>
  <si>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</si>
  <si>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</si>
  <si>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</si>
  <si>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</si>
  <si>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</si>
  <si>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</si>
  <si>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</si>
  <si>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</si>
  <si>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</si>
  <si>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Total Fort Worth Show</t>
  </si>
  <si>
    <t>TEXN</t>
  </si>
  <si>
    <t>Fyer Mailouts - Out of Town</t>
  </si>
  <si>
    <t>Fyer Mailouts - Local Mailing</t>
  </si>
  <si>
    <t>Maintain Dealer List</t>
  </si>
  <si>
    <t>Contracting With Dealers (2)</t>
  </si>
  <si>
    <t>Work Assignment Task Chart</t>
  </si>
  <si>
    <t>Arranging Clinic Schedules and Signs (6)</t>
  </si>
  <si>
    <t>Cash Box setup/Change (2)</t>
  </si>
  <si>
    <t>Phone Calls Show Days</t>
  </si>
  <si>
    <t>Total Dallas Pre Show Hours</t>
  </si>
  <si>
    <t>HHE</t>
  </si>
  <si>
    <t>HHW</t>
  </si>
  <si>
    <t>Sat Night Security to Clear Building</t>
  </si>
  <si>
    <t>QQ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</si>
  <si>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</si>
  <si>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</si>
  <si>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</si>
  <si>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</si>
  <si>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</si>
  <si>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</si>
  <si>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</si>
  <si>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</si>
  <si>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</si>
  <si>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</si>
  <si>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</si>
  <si>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</si>
  <si>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</si>
  <si>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</si>
  <si>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</si>
  <si>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</si>
  <si>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</si>
  <si>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</si>
  <si>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</si>
  <si>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</si>
  <si>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</si>
  <si>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</si>
  <si>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</si>
  <si>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</si>
  <si>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</si>
  <si>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Overnight Security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</si>
  <si>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</si>
  <si>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</si>
  <si>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</si>
  <si>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</si>
  <si>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</si>
  <si>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</si>
  <si>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</si>
  <si>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</si>
  <si>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</si>
  <si>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</si>
  <si>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</si>
  <si>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EE1</t>
  </si>
  <si>
    <t>Total</t>
  </si>
  <si>
    <t>CC1Sun</t>
  </si>
  <si>
    <t>CC1Sat</t>
  </si>
  <si>
    <t>CC2Sat</t>
  </si>
  <si>
    <t>CC2Sun</t>
  </si>
  <si>
    <t>EE2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</si>
  <si>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</si>
  <si>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</si>
  <si>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</si>
  <si>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</si>
  <si>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</si>
  <si>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</si>
  <si>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</si>
  <si>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</si>
  <si>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</si>
  <si>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</si>
  <si>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</si>
  <si>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</si>
  <si>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</si>
  <si>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</si>
  <si>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</si>
  <si>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JJ2West</t>
  </si>
  <si>
    <t>MMSat</t>
  </si>
  <si>
    <t>MMSun</t>
  </si>
  <si>
    <t>PLANO FRIDAY</t>
  </si>
  <si>
    <t>PLANO SATURDAY</t>
  </si>
  <si>
    <t>PLANO SUNDAY</t>
  </si>
  <si>
    <t xml:space="preserve">Dealer Layout/Space Assignment </t>
  </si>
  <si>
    <t xml:space="preserve">Ass't Space Assign/Floor Walker 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</si>
  <si>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</si>
  <si>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</si>
  <si>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</si>
  <si>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</si>
  <si>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</si>
  <si>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</si>
  <si>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</si>
  <si>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</si>
  <si>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</si>
  <si>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</si>
  <si>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</si>
  <si>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</si>
  <si>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</si>
  <si>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</si>
  <si>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Pre-HTS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</si>
  <si>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</si>
  <si>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</si>
  <si>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</si>
  <si>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</si>
  <si>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</si>
  <si>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</si>
  <si>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</si>
  <si>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</si>
  <si>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</si>
  <si>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</si>
  <si>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</si>
  <si>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</si>
  <si>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</si>
  <si>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</si>
  <si>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</si>
  <si>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</si>
  <si>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</si>
  <si>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</si>
  <si>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</si>
  <si>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</si>
  <si>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</si>
  <si>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</si>
  <si>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</si>
  <si>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</si>
  <si>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Overnight Security Saturday</t>
  </si>
  <si>
    <t>Assistant Show Manager Sat</t>
  </si>
  <si>
    <t>Assistant Show Manager Sun</t>
  </si>
  <si>
    <t>Dealer Setup Saturday</t>
  </si>
  <si>
    <t>Money Management/Change Sat</t>
  </si>
  <si>
    <t>Money Management/Change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</si>
  <si>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</si>
  <si>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</si>
  <si>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</si>
  <si>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</si>
  <si>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</si>
  <si>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</si>
  <si>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</si>
  <si>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</si>
  <si>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</si>
  <si>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</si>
  <si>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</si>
  <si>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</si>
  <si>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</si>
  <si>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</si>
  <si>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</si>
  <si>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</si>
  <si>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Layout Tour Support Table East Sat</t>
  </si>
  <si>
    <t>Layout Tour Support Table West Sat</t>
  </si>
  <si>
    <t>Layout Tour Support Table East Sun</t>
  </si>
  <si>
    <t>Layout Tour Support Table West Sun</t>
  </si>
  <si>
    <t>Post Show Parking Attendants Sun</t>
  </si>
  <si>
    <t>JJ1East</t>
  </si>
  <si>
    <t>JJ1West</t>
  </si>
  <si>
    <t>Publicist</t>
  </si>
  <si>
    <t>Plano Pre-Show Hours</t>
  </si>
  <si>
    <t>Plano Day Work Hours</t>
  </si>
  <si>
    <t>Diff</t>
  </si>
  <si>
    <t>Subtotals Plano Pre-Show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</si>
  <si>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</si>
  <si>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</si>
  <si>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</si>
  <si>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</si>
  <si>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</si>
  <si>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</si>
  <si>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</si>
  <si>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</si>
  <si>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</si>
  <si>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</si>
  <si>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</si>
  <si>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</si>
  <si>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</si>
  <si>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Preshow task</t>
  </si>
  <si>
    <t>Issue:</t>
  </si>
  <si>
    <t>HTS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</si>
  <si>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</si>
  <si>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</si>
  <si>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</si>
  <si>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</si>
  <si>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</si>
  <si>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</si>
  <si>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</si>
  <si>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</si>
  <si>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</si>
  <si>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</si>
  <si>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</si>
  <si>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</si>
  <si>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</si>
  <si>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</si>
  <si>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</si>
  <si>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</si>
  <si>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</si>
  <si>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</si>
  <si>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</si>
  <si>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Tour Brochure Creation/Duplication (9)</t>
  </si>
  <si>
    <t>F4</t>
  </si>
  <si>
    <t>Survey Data</t>
  </si>
  <si>
    <t>1P if possible, Plano only (4 HOURS IN FT. WORTH) Do not double hours</t>
  </si>
  <si>
    <t>R1</t>
  </si>
  <si>
    <t>Tour Brouchure Advertising</t>
  </si>
  <si>
    <t>Tour Brochure Advertising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</si>
  <si>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</si>
  <si>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</si>
  <si>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</si>
  <si>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</si>
  <si>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</si>
  <si>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</si>
  <si>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</si>
  <si>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</si>
  <si>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</si>
  <si>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</si>
  <si>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</si>
  <si>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</si>
  <si>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</si>
  <si>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</si>
  <si>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</si>
  <si>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</si>
  <si>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</si>
  <si>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</si>
  <si>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</si>
  <si>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</si>
  <si>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</si>
  <si>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</si>
  <si>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</si>
  <si>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</si>
  <si>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>Plano Fall TS</t>
  </si>
  <si>
    <t xml:space="preserve">PLANO Winter Show Day Work Assignments </t>
  </si>
  <si>
    <t>Plano Fall Show</t>
  </si>
  <si>
    <t>Plano Fall TS Friday</t>
  </si>
  <si>
    <t>BB1</t>
  </si>
  <si>
    <t>Dealer Setup Friday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</si>
  <si>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</si>
  <si>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</si>
  <si>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</si>
  <si>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</si>
  <si>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</si>
  <si>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</si>
  <si>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</si>
  <si>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</si>
  <si>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</si>
  <si>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</si>
  <si>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</si>
  <si>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</si>
  <si>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</si>
  <si>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</si>
  <si>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</si>
  <si>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</si>
  <si>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</si>
  <si>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</si>
  <si>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</si>
  <si>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Friday 9/29/2023</t>
  </si>
  <si>
    <t>Saturday 9/30/2023</t>
  </si>
  <si>
    <t>Sunday 10/1/2023</t>
  </si>
  <si>
    <t>Friday 01/19/2024</t>
  </si>
  <si>
    <t>Saturday 01/20/2024</t>
  </si>
  <si>
    <t>Sunday 01/21/2024</t>
  </si>
  <si>
    <t/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</si>
  <si>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</si>
  <si>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</si>
  <si>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</si>
  <si>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</si>
  <si>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</si>
  <si>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</si>
  <si>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</si>
  <si>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</si>
  <si>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</si>
  <si>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</si>
  <si>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</si>
  <si>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</si>
  <si>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</si>
  <si>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</si>
  <si>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</si>
  <si>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</si>
  <si>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</si>
  <si>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>Version 2   September 2024</t>
  </si>
  <si>
    <t>2024 Show Season V1 7/22/2024</t>
  </si>
  <si>
    <t xml:space="preserve"> </t>
  </si>
  <si>
    <t>FALL pre-show</t>
  </si>
  <si>
    <t>FALL day work</t>
  </si>
  <si>
    <t>Fort Worth Pre-Show Hours</t>
  </si>
  <si>
    <t>Subtotals Fort Worth Pre-Show</t>
  </si>
  <si>
    <t>Fort Worth Day Work Hours</t>
  </si>
  <si>
    <t>Subtotals Fort Worth Day Work</t>
  </si>
  <si>
    <t>Totals Fort Worth</t>
  </si>
  <si>
    <t>Task</t>
  </si>
  <si>
    <t>DOOR Control</t>
  </si>
  <si>
    <t>Layout Tour Support Table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</si>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</sst>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mm\ d\,\ yyyy"/>
    <numFmt numFmtId="166" formatCode="##0"/>
    <numFmt numFmtId="167" formatCode="0.000"/>
    <numFmt numFmtId="168" formatCode="[$-409]d\-mmm\-yy;@"/>
  </numFmts>
  <fonts count="31" x14ac:knownFonts="1">
    <font>
      <sz val="10"/>
      <name val="Arial"/>
    </font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272">
    <xf numFmtId="0" fontId="0" fillId="0" borderId="0" xfId="0"/>
    <xf numFmtId="0" fontId="0" fillId="0" borderId="1" xfId="0" applyBorder="1" applyAlignment="1">
      <alignment horizontal="left"/>
    </xf>
    <xf numFmtId="14" fontId="0" fillId="0" borderId="2" xfId="0" applyNumberFormat="1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left"/>
    </xf>
    <xf numFmtId="0" fontId="2" fillId="0" borderId="2" xfId="0" applyFont="1" applyBorder="1"/>
    <xf numFmtId="0" fontId="3" fillId="0" borderId="3" xfId="0" applyFont="1" applyBorder="1" applyAlignment="1">
      <alignment horizontal="left"/>
    </xf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4" fillId="0" borderId="5" xfId="0" applyFont="1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Border="1" applyAlignment="1">
      <alignment horizontal="right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0" borderId="18" xfId="0" applyFont="1" applyBorder="1" applyProtection="1">
      <protection locked="0"/>
    </xf>
    <xf numFmtId="0" fontId="8" fillId="0" borderId="0" xfId="0" applyFont="1" applyProtection="1">
      <protection locked="0"/>
    </xf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8" fillId="0" borderId="19" xfId="0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21" xfId="0" applyFont="1" applyBorder="1" applyProtection="1">
      <protection locked="0"/>
    </xf>
    <xf numFmtId="0" fontId="0" fillId="3" borderId="0" xfId="0" applyFill="1"/>
    <xf numFmtId="0" fontId="8" fillId="3" borderId="9" xfId="0" applyFont="1" applyFill="1" applyBorder="1"/>
    <xf numFmtId="0" fontId="8" fillId="0" borderId="9" xfId="0" applyFont="1" applyBorder="1" applyProtection="1">
      <protection locked="0"/>
    </xf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5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5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5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/>
    <xf numFmtId="49" fontId="4" fillId="0" borderId="0" xfId="0" applyNumberFormat="1" applyFont="1"/>
    <xf numFmtId="49" fontId="3" fillId="0" borderId="0" xfId="0" applyNumberFormat="1" applyFont="1"/>
    <xf numFmtId="0" fontId="0" fillId="0" borderId="0" xfId="0" applyAlignment="1">
      <alignment horizontal="right"/>
    </xf>
    <xf numFmtId="0" fontId="2" fillId="5" borderId="9" xfId="0" applyFont="1" applyFill="1" applyBorder="1" applyAlignment="1">
      <alignment horizontal="center"/>
    </xf>
    <xf numFmtId="49" fontId="3" fillId="0" borderId="26" xfId="0" applyNumberFormat="1" applyFont="1" applyBorder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6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2" fillId="4" borderId="0" xfId="0" applyFont="1" applyFill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0" fillId="0" borderId="0" xfId="0" applyNumberFormat="1" applyAlignment="1">
      <alignment horizontal="right"/>
    </xf>
    <xf numFmtId="167" fontId="0" fillId="0" borderId="1" xfId="0" applyNumberFormat="1" applyBorder="1" applyAlignment="1">
      <alignment horizontal="right"/>
    </xf>
    <xf numFmtId="167" fontId="6" fillId="0" borderId="3" xfId="0" applyNumberFormat="1" applyFont="1" applyBorder="1" applyAlignment="1">
      <alignment horizontal="right"/>
    </xf>
    <xf numFmtId="167" fontId="0" fillId="0" borderId="16" xfId="0" applyNumberFormat="1" applyBorder="1" applyAlignment="1">
      <alignment horizontal="right"/>
    </xf>
    <xf numFmtId="167" fontId="1" fillId="0" borderId="0" xfId="0" applyNumberFormat="1" applyFont="1" applyAlignment="1">
      <alignment horizontal="right"/>
    </xf>
    <xf numFmtId="0" fontId="0" fillId="0" borderId="3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31" xfId="0" applyBorder="1"/>
    <xf numFmtId="0" fontId="0" fillId="0" borderId="26" xfId="0" applyBorder="1"/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center"/>
    </xf>
    <xf numFmtId="0" fontId="4" fillId="0" borderId="15" xfId="0" applyFont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26" xfId="0" applyBorder="1" applyAlignment="1">
      <alignment horizontal="right"/>
    </xf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7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7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7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167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3" fillId="0" borderId="37" xfId="0" applyFont="1" applyBorder="1" applyAlignment="1">
      <alignment horizontal="center"/>
    </xf>
    <xf numFmtId="0" fontId="5" fillId="0" borderId="38" xfId="0" applyFont="1" applyBorder="1"/>
    <xf numFmtId="0" fontId="3" fillId="0" borderId="38" xfId="0" applyFont="1" applyBorder="1" applyAlignment="1">
      <alignment textRotation="255"/>
    </xf>
    <xf numFmtId="0" fontId="0" fillId="0" borderId="38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3" fillId="0" borderId="11" xfId="0" applyFont="1" applyBorder="1" applyAlignment="1">
      <alignment horizontal="right"/>
    </xf>
    <xf numFmtId="0" fontId="3" fillId="0" borderId="38" xfId="0" applyFont="1" applyBorder="1"/>
    <xf numFmtId="0" fontId="0" fillId="0" borderId="38" xfId="0" applyBorder="1"/>
    <xf numFmtId="164" fontId="3" fillId="0" borderId="26" xfId="0" applyNumberFormat="1" applyFont="1" applyBorder="1" applyAlignment="1">
      <alignment horizontal="right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0" fillId="5" borderId="0" xfId="1" applyFill="1" applyAlignment="1" applyProtection="1">
      <protection locked="0"/>
    </xf>
    <xf numFmtId="0" fontId="0" fillId="4" borderId="0" xfId="0" applyFill="1" applyAlignment="1">
      <alignment horizontal="center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6" fontId="8" fillId="0" borderId="0" xfId="0" applyNumberFormat="1" applyFont="1"/>
    <xf numFmtId="0" fontId="0" fillId="6" borderId="15" xfId="0" applyFill="1" applyBorder="1" applyAlignment="1">
      <alignment horizontal="center"/>
    </xf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7" fontId="22" fillId="0" borderId="0" xfId="0" applyNumberFormat="1" applyFont="1" applyAlignment="1">
      <alignment horizontal="right"/>
    </xf>
    <xf numFmtId="167" fontId="23" fillId="0" borderId="0" xfId="0" applyNumberFormat="1" applyFont="1" applyAlignment="1">
      <alignment horizontal="right"/>
    </xf>
    <xf numFmtId="167" fontId="24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167" fontId="18" fillId="0" borderId="0" xfId="0" applyNumberFormat="1" applyFont="1" applyAlignment="1">
      <alignment horizontal="center"/>
    </xf>
    <xf numFmtId="167" fontId="26" fillId="0" borderId="3" xfId="0" applyNumberFormat="1" applyFont="1" applyBorder="1" applyAlignment="1">
      <alignment horizontal="right"/>
    </xf>
    <xf numFmtId="167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3" fillId="0" borderId="40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164" fontId="4" fillId="0" borderId="11" xfId="0" applyNumberFormat="1" applyFont="1" applyBorder="1"/>
    <xf numFmtId="164" fontId="27" fillId="0" borderId="11" xfId="0" applyNumberFormat="1" applyFont="1" applyBorder="1"/>
    <xf numFmtId="168" fontId="2" fillId="0" borderId="0" xfId="0" applyNumberFormat="1" applyFont="1"/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167" fontId="0" fillId="5" borderId="0" xfId="0" applyNumberFormat="1" applyFill="1" applyProtection="1">
      <protection locked="0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1" xfId="0" applyFont="1" applyBorder="1"/>
    <xf numFmtId="0" fontId="8" fillId="0" borderId="11" xfId="0" applyFont="1" applyBorder="1"/>
    <xf numFmtId="0" fontId="0" fillId="7" borderId="15" xfId="0" applyFill="1" applyBorder="1" applyAlignment="1">
      <alignment horizontal="center"/>
    </xf>
    <xf numFmtId="49" fontId="29" fillId="5" borderId="0" xfId="0" applyNumberFormat="1" applyFont="1" applyFill="1" applyAlignment="1">
      <alignment horizontal="center" vertical="center"/>
    </xf>
    <xf numFmtId="0" fontId="0" fillId="0" borderId="41" xfId="0" applyBorder="1" applyAlignment="1">
      <alignment textRotation="255"/>
    </xf>
    <xf numFmtId="0" fontId="0" fillId="0" borderId="15" xfId="0" applyBorder="1"/>
    <xf numFmtId="0" fontId="0" fillId="0" borderId="32" xfId="0" applyBorder="1"/>
    <xf numFmtId="0" fontId="0" fillId="0" borderId="42" xfId="0" applyBorder="1"/>
    <xf numFmtId="0" fontId="0" fillId="0" borderId="41" xfId="0" applyBorder="1"/>
    <xf numFmtId="0" fontId="14" fillId="8" borderId="0" xfId="0" applyFont="1" applyFill="1" applyAlignment="1">
      <alignment horizontal="center" vertical="center"/>
    </xf>
    <xf numFmtId="0" fontId="14" fillId="8" borderId="0" xfId="0" applyFont="1" applyFill="1"/>
    <xf numFmtId="0" fontId="2" fillId="8" borderId="0" xfId="0" applyFont="1" applyFill="1" applyAlignment="1">
      <alignment vertical="center"/>
    </xf>
    <xf numFmtId="0" fontId="0" fillId="9" borderId="0" xfId="0" applyFill="1"/>
    <xf numFmtId="0" fontId="0" fillId="9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8" fillId="3" borderId="11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167" fontId="4" fillId="0" borderId="0" xfId="0" applyNumberFormat="1" applyFont="1" applyAlignment="1">
      <alignment horizontal="right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49" fontId="4" fillId="0" borderId="25" xfId="0" applyNumberFormat="1" applyFont="1" applyBorder="1"/>
    <xf numFmtId="0" fontId="8" fillId="10" borderId="11" xfId="0" applyFont="1" applyFill="1" applyBorder="1" applyAlignment="1" applyProtection="1">
      <alignment horizontal="center"/>
      <protection locked="0"/>
    </xf>
    <xf numFmtId="0" fontId="8" fillId="0" borderId="11" xfId="0" applyFont="1" applyBorder="1" applyProtection="1">
      <protection locked="0"/>
    </xf>
    <xf numFmtId="0" fontId="8" fillId="11" borderId="11" xfId="0" applyFont="1" applyFill="1" applyBorder="1"/>
    <xf numFmtId="0" fontId="8" fillId="0" borderId="9" xfId="0" applyFont="1" applyBorder="1"/>
    <xf numFmtId="0" fontId="8" fillId="0" borderId="18" xfId="0" applyFont="1" applyBorder="1"/>
    <xf numFmtId="0" fontId="12" fillId="0" borderId="18" xfId="0" applyFont="1" applyBorder="1" applyProtection="1">
      <protection locked="0"/>
    </xf>
    <xf numFmtId="0" fontId="8" fillId="11" borderId="18" xfId="0" applyFont="1" applyFill="1" applyBorder="1" applyProtection="1">
      <protection locked="0"/>
    </xf>
    <xf numFmtId="0" fontId="8" fillId="0" borderId="18" xfId="0" quotePrefix="1" applyFont="1" applyBorder="1" applyProtection="1">
      <protection locked="0"/>
    </xf>
    <xf numFmtId="0" fontId="8" fillId="11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2" fillId="11" borderId="18" xfId="0" applyFont="1" applyFill="1" applyBorder="1" applyProtection="1">
      <protection locked="0"/>
    </xf>
    <xf numFmtId="0" fontId="8" fillId="11" borderId="9" xfId="0" applyFont="1" applyFill="1" applyBorder="1" applyProtection="1">
      <protection locked="0"/>
    </xf>
    <xf numFmtId="0" fontId="8" fillId="0" borderId="18" xfId="0" applyFont="1" applyBorder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12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12" borderId="0" xfId="0" applyFill="1"/>
    <xf numFmtId="0" fontId="0" fillId="13" borderId="11" xfId="0" applyFill="1" applyBorder="1" applyAlignment="1">
      <alignment horizontal="center"/>
    </xf>
    <xf numFmtId="0" fontId="30" fillId="4" borderId="0" xfId="0" applyFont="1" applyFill="1" applyAlignment="1">
      <alignment horizontal="center"/>
    </xf>
    <xf numFmtId="0" fontId="8" fillId="12" borderId="0" xfId="0" applyFont="1" applyFill="1"/>
    <xf numFmtId="0" fontId="8" fillId="12" borderId="0" xfId="0" applyFont="1" applyFill="1" applyProtection="1">
      <protection locked="0"/>
    </xf>
    <xf numFmtId="0" fontId="8" fillId="12" borderId="18" xfId="0" applyFont="1" applyFill="1" applyBorder="1" applyProtection="1">
      <protection locked="0"/>
    </xf>
    <xf numFmtId="167" fontId="6" fillId="0" borderId="0" xfId="0" applyNumberFormat="1" applyFont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9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1" xfId="0" applyFont="1" applyFill="1" applyBorder="1" applyProtection="1">
      <protection locked="0"/>
    </xf>
    <xf numFmtId="0" fontId="8" fillId="0" borderId="11" xfId="0" applyFont="1" applyFill="1" applyBorder="1"/>
    <xf numFmtId="0" fontId="8" fillId="12" borderId="11" xfId="0" applyFont="1" applyFill="1" applyBorder="1"/>
    <xf numFmtId="0" fontId="8" fillId="0" borderId="0" xfId="0" applyFont="1" applyFill="1" applyProtection="1">
      <protection locked="0"/>
    </xf>
    <xf numFmtId="0" fontId="8" fillId="0" borderId="18" xfId="0" applyFont="1" applyFill="1" applyBorder="1" applyProtection="1">
      <protection locked="0"/>
    </xf>
    <xf numFmtId="0" fontId="8" fillId="0" borderId="0" xfId="0" applyFont="1" applyFill="1"/>
    <xf numFmtId="0" fontId="12" fillId="0" borderId="18" xfId="0" applyFont="1" applyFill="1" applyBorder="1" applyProtection="1">
      <protection locked="0"/>
    </xf>
    <xf numFmtId="0" fontId="0" fillId="11" borderId="15" xfId="0" applyFill="1" applyBorder="1" applyAlignment="1">
      <alignment horizontal="center"/>
    </xf>
    <xf numFmtId="0" fontId="12" fillId="0" borderId="0" xfId="0" applyFont="1" applyFill="1" applyProtection="1">
      <protection locked="0"/>
    </xf>
    <xf numFmtId="0" fontId="4" fillId="0" borderId="0" xfId="0" quotePrefix="1" applyFont="1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HTS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HTS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A4" workbookViewId="0">
      <selection activeCell="E9" sqref="E9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3" customWidth="1"/>
    <col min="6" max="6" width="11.42578125" style="109" customWidth="1"/>
    <col min="7" max="7" width="33.5703125" style="184" customWidth="1"/>
    <col min="8" max="8" width="86.42578125" customWidth="1"/>
    <col min="9" max="9" width="12.28515625" bestFit="1" customWidth="1"/>
  </cols>
  <sheetData>
    <row r="1" spans="1:18" x14ac:dyDescent="0.2">
      <c r="A1" s="102"/>
      <c r="B1" s="101"/>
      <c r="C1" s="29"/>
      <c r="D1" s="30"/>
      <c r="E1" s="114"/>
      <c r="F1" s="110"/>
      <c r="G1" s="113"/>
      <c r="K1" s="3"/>
    </row>
    <row r="2" spans="1:18" ht="18" x14ac:dyDescent="0.25">
      <c r="A2" s="257" t="s">
        <v>102</v>
      </c>
      <c r="B2" s="258"/>
      <c r="C2" s="258"/>
      <c r="D2" s="259"/>
      <c r="E2" s="104"/>
      <c r="F2" s="111"/>
      <c r="G2" s="181"/>
      <c r="H2" s="18"/>
      <c r="I2" s="18"/>
      <c r="J2" s="18"/>
      <c r="K2" s="18"/>
      <c r="L2" t="s">
        <v>356</v>
      </c>
    </row>
    <row r="3" spans="1:18" ht="18" x14ac:dyDescent="0.25">
      <c r="A3" s="257"/>
      <c r="B3" s="258"/>
      <c r="C3" s="258"/>
      <c r="D3" s="259"/>
      <c r="E3" s="104"/>
      <c r="F3" s="111"/>
      <c r="G3" s="181"/>
      <c r="H3" s="18"/>
      <c r="I3" s="18"/>
      <c r="J3" s="18"/>
      <c r="K3" s="18"/>
      <c r="L3" t="s">
        <v>355</v>
      </c>
    </row>
    <row r="4" spans="1:18" ht="18" x14ac:dyDescent="0.25">
      <c r="A4" s="36"/>
      <c r="B4" s="18"/>
      <c r="C4" s="18"/>
      <c r="D4" s="35"/>
      <c r="E4" s="104"/>
      <c r="F4" s="111"/>
      <c r="G4" s="181"/>
      <c r="H4" s="18"/>
      <c r="I4" s="18"/>
      <c r="J4" s="18"/>
      <c r="K4" s="18"/>
    </row>
    <row r="5" spans="1:18" ht="16.5" thickBot="1" x14ac:dyDescent="0.3">
      <c r="A5" s="131"/>
      <c r="B5" s="132" t="str">
        <f>Issue</f>
        <v>2024 Show Season V1 7/22/2024</v>
      </c>
      <c r="C5" s="200" t="s">
        <v>330</v>
      </c>
      <c r="D5" s="133"/>
      <c r="E5" s="134"/>
      <c r="F5" s="135"/>
      <c r="G5" s="182"/>
      <c r="K5" s="3"/>
    </row>
    <row r="6" spans="1:18" ht="16.5" thickBot="1" x14ac:dyDescent="0.3">
      <c r="A6" s="131"/>
      <c r="B6" s="132"/>
      <c r="C6" s="150" t="s">
        <v>103</v>
      </c>
      <c r="D6" s="133"/>
      <c r="E6" s="136" t="s">
        <v>4</v>
      </c>
      <c r="F6" s="137"/>
      <c r="G6" s="183"/>
      <c r="H6" s="149" t="s">
        <v>255</v>
      </c>
      <c r="I6" s="260" t="s">
        <v>357</v>
      </c>
      <c r="J6" s="260"/>
      <c r="K6" s="260"/>
      <c r="L6" s="261"/>
    </row>
    <row r="7" spans="1:18" ht="15" x14ac:dyDescent="0.2">
      <c r="A7" s="247" t="s">
        <v>104</v>
      </c>
      <c r="B7" s="138"/>
      <c r="C7" s="151" t="s">
        <v>105</v>
      </c>
      <c r="D7" s="139"/>
      <c r="E7" s="140" t="s">
        <v>201</v>
      </c>
      <c r="F7" s="141" t="s">
        <v>203</v>
      </c>
      <c r="G7" s="185" t="s">
        <v>271</v>
      </c>
      <c r="K7" s="19"/>
    </row>
    <row r="8" spans="1:18" ht="18" x14ac:dyDescent="0.25">
      <c r="A8" s="244" t="s">
        <v>115</v>
      </c>
      <c r="B8" s="138" t="s">
        <v>188</v>
      </c>
      <c r="C8" s="223">
        <v>2</v>
      </c>
      <c r="D8" s="142">
        <f t="shared" ref="D8:D30" si="0">D7+1</f>
        <v>1</v>
      </c>
      <c r="E8" s="136">
        <v>38</v>
      </c>
      <c r="F8" s="186">
        <v>-4.8780487804876316E-2</v>
      </c>
      <c r="G8" s="256" t="s">
        <v>323</v>
      </c>
      <c r="H8" s="188" t="s">
        <v>354</v>
      </c>
      <c r="I8" s="167"/>
      <c r="J8" s="167"/>
      <c r="K8" s="168"/>
      <c r="L8" s="167"/>
      <c r="M8" s="167"/>
      <c r="N8" s="188"/>
      <c r="O8" s="167"/>
      <c r="P8" s="167"/>
      <c r="Q8" s="167"/>
      <c r="R8" s="167"/>
    </row>
    <row r="9" spans="1:18" ht="18" x14ac:dyDescent="0.25">
      <c r="A9" s="245" t="s">
        <v>288</v>
      </c>
      <c r="B9" s="204" t="s">
        <v>289</v>
      </c>
      <c r="C9" s="230">
        <v>0</v>
      </c>
      <c r="D9" s="142">
        <f t="shared" si="0"/>
        <v>2</v>
      </c>
      <c r="E9" s="136">
        <v>0</v>
      </c>
      <c r="F9" s="187">
        <v>0</v>
      </c>
      <c r="G9" s="256" t="s">
        <v>315</v>
      </c>
      <c r="H9" s="188"/>
      <c r="I9" s="167"/>
      <c r="J9" s="167"/>
      <c r="K9" s="168"/>
      <c r="L9" s="167"/>
      <c r="M9" s="167"/>
      <c r="N9" s="188"/>
      <c r="O9" s="167"/>
      <c r="P9" s="188"/>
      <c r="Q9" s="167"/>
      <c r="R9" s="167"/>
    </row>
    <row r="10" spans="1:18" ht="18" x14ac:dyDescent="0.25">
      <c r="A10" s="244" t="s">
        <v>24</v>
      </c>
      <c r="B10" s="138" t="s">
        <v>192</v>
      </c>
      <c r="C10" s="223">
        <v>2</v>
      </c>
      <c r="D10" s="142">
        <f t="shared" si="0"/>
        <v>3</v>
      </c>
      <c r="E10" s="136">
        <v>38</v>
      </c>
      <c r="F10" s="186">
        <v>-4.8780487804876316E-2</v>
      </c>
      <c r="G10" s="256" t="s">
        <v>263</v>
      </c>
      <c r="H10" s="167" t="s">
        <v>272</v>
      </c>
      <c r="I10" s="167"/>
      <c r="J10" s="167"/>
      <c r="K10" s="168"/>
      <c r="L10" s="167"/>
      <c r="M10" s="199"/>
      <c r="N10" s="167"/>
      <c r="O10" s="167"/>
      <c r="P10" s="167"/>
      <c r="Q10" s="167"/>
      <c r="R10" s="167"/>
    </row>
    <row r="11" spans="1:18" ht="18" x14ac:dyDescent="0.25">
      <c r="A11" s="244" t="s">
        <v>106</v>
      </c>
      <c r="B11" s="138" t="s">
        <v>107</v>
      </c>
      <c r="C11" s="223">
        <v>1</v>
      </c>
      <c r="D11" s="142">
        <f t="shared" si="0"/>
        <v>4</v>
      </c>
      <c r="E11" s="136">
        <v>19</v>
      </c>
      <c r="F11" s="186">
        <v>-2.4390243902438158E-2</v>
      </c>
      <c r="G11" s="256" t="s">
        <v>319</v>
      </c>
      <c r="H11" s="188" t="s">
        <v>279</v>
      </c>
      <c r="I11" s="167"/>
      <c r="J11" s="167"/>
      <c r="K11" s="168"/>
      <c r="L11" s="167"/>
      <c r="M11" s="167"/>
      <c r="N11" s="167"/>
      <c r="O11" s="167"/>
      <c r="P11" s="167"/>
      <c r="Q11" s="167"/>
      <c r="R11" s="167"/>
    </row>
    <row r="12" spans="1:18" ht="18" x14ac:dyDescent="0.25">
      <c r="A12" s="244" t="s">
        <v>17</v>
      </c>
      <c r="B12" s="138" t="s">
        <v>108</v>
      </c>
      <c r="C12" s="223">
        <v>2</v>
      </c>
      <c r="D12" s="142">
        <f t="shared" si="0"/>
        <v>5</v>
      </c>
      <c r="E12" s="136">
        <v>38</v>
      </c>
      <c r="F12" s="186">
        <v>-4.8780487804876316E-2</v>
      </c>
      <c r="G12" s="256" t="s">
        <v>320</v>
      </c>
      <c r="H12" s="188"/>
      <c r="I12" s="167"/>
      <c r="J12" s="167"/>
      <c r="K12" s="168"/>
      <c r="L12" s="167"/>
      <c r="M12" s="167"/>
      <c r="N12" s="167"/>
      <c r="O12" s="167"/>
      <c r="P12" s="167"/>
      <c r="Q12" s="167"/>
      <c r="R12" s="167"/>
    </row>
    <row r="13" spans="1:18" ht="18" x14ac:dyDescent="0.25">
      <c r="A13" s="244" t="s">
        <v>45</v>
      </c>
      <c r="B13" s="138" t="s">
        <v>109</v>
      </c>
      <c r="C13" s="223">
        <v>3</v>
      </c>
      <c r="D13" s="142">
        <f t="shared" si="0"/>
        <v>6</v>
      </c>
      <c r="E13" s="136">
        <v>57</v>
      </c>
      <c r="F13" s="186">
        <v>-7.3170731707314474E-2</v>
      </c>
      <c r="G13" s="256" t="s">
        <v>292</v>
      </c>
      <c r="H13" s="167"/>
      <c r="I13" s="167"/>
      <c r="J13" s="167"/>
      <c r="K13" s="168"/>
      <c r="L13" s="167"/>
      <c r="M13" s="167"/>
      <c r="N13" s="167"/>
      <c r="O13" s="167"/>
      <c r="P13" s="167"/>
      <c r="Q13" s="167"/>
      <c r="R13" s="167"/>
    </row>
    <row r="14" spans="1:18" ht="18" x14ac:dyDescent="0.25">
      <c r="A14" s="244" t="s">
        <v>111</v>
      </c>
      <c r="B14" s="204" t="s">
        <v>285</v>
      </c>
      <c r="C14" s="223">
        <v>2</v>
      </c>
      <c r="D14" s="142">
        <f t="shared" si="0"/>
        <v>7</v>
      </c>
      <c r="E14" s="136">
        <v>37</v>
      </c>
      <c r="F14" s="186">
        <v>-1.0487804878048763</v>
      </c>
      <c r="G14" s="256" t="s">
        <v>321</v>
      </c>
      <c r="H14" s="167"/>
      <c r="I14" s="167"/>
      <c r="J14" s="167"/>
      <c r="K14" s="168"/>
      <c r="L14" s="167"/>
      <c r="M14" s="167"/>
      <c r="N14" s="167"/>
      <c r="O14" s="167"/>
      <c r="P14" s="167"/>
      <c r="Q14" s="167"/>
      <c r="R14" s="167"/>
    </row>
    <row r="15" spans="1:18" ht="18" x14ac:dyDescent="0.25">
      <c r="A15" s="244" t="s">
        <v>36</v>
      </c>
      <c r="B15" s="138" t="s">
        <v>110</v>
      </c>
      <c r="C15" s="223">
        <v>2</v>
      </c>
      <c r="D15" s="142">
        <f t="shared" si="0"/>
        <v>8</v>
      </c>
      <c r="E15" s="136">
        <v>40</v>
      </c>
      <c r="F15" s="187">
        <v>1.9512195121951237</v>
      </c>
      <c r="G15" s="256" t="s">
        <v>265</v>
      </c>
      <c r="H15" s="188" t="s">
        <v>318</v>
      </c>
      <c r="I15" s="167"/>
      <c r="J15" s="167"/>
      <c r="K15" s="168"/>
      <c r="L15" s="167"/>
      <c r="M15" s="167"/>
      <c r="N15" s="167"/>
      <c r="O15" s="167"/>
      <c r="P15" s="167"/>
      <c r="Q15" s="167"/>
      <c r="R15" s="167"/>
    </row>
    <row r="16" spans="1:18" ht="18" x14ac:dyDescent="0.25">
      <c r="A16" s="244" t="s">
        <v>113</v>
      </c>
      <c r="B16" s="143" t="s">
        <v>114</v>
      </c>
      <c r="C16" s="223">
        <v>2</v>
      </c>
      <c r="D16" s="142">
        <f t="shared" si="0"/>
        <v>9</v>
      </c>
      <c r="E16" s="136">
        <v>48</v>
      </c>
      <c r="F16" s="187">
        <v>9.9512195121951237</v>
      </c>
      <c r="G16" s="256" t="s">
        <v>287</v>
      </c>
      <c r="H16" s="188"/>
      <c r="I16" s="167"/>
      <c r="J16" s="167"/>
      <c r="K16" s="168"/>
      <c r="L16" s="167"/>
      <c r="M16" s="167"/>
      <c r="N16" s="167"/>
      <c r="O16" s="167"/>
      <c r="P16" s="167"/>
      <c r="Q16" s="167"/>
      <c r="R16" s="167"/>
    </row>
    <row r="17" spans="1:18" ht="18" x14ac:dyDescent="0.25">
      <c r="A17" s="244" t="s">
        <v>112</v>
      </c>
      <c r="B17" s="138" t="s">
        <v>190</v>
      </c>
      <c r="C17" s="223">
        <v>2</v>
      </c>
      <c r="D17" s="142">
        <f t="shared" si="0"/>
        <v>10</v>
      </c>
      <c r="E17" s="136">
        <v>38</v>
      </c>
      <c r="F17" s="186">
        <v>-4.8780487804876316E-2</v>
      </c>
      <c r="G17" s="256" t="s">
        <v>270</v>
      </c>
      <c r="H17" s="188"/>
      <c r="I17" s="167"/>
      <c r="J17" s="167"/>
      <c r="K17" s="168"/>
      <c r="L17" s="167"/>
      <c r="M17" s="167"/>
      <c r="N17" s="167"/>
      <c r="O17" s="167"/>
      <c r="P17" s="167"/>
      <c r="Q17" s="167"/>
      <c r="R17" s="167"/>
    </row>
    <row r="18" spans="1:18" ht="18" x14ac:dyDescent="0.25">
      <c r="A18" s="245" t="s">
        <v>290</v>
      </c>
      <c r="B18" s="204" t="s">
        <v>291</v>
      </c>
      <c r="C18" s="223">
        <v>1</v>
      </c>
      <c r="D18" s="142">
        <f t="shared" si="0"/>
        <v>11</v>
      </c>
      <c r="E18" s="136">
        <v>19</v>
      </c>
      <c r="F18" s="186">
        <v>-2.4390243902438158E-2</v>
      </c>
      <c r="G18" s="256" t="s">
        <v>317</v>
      </c>
      <c r="H18" s="188"/>
      <c r="I18" s="167"/>
      <c r="J18" s="167"/>
      <c r="K18" s="168"/>
      <c r="L18" s="167"/>
      <c r="M18" s="167"/>
      <c r="N18" s="167"/>
      <c r="O18" s="188"/>
      <c r="P18" s="167"/>
      <c r="Q18" s="167"/>
      <c r="R18" s="167"/>
    </row>
    <row r="19" spans="1:18" ht="18" x14ac:dyDescent="0.25">
      <c r="A19" s="244" t="s">
        <v>186</v>
      </c>
      <c r="B19" s="138" t="s">
        <v>187</v>
      </c>
      <c r="C19" s="223">
        <v>1</v>
      </c>
      <c r="D19" s="142">
        <f t="shared" si="0"/>
        <v>12</v>
      </c>
      <c r="E19" s="136">
        <v>19</v>
      </c>
      <c r="F19" s="186">
        <v>-2.4390243902438158E-2</v>
      </c>
      <c r="G19" s="256" t="s">
        <v>342</v>
      </c>
      <c r="H19" s="188"/>
      <c r="I19" s="167"/>
      <c r="J19" s="167"/>
      <c r="K19" s="168"/>
      <c r="L19" s="167"/>
      <c r="M19" s="167"/>
      <c r="N19" s="167"/>
      <c r="O19" s="167"/>
      <c r="P19" s="167"/>
      <c r="Q19" s="167"/>
      <c r="R19" s="167"/>
    </row>
    <row r="20" spans="1:18" ht="18" x14ac:dyDescent="0.25">
      <c r="A20" s="244" t="s">
        <v>29</v>
      </c>
      <c r="B20" s="138" t="s">
        <v>189</v>
      </c>
      <c r="C20" s="223">
        <v>2</v>
      </c>
      <c r="D20" s="142">
        <f t="shared" si="0"/>
        <v>13</v>
      </c>
      <c r="E20" s="136">
        <v>38</v>
      </c>
      <c r="F20" s="186">
        <v>-4.8780487804876316E-2</v>
      </c>
      <c r="G20" s="256" t="s">
        <v>286</v>
      </c>
      <c r="H20" s="167" t="s">
        <v>258</v>
      </c>
      <c r="I20" s="167"/>
      <c r="J20" s="167"/>
      <c r="K20" s="168"/>
      <c r="L20" s="167"/>
      <c r="M20" s="167"/>
      <c r="N20" s="167"/>
      <c r="O20" s="167"/>
      <c r="P20" s="167"/>
      <c r="Q20" s="167"/>
      <c r="R20" s="167"/>
    </row>
    <row r="21" spans="1:18" ht="18" x14ac:dyDescent="0.25">
      <c r="A21" s="245" t="s">
        <v>340</v>
      </c>
      <c r="B21" s="204" t="s">
        <v>339</v>
      </c>
      <c r="C21" s="223">
        <v>2</v>
      </c>
      <c r="D21" s="142">
        <f t="shared" si="0"/>
        <v>14</v>
      </c>
      <c r="E21" s="136">
        <v>37</v>
      </c>
      <c r="F21" s="186">
        <v>-1.0487804878048763</v>
      </c>
      <c r="G21" s="256" t="s">
        <v>343</v>
      </c>
      <c r="H21" s="188" t="s">
        <v>344</v>
      </c>
      <c r="I21" s="167"/>
      <c r="J21" s="167"/>
      <c r="K21" s="168"/>
      <c r="L21" s="167"/>
      <c r="M21" s="167"/>
      <c r="N21" s="167"/>
      <c r="O21" s="167"/>
      <c r="P21" s="167"/>
      <c r="Q21" s="167"/>
      <c r="R21" s="167"/>
    </row>
    <row r="22" spans="1:18" ht="18" x14ac:dyDescent="0.25">
      <c r="A22" s="244" t="s">
        <v>122</v>
      </c>
      <c r="B22" s="138" t="s">
        <v>123</v>
      </c>
      <c r="C22" s="223">
        <v>2</v>
      </c>
      <c r="D22" s="142">
        <f t="shared" si="0"/>
        <v>15</v>
      </c>
      <c r="E22" s="136">
        <v>37</v>
      </c>
      <c r="F22" s="186">
        <v>-1.0487804878048763</v>
      </c>
      <c r="G22" s="256" t="s">
        <v>322</v>
      </c>
      <c r="H22" s="167"/>
      <c r="I22" s="167"/>
      <c r="J22" s="167"/>
      <c r="K22" s="168"/>
      <c r="L22" s="167"/>
      <c r="M22" s="167"/>
      <c r="N22" s="167"/>
      <c r="O22" s="167"/>
      <c r="P22" s="167"/>
      <c r="Q22" s="167"/>
      <c r="R22" s="167"/>
    </row>
    <row r="23" spans="1:18" ht="18" x14ac:dyDescent="0.25">
      <c r="A23" s="244" t="s">
        <v>116</v>
      </c>
      <c r="B23" s="138" t="s">
        <v>191</v>
      </c>
      <c r="C23" s="223">
        <v>1</v>
      </c>
      <c r="D23" s="142">
        <f t="shared" si="0"/>
        <v>16</v>
      </c>
      <c r="E23" s="136">
        <v>18</v>
      </c>
      <c r="F23" s="186">
        <v>-1.0243902439024382</v>
      </c>
      <c r="G23" s="256" t="s">
        <v>316</v>
      </c>
      <c r="H23" s="167"/>
      <c r="I23" s="167"/>
      <c r="J23" s="167"/>
      <c r="K23" s="168"/>
      <c r="L23" s="167"/>
      <c r="M23" s="167"/>
      <c r="N23" s="167"/>
      <c r="O23" s="167"/>
      <c r="P23" s="167"/>
      <c r="Q23" s="167"/>
      <c r="R23" s="167"/>
    </row>
    <row r="24" spans="1:18" ht="18" x14ac:dyDescent="0.25">
      <c r="A24" s="244" t="s">
        <v>47</v>
      </c>
      <c r="B24" s="138" t="s">
        <v>119</v>
      </c>
      <c r="C24" s="223">
        <v>3</v>
      </c>
      <c r="D24" s="142">
        <f t="shared" si="0"/>
        <v>17</v>
      </c>
      <c r="E24" s="136">
        <v>65</v>
      </c>
      <c r="F24" s="187">
        <v>7.9268292682926855</v>
      </c>
      <c r="G24" s="256" t="s">
        <v>341</v>
      </c>
      <c r="H24" s="188"/>
      <c r="I24" s="167"/>
      <c r="J24" s="167"/>
      <c r="K24" s="168"/>
      <c r="L24" s="167"/>
      <c r="M24" s="167"/>
      <c r="N24" s="167"/>
      <c r="O24" s="188"/>
      <c r="P24" s="167"/>
      <c r="Q24" s="167"/>
      <c r="R24" s="167"/>
    </row>
    <row r="25" spans="1:18" ht="18" x14ac:dyDescent="0.25">
      <c r="A25" s="244" t="s">
        <v>117</v>
      </c>
      <c r="B25" s="138" t="s">
        <v>118</v>
      </c>
      <c r="C25" s="223">
        <v>2</v>
      </c>
      <c r="D25" s="142">
        <f t="shared" si="0"/>
        <v>18</v>
      </c>
      <c r="E25" s="136">
        <v>37</v>
      </c>
      <c r="F25" s="186">
        <v>-1.0487804878048763</v>
      </c>
      <c r="G25" s="256" t="s">
        <v>266</v>
      </c>
      <c r="H25" s="167"/>
      <c r="I25" s="167"/>
      <c r="J25" s="167"/>
      <c r="K25" s="168"/>
      <c r="L25" s="167"/>
      <c r="M25" s="167"/>
      <c r="N25" s="167"/>
      <c r="O25" s="167"/>
      <c r="P25" s="167"/>
      <c r="Q25" s="167"/>
      <c r="R25" s="167"/>
    </row>
    <row r="26" spans="1:18" ht="18" x14ac:dyDescent="0.25">
      <c r="A26" s="244" t="s">
        <v>55</v>
      </c>
      <c r="B26" s="138" t="s">
        <v>199</v>
      </c>
      <c r="C26" s="223">
        <v>3</v>
      </c>
      <c r="D26" s="142">
        <f t="shared" si="0"/>
        <v>19</v>
      </c>
      <c r="E26" s="136">
        <v>56</v>
      </c>
      <c r="F26" s="186">
        <v>-1.0731707317073145</v>
      </c>
      <c r="G26" s="256" t="s">
        <v>267</v>
      </c>
      <c r="H26" s="188"/>
      <c r="I26" s="167"/>
      <c r="J26" s="167"/>
      <c r="K26" s="168"/>
      <c r="L26" s="167"/>
      <c r="M26" s="167"/>
      <c r="N26" s="167"/>
      <c r="O26" s="167"/>
      <c r="P26" s="167"/>
      <c r="Q26" s="167"/>
      <c r="R26" s="167"/>
    </row>
    <row r="27" spans="1:18" ht="18" x14ac:dyDescent="0.25">
      <c r="A27" s="245" t="s">
        <v>283</v>
      </c>
      <c r="B27" s="204" t="s">
        <v>284</v>
      </c>
      <c r="C27" s="223">
        <v>1</v>
      </c>
      <c r="D27" s="142">
        <f t="shared" si="0"/>
        <v>20</v>
      </c>
      <c r="E27" s="136">
        <v>18</v>
      </c>
      <c r="F27" s="186">
        <v>-1.0243902439024382</v>
      </c>
      <c r="G27" s="256" t="s">
        <v>264</v>
      </c>
      <c r="H27" s="188"/>
      <c r="I27" s="167"/>
      <c r="J27" s="167"/>
      <c r="K27" s="168"/>
      <c r="L27" s="167"/>
      <c r="M27" s="167"/>
      <c r="N27" s="167"/>
      <c r="O27" s="167"/>
      <c r="P27" s="167"/>
      <c r="Q27" s="167"/>
      <c r="R27" s="167"/>
    </row>
    <row r="28" spans="1:18" ht="18" x14ac:dyDescent="0.25">
      <c r="A28" s="244" t="s">
        <v>50</v>
      </c>
      <c r="B28" s="138" t="s">
        <v>121</v>
      </c>
      <c r="C28" s="223">
        <v>2</v>
      </c>
      <c r="D28" s="142">
        <f t="shared" si="0"/>
        <v>21</v>
      </c>
      <c r="E28" s="136">
        <v>37</v>
      </c>
      <c r="F28" s="186">
        <v>-1.0487804878048763</v>
      </c>
      <c r="G28" s="256" t="s">
        <v>325</v>
      </c>
      <c r="H28" s="188">
        <v>0</v>
      </c>
      <c r="I28" s="167"/>
      <c r="J28" s="167"/>
      <c r="K28" s="168"/>
      <c r="L28" s="169"/>
      <c r="M28" s="167"/>
      <c r="N28" s="167"/>
      <c r="O28" s="167"/>
      <c r="P28" s="167"/>
      <c r="Q28" s="167"/>
      <c r="R28" s="167"/>
    </row>
    <row r="29" spans="1:18" ht="18" x14ac:dyDescent="0.25">
      <c r="A29" s="244" t="s">
        <v>8</v>
      </c>
      <c r="B29" s="138" t="s">
        <v>269</v>
      </c>
      <c r="C29" s="223">
        <v>2</v>
      </c>
      <c r="D29" s="142">
        <f t="shared" si="0"/>
        <v>22</v>
      </c>
      <c r="E29" s="136">
        <v>37</v>
      </c>
      <c r="F29" s="186">
        <v>-1.0487804878048763</v>
      </c>
      <c r="G29" s="256" t="s">
        <v>324</v>
      </c>
      <c r="H29" s="188"/>
      <c r="I29" s="167"/>
      <c r="J29" s="167"/>
      <c r="K29" s="168"/>
      <c r="L29" s="167"/>
      <c r="M29" s="167"/>
      <c r="N29" s="167"/>
      <c r="O29" s="167"/>
      <c r="P29" s="167"/>
      <c r="Q29" s="167"/>
      <c r="R29" s="167"/>
    </row>
    <row r="30" spans="1:18" ht="18" x14ac:dyDescent="0.25">
      <c r="A30" s="244" t="s">
        <v>26</v>
      </c>
      <c r="B30" s="138" t="s">
        <v>120</v>
      </c>
      <c r="C30" s="223">
        <v>1</v>
      </c>
      <c r="D30" s="142">
        <f t="shared" si="0"/>
        <v>23</v>
      </c>
      <c r="E30" s="136">
        <v>18</v>
      </c>
      <c r="F30" s="186">
        <v>-1.0243902439024382</v>
      </c>
      <c r="G30" s="256" t="s">
        <v>268</v>
      </c>
      <c r="H30" s="167"/>
      <c r="I30" s="167"/>
      <c r="J30" s="167"/>
      <c r="K30" s="168"/>
      <c r="L30" s="167"/>
      <c r="M30" s="167"/>
      <c r="N30" s="167"/>
      <c r="O30" s="167"/>
      <c r="P30" s="167"/>
      <c r="Q30" s="167"/>
      <c r="R30" s="167"/>
    </row>
    <row r="31" spans="1:18" ht="15" x14ac:dyDescent="0.2">
      <c r="A31" s="246"/>
      <c r="B31" s="138"/>
      <c r="C31" s="223"/>
      <c r="D31" s="142"/>
      <c r="E31" s="136"/>
      <c r="F31" s="186"/>
      <c r="G31" s="224"/>
      <c r="H31" s="167"/>
      <c r="I31" s="167"/>
      <c r="J31" s="167"/>
      <c r="K31" s="168"/>
      <c r="L31" s="167"/>
      <c r="M31" s="167"/>
      <c r="N31" s="167"/>
      <c r="O31" s="167"/>
      <c r="P31" s="167"/>
      <c r="Q31" s="167"/>
      <c r="R31" s="167"/>
    </row>
    <row r="32" spans="1:18" ht="15" x14ac:dyDescent="0.2">
      <c r="A32" s="131"/>
      <c r="B32" s="132"/>
      <c r="C32" s="243"/>
      <c r="D32" s="145"/>
      <c r="E32" s="136"/>
      <c r="F32" s="186"/>
      <c r="G32" s="224"/>
      <c r="H32" s="167"/>
      <c r="I32" s="167"/>
      <c r="J32" s="167"/>
      <c r="K32" s="168"/>
      <c r="L32" s="167"/>
      <c r="M32" s="167"/>
      <c r="N32" s="167"/>
      <c r="O32" s="167"/>
      <c r="P32" s="167"/>
      <c r="Q32" s="167"/>
      <c r="R32" s="167"/>
    </row>
    <row r="33" spans="1:11" ht="15.75" thickBot="1" x14ac:dyDescent="0.25">
      <c r="A33" s="131"/>
      <c r="B33" s="132"/>
      <c r="C33" s="144"/>
      <c r="D33" s="145"/>
      <c r="E33" s="136"/>
      <c r="F33" s="137"/>
      <c r="K33" s="3"/>
    </row>
    <row r="34" spans="1:11" ht="16.5" thickBot="1" x14ac:dyDescent="0.3">
      <c r="A34" s="16"/>
      <c r="B34" s="149" t="s">
        <v>124</v>
      </c>
      <c r="C34" s="40">
        <f>SUM(C8:C33)</f>
        <v>41</v>
      </c>
      <c r="D34" s="39"/>
      <c r="E34" s="105"/>
      <c r="F34" s="112"/>
      <c r="K34" s="3"/>
    </row>
    <row r="35" spans="1:11" ht="15" x14ac:dyDescent="0.2">
      <c r="A35" s="132"/>
      <c r="B35" s="132"/>
      <c r="C35" s="146"/>
      <c r="D35" s="132"/>
      <c r="E35" s="146" t="s">
        <v>201</v>
      </c>
      <c r="F35" s="147"/>
    </row>
    <row r="36" spans="1:11" ht="15" x14ac:dyDescent="0.2">
      <c r="A36" s="132"/>
      <c r="B36" s="132" t="s">
        <v>168</v>
      </c>
      <c r="C36" s="146">
        <f>GrandTotalHours</f>
        <v>780</v>
      </c>
      <c r="D36" s="132"/>
      <c r="E36" s="146">
        <f>SUM(E7:E35)</f>
        <v>789</v>
      </c>
      <c r="F36" s="147"/>
    </row>
    <row r="37" spans="1:11" ht="15" x14ac:dyDescent="0.2">
      <c r="A37" s="132"/>
      <c r="B37" s="132"/>
      <c r="C37" s="146"/>
      <c r="D37" s="132"/>
      <c r="E37" s="146"/>
      <c r="F37" s="147"/>
    </row>
    <row r="38" spans="1:11" ht="15" x14ac:dyDescent="0.2">
      <c r="A38" s="132"/>
      <c r="B38" s="132" t="s">
        <v>169</v>
      </c>
      <c r="C38" s="148">
        <f>GrandTotalHours/TotalShowShares</f>
        <v>19.024390243902438</v>
      </c>
      <c r="D38" s="132"/>
      <c r="E38" s="146"/>
      <c r="F38" s="147"/>
    </row>
  </sheetData>
  <sheetProtection sheet="1" objects="1" scenarios="1"/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92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A4" sqref="A4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2" bestFit="1" customWidth="1"/>
  </cols>
  <sheetData>
    <row r="1" spans="1:10" x14ac:dyDescent="0.2">
      <c r="A1" t="s">
        <v>180</v>
      </c>
      <c r="I1" t="s">
        <v>202</v>
      </c>
    </row>
    <row r="3" spans="1:10" x14ac:dyDescent="0.2">
      <c r="C3" t="s">
        <v>175</v>
      </c>
      <c r="D3" t="s">
        <v>176</v>
      </c>
    </row>
    <row r="4" spans="1:10" x14ac:dyDescent="0.2">
      <c r="A4" t="s">
        <v>351</v>
      </c>
      <c r="C4" s="250">
        <f>FindHourlyRows("FALL Friday",FALLFriday)</f>
        <v>8</v>
      </c>
      <c r="D4" s="250">
        <v>16</v>
      </c>
      <c r="F4" s="21" t="s">
        <v>345</v>
      </c>
      <c r="H4" t="str">
        <f>FALLFriday</f>
        <v>Friday 9/29/2023</v>
      </c>
      <c r="J4">
        <f>ROW(FALLFriday)</f>
        <v>5</v>
      </c>
    </row>
    <row r="5" spans="1:10" x14ac:dyDescent="0.2">
      <c r="A5" t="s">
        <v>352</v>
      </c>
      <c r="C5" s="250">
        <v>25</v>
      </c>
      <c r="D5" s="250">
        <v>12</v>
      </c>
      <c r="F5" s="21" t="s">
        <v>346</v>
      </c>
      <c r="H5" t="str">
        <f>FALLSaturday</f>
        <v>Saturday 9/30/2023</v>
      </c>
      <c r="J5">
        <f>ROW(FALLSaturday)</f>
        <v>5</v>
      </c>
    </row>
    <row r="6" spans="1:10" x14ac:dyDescent="0.2">
      <c r="A6" t="s">
        <v>353</v>
      </c>
      <c r="C6" s="250">
        <f>FindHourlyRows("FALL Sunday",FALLSunday)</f>
        <v>18</v>
      </c>
      <c r="D6" s="250">
        <v>11</v>
      </c>
      <c r="F6" s="21" t="s">
        <v>347</v>
      </c>
      <c r="H6" t="str">
        <f>FALLSunday</f>
        <v>Sunday 10/1/2023</v>
      </c>
      <c r="J6">
        <f>ROW(FALLSunday)</f>
        <v>5</v>
      </c>
    </row>
    <row r="7" spans="1:10" x14ac:dyDescent="0.2">
      <c r="A7" t="s">
        <v>177</v>
      </c>
      <c r="C7" s="250">
        <f>FindHourlyRows("DAT Friday",DATFriday)</f>
        <v>8</v>
      </c>
      <c r="D7" s="250">
        <f>FindHourlyCols("DAT Friday",DATFriday)</f>
        <v>16</v>
      </c>
      <c r="F7" t="s">
        <v>348</v>
      </c>
      <c r="H7" t="str">
        <f>DATFriday</f>
        <v>Friday 01/19/2024</v>
      </c>
      <c r="J7">
        <f>ROW(DATFriday)</f>
        <v>5</v>
      </c>
    </row>
    <row r="8" spans="1:10" x14ac:dyDescent="0.2">
      <c r="A8" t="s">
        <v>178</v>
      </c>
      <c r="C8" s="250">
        <f>FindHourlyRows("DAT Saturday",DATSaturday)</f>
        <v>25</v>
      </c>
      <c r="D8" s="250">
        <f>FindHourlyCols("DAT Saturday",DATSaturday)</f>
        <v>12</v>
      </c>
      <c r="F8" t="s">
        <v>349</v>
      </c>
      <c r="H8" t="str">
        <f>DATSaturday</f>
        <v>Saturday 01/20/2024</v>
      </c>
      <c r="J8">
        <f>ROW(DATSaturday)</f>
        <v>5</v>
      </c>
    </row>
    <row r="9" spans="1:10" x14ac:dyDescent="0.2">
      <c r="A9" t="s">
        <v>179</v>
      </c>
      <c r="C9" s="250">
        <f>FindHourlyRows("DAT Sunday",DATSunday)</f>
        <v>27</v>
      </c>
      <c r="D9" s="250">
        <f>FindHourlyCols("DAT Sunday",DATSunday)</f>
        <v>11</v>
      </c>
      <c r="F9" t="s">
        <v>350</v>
      </c>
      <c r="H9" t="str">
        <f>DATSunday</f>
        <v>Sunday 01/21/2024</v>
      </c>
      <c r="J9">
        <f>ROW(DATSunday)</f>
        <v>5</v>
      </c>
    </row>
    <row r="12" spans="1:10" x14ac:dyDescent="0.2">
      <c r="D12" s="250">
        <v>1</v>
      </c>
    </row>
    <row r="13" spans="1:10" x14ac:dyDescent="0.2">
      <c r="D13" s="250">
        <v>0</v>
      </c>
      <c r="F13" t="s">
        <v>275</v>
      </c>
      <c r="I13" s="250">
        <v>0</v>
      </c>
    </row>
    <row r="15" spans="1:10" x14ac:dyDescent="0.2">
      <c r="C15" t="s">
        <v>253</v>
      </c>
      <c r="D15" t="s">
        <v>252</v>
      </c>
    </row>
    <row r="16" spans="1:10" x14ac:dyDescent="0.2">
      <c r="A16" t="s">
        <v>249</v>
      </c>
      <c r="C16" s="250">
        <v>1</v>
      </c>
      <c r="D16" s="250">
        <v>28</v>
      </c>
    </row>
    <row r="17" spans="1:4" x14ac:dyDescent="0.2">
      <c r="A17" s="21" t="s">
        <v>359</v>
      </c>
      <c r="C17" s="250">
        <v>4</v>
      </c>
      <c r="D17" s="250">
        <v>39</v>
      </c>
    </row>
    <row r="18" spans="1:4" x14ac:dyDescent="0.2">
      <c r="A18" s="21" t="s">
        <v>360</v>
      </c>
      <c r="C18" s="250">
        <v>43</v>
      </c>
      <c r="D18" s="250">
        <v>86</v>
      </c>
    </row>
    <row r="19" spans="1:4" x14ac:dyDescent="0.2">
      <c r="A19" t="s">
        <v>250</v>
      </c>
      <c r="C19" s="250">
        <v>90</v>
      </c>
      <c r="D19" s="250">
        <v>124</v>
      </c>
    </row>
    <row r="20" spans="1:4" x14ac:dyDescent="0.2">
      <c r="A20" t="s">
        <v>251</v>
      </c>
      <c r="C20" s="250">
        <v>128</v>
      </c>
      <c r="D20" s="250">
        <v>178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77"/>
  <sheetViews>
    <sheetView workbookViewId="0"/>
  </sheetViews>
  <sheetFormatPr defaultRowHeight="12.75" x14ac:dyDescent="0.2"/>
  <cols>
    <col min="2" max="2" width="45.7109375" bestFit="1" customWidth="1"/>
    <col min="4" max="4" width="14.28515625" bestFit="1" customWidth="1"/>
  </cols>
  <sheetData>
    <row r="1" spans="1:8" ht="18" x14ac:dyDescent="0.25">
      <c r="A1" s="248" t="s">
        <v>304</v>
      </c>
      <c r="B1" s="249"/>
      <c r="C1" s="249"/>
      <c r="D1" s="1"/>
    </row>
    <row r="2" spans="1:8" x14ac:dyDescent="0.2">
      <c r="A2" s="2"/>
      <c r="B2" s="170" t="str">
        <f>Issue</f>
        <v>2024 Show Season V1 7/22/2024</v>
      </c>
      <c r="C2" s="3"/>
      <c r="D2" s="4"/>
    </row>
    <row r="3" spans="1:8" ht="15.75" x14ac:dyDescent="0.25">
      <c r="A3" s="5"/>
      <c r="B3" s="252" t="str">
        <f>Season</f>
        <v>2022/2023</v>
      </c>
      <c r="C3" s="3"/>
      <c r="D3" s="6"/>
    </row>
    <row r="4" spans="1:8" x14ac:dyDescent="0.2">
      <c r="A4" s="7"/>
      <c r="C4" s="8" t="s">
        <v>0</v>
      </c>
      <c r="D4" s="6" t="s">
        <v>1</v>
      </c>
    </row>
    <row r="5" spans="1:8" x14ac:dyDescent="0.2">
      <c r="A5" s="9" t="s">
        <v>2</v>
      </c>
      <c r="B5" s="10" t="s">
        <v>3</v>
      </c>
      <c r="C5" s="11" t="s">
        <v>4</v>
      </c>
      <c r="D5" s="12" t="s">
        <v>5</v>
      </c>
    </row>
    <row r="6" spans="1:8" x14ac:dyDescent="0.2">
      <c r="A6" s="116" t="s">
        <v>6</v>
      </c>
      <c r="B6" s="27" t="s">
        <v>7</v>
      </c>
      <c r="C6" s="28">
        <v>4</v>
      </c>
      <c r="D6" s="117" t="s">
        <v>186</v>
      </c>
      <c r="F6" s="14"/>
      <c r="H6" s="3"/>
    </row>
    <row r="7" spans="1:8" x14ac:dyDescent="0.2">
      <c r="A7" s="116" t="s">
        <v>9</v>
      </c>
      <c r="B7" s="27" t="s">
        <v>10</v>
      </c>
      <c r="C7" s="28">
        <v>2</v>
      </c>
      <c r="D7" s="117" t="s">
        <v>186</v>
      </c>
      <c r="F7" s="14"/>
      <c r="H7" s="3"/>
    </row>
    <row r="8" spans="1:8" x14ac:dyDescent="0.2">
      <c r="A8" s="116" t="s">
        <v>11</v>
      </c>
      <c r="B8" s="27" t="s">
        <v>12</v>
      </c>
      <c r="C8" s="28">
        <v>2</v>
      </c>
      <c r="D8" s="117" t="s">
        <v>340</v>
      </c>
      <c r="F8" s="14"/>
      <c r="H8" s="3"/>
    </row>
    <row r="9" spans="1:8" x14ac:dyDescent="0.2">
      <c r="A9" s="116" t="s">
        <v>13</v>
      </c>
      <c r="B9" s="27" t="s">
        <v>14</v>
      </c>
      <c r="C9" s="28">
        <v>2</v>
      </c>
      <c r="D9" s="117" t="s">
        <v>112</v>
      </c>
      <c r="F9" s="14"/>
      <c r="H9" s="3"/>
    </row>
    <row r="10" spans="1:8" x14ac:dyDescent="0.2">
      <c r="A10" s="116" t="s">
        <v>15</v>
      </c>
      <c r="B10" s="27" t="s">
        <v>16</v>
      </c>
      <c r="C10" s="28">
        <v>6</v>
      </c>
      <c r="D10" s="117" t="s">
        <v>17</v>
      </c>
      <c r="F10" s="14"/>
      <c r="H10" s="3"/>
    </row>
    <row r="11" spans="1:8" x14ac:dyDescent="0.2">
      <c r="A11" s="116" t="s">
        <v>18</v>
      </c>
      <c r="B11" s="27" t="s">
        <v>19</v>
      </c>
      <c r="C11" s="28">
        <v>4</v>
      </c>
      <c r="D11" s="117" t="s">
        <v>17</v>
      </c>
      <c r="F11" s="14"/>
      <c r="H11" s="3"/>
    </row>
    <row r="12" spans="1:8" x14ac:dyDescent="0.2">
      <c r="A12" s="116" t="s">
        <v>20</v>
      </c>
      <c r="B12" s="27" t="s">
        <v>21</v>
      </c>
      <c r="C12" s="28">
        <v>7</v>
      </c>
      <c r="D12" s="117" t="s">
        <v>24</v>
      </c>
      <c r="F12" s="14"/>
      <c r="H12" s="3"/>
    </row>
    <row r="13" spans="1:8" x14ac:dyDescent="0.2">
      <c r="A13" s="116" t="s">
        <v>22</v>
      </c>
      <c r="B13" s="27" t="s">
        <v>23</v>
      </c>
      <c r="C13" s="28">
        <v>2</v>
      </c>
      <c r="D13" s="117" t="s">
        <v>24</v>
      </c>
      <c r="F13" s="14"/>
      <c r="H13" s="3"/>
    </row>
    <row r="14" spans="1:8" x14ac:dyDescent="0.2">
      <c r="A14" s="116" t="s">
        <v>277</v>
      </c>
      <c r="B14" s="27" t="s">
        <v>278</v>
      </c>
      <c r="C14" s="28">
        <v>8</v>
      </c>
      <c r="D14" s="117" t="s">
        <v>24</v>
      </c>
      <c r="F14" s="14"/>
      <c r="H14" s="3"/>
    </row>
    <row r="15" spans="1:8" x14ac:dyDescent="0.2">
      <c r="A15" s="116" t="s">
        <v>25</v>
      </c>
      <c r="B15" s="27"/>
      <c r="C15" s="251">
        <v>0</v>
      </c>
      <c r="D15" s="122"/>
      <c r="F15" s="226"/>
      <c r="H15" s="3"/>
    </row>
    <row r="16" spans="1:8" x14ac:dyDescent="0.2">
      <c r="A16" s="116" t="s">
        <v>27</v>
      </c>
      <c r="B16" s="27" t="s">
        <v>28</v>
      </c>
      <c r="C16" s="28">
        <v>3</v>
      </c>
      <c r="D16" s="117" t="s">
        <v>29</v>
      </c>
      <c r="F16" s="14"/>
      <c r="H16" s="3"/>
    </row>
    <row r="17" spans="1:8" x14ac:dyDescent="0.2">
      <c r="A17" s="116" t="s">
        <v>30</v>
      </c>
      <c r="B17" s="27" t="s">
        <v>31</v>
      </c>
      <c r="C17" s="28">
        <v>4</v>
      </c>
      <c r="D17" s="117" t="s">
        <v>36</v>
      </c>
      <c r="F17" s="14"/>
      <c r="H17" s="3"/>
    </row>
    <row r="18" spans="1:8" x14ac:dyDescent="0.2">
      <c r="A18" s="116" t="s">
        <v>32</v>
      </c>
      <c r="B18" s="27" t="s">
        <v>33</v>
      </c>
      <c r="C18" s="28">
        <v>8</v>
      </c>
      <c r="D18" s="117" t="s">
        <v>36</v>
      </c>
      <c r="F18" s="14"/>
      <c r="H18" s="3"/>
    </row>
    <row r="19" spans="1:8" x14ac:dyDescent="0.2">
      <c r="A19" s="116" t="s">
        <v>34</v>
      </c>
      <c r="B19" s="27" t="s">
        <v>35</v>
      </c>
      <c r="C19" s="28">
        <v>4</v>
      </c>
      <c r="D19" s="122" t="s">
        <v>26</v>
      </c>
      <c r="F19" s="226"/>
      <c r="H19" s="3"/>
    </row>
    <row r="20" spans="1:8" x14ac:dyDescent="0.2">
      <c r="A20" s="116" t="s">
        <v>37</v>
      </c>
      <c r="B20" s="27" t="s">
        <v>38</v>
      </c>
      <c r="C20" s="28">
        <v>12</v>
      </c>
      <c r="D20" s="117" t="s">
        <v>8</v>
      </c>
      <c r="F20" s="14"/>
      <c r="H20" s="3"/>
    </row>
    <row r="21" spans="1:8" x14ac:dyDescent="0.2">
      <c r="A21" s="116" t="s">
        <v>39</v>
      </c>
      <c r="B21" s="27" t="s">
        <v>40</v>
      </c>
      <c r="C21" s="28">
        <v>5</v>
      </c>
      <c r="D21" s="117" t="s">
        <v>29</v>
      </c>
      <c r="F21" s="14"/>
      <c r="H21" s="3"/>
    </row>
    <row r="22" spans="1:8" x14ac:dyDescent="0.2">
      <c r="A22" s="116" t="s">
        <v>41</v>
      </c>
      <c r="B22" s="27" t="s">
        <v>42</v>
      </c>
      <c r="C22" s="28">
        <v>5</v>
      </c>
      <c r="D22" s="117" t="s">
        <v>29</v>
      </c>
      <c r="F22" s="14"/>
      <c r="H22" s="3"/>
    </row>
    <row r="23" spans="1:8" x14ac:dyDescent="0.2">
      <c r="A23" s="116" t="s">
        <v>43</v>
      </c>
      <c r="B23" s="27" t="s">
        <v>44</v>
      </c>
      <c r="C23" s="28">
        <v>21</v>
      </c>
      <c r="D23" s="117" t="s">
        <v>45</v>
      </c>
      <c r="F23" s="14"/>
      <c r="H23" s="3"/>
    </row>
    <row r="24" spans="1:8" x14ac:dyDescent="0.2">
      <c r="A24" s="202" t="s">
        <v>46</v>
      </c>
      <c r="B24" s="27" t="s">
        <v>93</v>
      </c>
      <c r="C24" s="28">
        <v>6</v>
      </c>
      <c r="D24" s="117" t="s">
        <v>8</v>
      </c>
      <c r="F24" s="14"/>
      <c r="H24" s="3"/>
    </row>
    <row r="25" spans="1:8" x14ac:dyDescent="0.2">
      <c r="A25" s="116" t="s">
        <v>48</v>
      </c>
      <c r="B25" s="27" t="s">
        <v>49</v>
      </c>
      <c r="C25" s="28">
        <v>4</v>
      </c>
      <c r="D25" s="117" t="s">
        <v>113</v>
      </c>
      <c r="F25" s="14"/>
      <c r="H25" s="3"/>
    </row>
    <row r="26" spans="1:8" x14ac:dyDescent="0.2">
      <c r="A26" s="116" t="s">
        <v>51</v>
      </c>
      <c r="B26" s="27" t="s">
        <v>276</v>
      </c>
      <c r="C26" s="28">
        <v>9</v>
      </c>
      <c r="D26" s="117" t="s">
        <v>113</v>
      </c>
      <c r="F26" s="14"/>
      <c r="H26" s="3"/>
    </row>
    <row r="27" spans="1:8" x14ac:dyDescent="0.2">
      <c r="A27" s="202" t="s">
        <v>280</v>
      </c>
      <c r="B27" s="203" t="s">
        <v>282</v>
      </c>
      <c r="C27" s="28">
        <v>4</v>
      </c>
      <c r="D27" s="122" t="s">
        <v>117</v>
      </c>
      <c r="F27" s="226"/>
      <c r="H27" s="3"/>
    </row>
    <row r="28" spans="1:8" x14ac:dyDescent="0.2">
      <c r="A28" s="116" t="s">
        <v>53</v>
      </c>
      <c r="B28" s="27" t="s">
        <v>54</v>
      </c>
      <c r="C28" s="28">
        <v>1</v>
      </c>
      <c r="D28" s="117" t="s">
        <v>55</v>
      </c>
      <c r="F28" s="14"/>
      <c r="H28" s="3"/>
    </row>
    <row r="29" spans="1:8" x14ac:dyDescent="0.2">
      <c r="A29" s="116" t="s">
        <v>56</v>
      </c>
      <c r="B29" s="27" t="s">
        <v>57</v>
      </c>
      <c r="C29" s="28">
        <v>4</v>
      </c>
      <c r="D29" s="117" t="s">
        <v>113</v>
      </c>
      <c r="F29" s="226"/>
      <c r="H29" s="3"/>
    </row>
    <row r="30" spans="1:8" x14ac:dyDescent="0.2">
      <c r="A30" s="116" t="s">
        <v>58</v>
      </c>
      <c r="B30" s="27" t="s">
        <v>59</v>
      </c>
      <c r="C30" s="28">
        <v>1</v>
      </c>
      <c r="D30" s="122" t="s">
        <v>26</v>
      </c>
      <c r="F30" s="226"/>
      <c r="H30" s="3"/>
    </row>
    <row r="31" spans="1:8" x14ac:dyDescent="0.2">
      <c r="A31" s="116" t="s">
        <v>60</v>
      </c>
      <c r="B31" s="27" t="s">
        <v>61</v>
      </c>
      <c r="C31" s="28">
        <v>2</v>
      </c>
      <c r="D31" s="122" t="s">
        <v>283</v>
      </c>
      <c r="F31" s="226"/>
      <c r="H31" s="3"/>
    </row>
    <row r="32" spans="1:8" x14ac:dyDescent="0.2">
      <c r="A32" s="116" t="s">
        <v>62</v>
      </c>
      <c r="B32" s="27" t="s">
        <v>63</v>
      </c>
      <c r="C32" s="28">
        <v>2</v>
      </c>
      <c r="D32" s="117" t="s">
        <v>290</v>
      </c>
      <c r="F32" s="14"/>
      <c r="H32" s="3"/>
    </row>
    <row r="33" spans="1:8" x14ac:dyDescent="0.2">
      <c r="A33" s="116" t="s">
        <v>64</v>
      </c>
      <c r="B33" s="27" t="s">
        <v>65</v>
      </c>
      <c r="C33" s="28">
        <v>2</v>
      </c>
      <c r="D33" s="117" t="s">
        <v>36</v>
      </c>
      <c r="F33" s="14"/>
      <c r="H33" s="3"/>
    </row>
    <row r="34" spans="1:8" x14ac:dyDescent="0.2">
      <c r="A34" s="116" t="s">
        <v>70</v>
      </c>
      <c r="B34" s="27" t="s">
        <v>71</v>
      </c>
      <c r="C34" s="28">
        <v>3</v>
      </c>
      <c r="D34" s="117" t="s">
        <v>36</v>
      </c>
      <c r="F34" s="14"/>
      <c r="H34" s="3"/>
    </row>
    <row r="35" spans="1:8" x14ac:dyDescent="0.2">
      <c r="A35" s="116" t="s">
        <v>100</v>
      </c>
      <c r="B35" s="27" t="s">
        <v>236</v>
      </c>
      <c r="C35" s="28">
        <v>5</v>
      </c>
      <c r="D35" s="117" t="s">
        <v>45</v>
      </c>
      <c r="F35" s="14"/>
      <c r="H35" s="3"/>
    </row>
    <row r="36" spans="1:8" x14ac:dyDescent="0.2">
      <c r="A36" s="116" t="s">
        <v>259</v>
      </c>
      <c r="B36" s="27" t="s">
        <v>260</v>
      </c>
      <c r="C36" s="28">
        <v>1</v>
      </c>
      <c r="D36" s="117" t="s">
        <v>116</v>
      </c>
      <c r="F36" s="14"/>
      <c r="H36" s="3"/>
    </row>
    <row r="37" spans="1:8" x14ac:dyDescent="0.2">
      <c r="A37" s="116" t="s">
        <v>261</v>
      </c>
      <c r="B37" s="27" t="s">
        <v>262</v>
      </c>
      <c r="C37" s="28">
        <v>1</v>
      </c>
      <c r="D37" s="117" t="s">
        <v>106</v>
      </c>
      <c r="F37" s="14"/>
      <c r="H37" s="3"/>
    </row>
    <row r="38" spans="1:8" x14ac:dyDescent="0.2">
      <c r="A38" s="7"/>
      <c r="C38" s="3"/>
      <c r="D38" s="4"/>
    </row>
    <row r="39" spans="1:8" ht="13.5" thickBot="1" x14ac:dyDescent="0.25">
      <c r="A39" s="118"/>
      <c r="B39" s="119" t="s">
        <v>72</v>
      </c>
      <c r="C39" s="175">
        <f>SUM(C5:C38)</f>
        <v>144</v>
      </c>
      <c r="D39" s="120"/>
    </row>
    <row r="40" spans="1:8" x14ac:dyDescent="0.2">
      <c r="C40" s="3"/>
      <c r="D40" s="14"/>
    </row>
    <row r="41" spans="1:8" ht="13.5" thickBot="1" x14ac:dyDescent="0.25">
      <c r="C41" s="3"/>
      <c r="D41" s="14"/>
    </row>
    <row r="42" spans="1:8" ht="18" x14ac:dyDescent="0.25">
      <c r="A42" s="248" t="s">
        <v>305</v>
      </c>
      <c r="B42" s="249"/>
      <c r="C42" s="249"/>
      <c r="D42" s="1"/>
    </row>
    <row r="43" spans="1:8" x14ac:dyDescent="0.2">
      <c r="A43" s="7"/>
      <c r="B43" s="170" t="str">
        <f>Issue</f>
        <v>2024 Show Season V1 7/22/2024</v>
      </c>
      <c r="C43" s="3"/>
      <c r="D43" s="4"/>
    </row>
    <row r="44" spans="1:8" ht="15.75" x14ac:dyDescent="0.25">
      <c r="A44" s="7"/>
      <c r="B44" s="106" t="str">
        <f>Season</f>
        <v>2022/2023</v>
      </c>
      <c r="C44" s="3" t="s">
        <v>73</v>
      </c>
      <c r="D44" s="38" t="s">
        <v>204</v>
      </c>
    </row>
    <row r="45" spans="1:8" x14ac:dyDescent="0.2">
      <c r="A45" s="9" t="s">
        <v>2</v>
      </c>
      <c r="B45" s="10" t="s">
        <v>3</v>
      </c>
      <c r="C45" s="15" t="s">
        <v>4</v>
      </c>
      <c r="D45" s="115" t="s">
        <v>205</v>
      </c>
    </row>
    <row r="46" spans="1:8" x14ac:dyDescent="0.2">
      <c r="A46" s="116" t="s">
        <v>66</v>
      </c>
      <c r="B46" s="27" t="s">
        <v>126</v>
      </c>
      <c r="C46" s="251">
        <v>0</v>
      </c>
      <c r="D46" s="205">
        <v>0</v>
      </c>
      <c r="H46" s="3"/>
    </row>
    <row r="47" spans="1:8" x14ac:dyDescent="0.2">
      <c r="A47" s="116" t="s">
        <v>67</v>
      </c>
      <c r="B47" s="27" t="s">
        <v>207</v>
      </c>
      <c r="C47" s="251">
        <v>0</v>
      </c>
      <c r="D47" s="205">
        <v>0</v>
      </c>
      <c r="H47" s="3"/>
    </row>
    <row r="48" spans="1:8" x14ac:dyDescent="0.2">
      <c r="A48" s="116" t="s">
        <v>69</v>
      </c>
      <c r="B48" s="27" t="s">
        <v>200</v>
      </c>
      <c r="C48" s="28">
        <v>5</v>
      </c>
      <c r="D48" s="269">
        <v>10</v>
      </c>
      <c r="H48" s="3"/>
    </row>
    <row r="49" spans="1:4" x14ac:dyDescent="0.2">
      <c r="A49" s="116" t="s">
        <v>74</v>
      </c>
      <c r="B49" s="27" t="s">
        <v>210</v>
      </c>
      <c r="C49" s="28">
        <v>6</v>
      </c>
      <c r="D49" s="205">
        <v>6</v>
      </c>
    </row>
    <row r="50" spans="1:4" x14ac:dyDescent="0.2">
      <c r="A50" s="116" t="s">
        <v>311</v>
      </c>
      <c r="B50" s="27" t="s">
        <v>312</v>
      </c>
      <c r="C50" s="28">
        <v>18</v>
      </c>
      <c r="D50" s="205">
        <v>18</v>
      </c>
    </row>
    <row r="51" spans="1:4" x14ac:dyDescent="0.2">
      <c r="A51" s="116" t="s">
        <v>141</v>
      </c>
      <c r="B51" s="27" t="s">
        <v>219</v>
      </c>
      <c r="C51" s="28">
        <v>3</v>
      </c>
      <c r="D51" s="205">
        <v>3</v>
      </c>
    </row>
    <row r="52" spans="1:4" x14ac:dyDescent="0.2">
      <c r="A52" s="116" t="s">
        <v>140</v>
      </c>
      <c r="B52" s="27" t="s">
        <v>220</v>
      </c>
      <c r="C52" s="28">
        <v>1</v>
      </c>
      <c r="D52" s="205">
        <v>1</v>
      </c>
    </row>
    <row r="53" spans="1:4" x14ac:dyDescent="0.2">
      <c r="A53" s="116" t="s">
        <v>142</v>
      </c>
      <c r="B53" s="27" t="s">
        <v>221</v>
      </c>
      <c r="C53" s="28">
        <v>3</v>
      </c>
      <c r="D53" s="205">
        <v>3</v>
      </c>
    </row>
    <row r="54" spans="1:4" x14ac:dyDescent="0.2">
      <c r="A54" s="116" t="s">
        <v>143</v>
      </c>
      <c r="B54" s="203" t="s">
        <v>222</v>
      </c>
      <c r="C54" s="28">
        <v>1</v>
      </c>
      <c r="D54" s="205">
        <v>1</v>
      </c>
    </row>
    <row r="55" spans="1:4" x14ac:dyDescent="0.2">
      <c r="A55" s="116" t="s">
        <v>170</v>
      </c>
      <c r="B55" s="27" t="s">
        <v>293</v>
      </c>
      <c r="C55" s="28">
        <v>7</v>
      </c>
      <c r="D55" s="205">
        <v>7</v>
      </c>
    </row>
    <row r="56" spans="1:4" x14ac:dyDescent="0.2">
      <c r="A56" s="116" t="s">
        <v>171</v>
      </c>
      <c r="B56" s="203" t="s">
        <v>301</v>
      </c>
      <c r="C56" s="28">
        <v>6</v>
      </c>
      <c r="D56" s="205">
        <v>6</v>
      </c>
    </row>
    <row r="57" spans="1:4" x14ac:dyDescent="0.2">
      <c r="A57" s="116" t="s">
        <v>75</v>
      </c>
      <c r="B57" s="27" t="s">
        <v>125</v>
      </c>
      <c r="C57" s="28">
        <v>7</v>
      </c>
      <c r="D57" s="205">
        <v>7</v>
      </c>
    </row>
    <row r="58" spans="1:4" x14ac:dyDescent="0.2">
      <c r="A58" s="116" t="s">
        <v>76</v>
      </c>
      <c r="B58" s="27" t="s">
        <v>137</v>
      </c>
      <c r="C58" s="28">
        <v>10</v>
      </c>
      <c r="D58" s="205">
        <v>10</v>
      </c>
    </row>
    <row r="59" spans="1:4" x14ac:dyDescent="0.2">
      <c r="A59" s="116" t="s">
        <v>77</v>
      </c>
      <c r="B59" s="27" t="s">
        <v>148</v>
      </c>
      <c r="C59" s="28">
        <v>7</v>
      </c>
      <c r="D59" s="205">
        <v>7</v>
      </c>
    </row>
    <row r="60" spans="1:4" x14ac:dyDescent="0.2">
      <c r="A60" s="116" t="s">
        <v>138</v>
      </c>
      <c r="B60" s="27" t="s">
        <v>211</v>
      </c>
      <c r="C60" s="28">
        <v>4</v>
      </c>
      <c r="D60" s="205">
        <v>4</v>
      </c>
    </row>
    <row r="61" spans="1:4" x14ac:dyDescent="0.2">
      <c r="A61" s="116" t="s">
        <v>144</v>
      </c>
      <c r="B61" s="27" t="s">
        <v>212</v>
      </c>
      <c r="C61" s="28">
        <v>3</v>
      </c>
      <c r="D61" s="205">
        <v>3</v>
      </c>
    </row>
    <row r="62" spans="1:4" x14ac:dyDescent="0.2">
      <c r="A62" s="116" t="s">
        <v>78</v>
      </c>
      <c r="B62" s="27" t="s">
        <v>206</v>
      </c>
      <c r="C62" s="28">
        <v>9</v>
      </c>
      <c r="D62" s="205">
        <v>9</v>
      </c>
    </row>
    <row r="63" spans="1:4" x14ac:dyDescent="0.2">
      <c r="A63" s="116" t="s">
        <v>79</v>
      </c>
      <c r="B63" s="27" t="s">
        <v>208</v>
      </c>
      <c r="C63" s="28">
        <v>10</v>
      </c>
      <c r="D63" s="205">
        <v>10</v>
      </c>
    </row>
    <row r="64" spans="1:4" x14ac:dyDescent="0.2">
      <c r="A64" s="116" t="s">
        <v>80</v>
      </c>
      <c r="B64" s="27" t="s">
        <v>209</v>
      </c>
      <c r="C64" s="28">
        <v>7</v>
      </c>
      <c r="D64" s="205">
        <v>7</v>
      </c>
    </row>
    <row r="65" spans="1:4" x14ac:dyDescent="0.2">
      <c r="A65" s="116" t="s">
        <v>81</v>
      </c>
      <c r="B65" s="27" t="s">
        <v>294</v>
      </c>
      <c r="C65" s="28">
        <v>22</v>
      </c>
      <c r="D65" s="205">
        <v>22</v>
      </c>
    </row>
    <row r="66" spans="1:4" x14ac:dyDescent="0.2">
      <c r="A66" s="116" t="s">
        <v>81</v>
      </c>
      <c r="B66" s="27" t="s">
        <v>295</v>
      </c>
      <c r="C66" s="28">
        <v>14</v>
      </c>
      <c r="D66" s="205">
        <v>14</v>
      </c>
    </row>
    <row r="67" spans="1:4" x14ac:dyDescent="0.2">
      <c r="A67" s="116" t="s">
        <v>298</v>
      </c>
      <c r="B67" s="27" t="s">
        <v>296</v>
      </c>
      <c r="C67" s="28">
        <v>22</v>
      </c>
      <c r="D67" s="205">
        <v>22</v>
      </c>
    </row>
    <row r="68" spans="1:4" x14ac:dyDescent="0.2">
      <c r="A68" s="116" t="s">
        <v>298</v>
      </c>
      <c r="B68" s="27" t="s">
        <v>297</v>
      </c>
      <c r="C68" s="28">
        <v>14</v>
      </c>
      <c r="D68" s="205">
        <v>14</v>
      </c>
    </row>
    <row r="69" spans="1:4" x14ac:dyDescent="0.2">
      <c r="A69" s="116" t="s">
        <v>82</v>
      </c>
      <c r="B69" s="27" t="s">
        <v>213</v>
      </c>
      <c r="C69" s="28">
        <v>7</v>
      </c>
      <c r="D69" s="205">
        <v>7</v>
      </c>
    </row>
    <row r="70" spans="1:4" x14ac:dyDescent="0.2">
      <c r="A70" s="116" t="s">
        <v>82</v>
      </c>
      <c r="B70" s="27" t="s">
        <v>214</v>
      </c>
      <c r="C70" s="28">
        <v>6</v>
      </c>
      <c r="D70" s="205">
        <v>6</v>
      </c>
    </row>
    <row r="71" spans="1:4" x14ac:dyDescent="0.2">
      <c r="A71" s="31" t="s">
        <v>234</v>
      </c>
      <c r="B71" s="27" t="s">
        <v>229</v>
      </c>
      <c r="C71" s="28">
        <v>7</v>
      </c>
      <c r="D71" s="205">
        <v>7</v>
      </c>
    </row>
    <row r="72" spans="1:4" x14ac:dyDescent="0.2">
      <c r="A72" s="31" t="s">
        <v>235</v>
      </c>
      <c r="B72" s="27" t="s">
        <v>230</v>
      </c>
      <c r="C72" s="251">
        <v>0</v>
      </c>
      <c r="D72" s="205">
        <v>0</v>
      </c>
    </row>
    <row r="73" spans="1:4" x14ac:dyDescent="0.2">
      <c r="A73" s="31" t="s">
        <v>159</v>
      </c>
      <c r="B73" s="27" t="s">
        <v>231</v>
      </c>
      <c r="C73" s="28">
        <v>5</v>
      </c>
      <c r="D73" s="269">
        <v>0</v>
      </c>
    </row>
    <row r="74" spans="1:4" x14ac:dyDescent="0.2">
      <c r="A74" s="31" t="s">
        <v>160</v>
      </c>
      <c r="B74" s="27" t="s">
        <v>232</v>
      </c>
      <c r="C74" s="251">
        <v>0</v>
      </c>
      <c r="D74" s="205">
        <v>0</v>
      </c>
    </row>
    <row r="75" spans="1:4" x14ac:dyDescent="0.2">
      <c r="A75" s="116" t="s">
        <v>83</v>
      </c>
      <c r="B75" s="27" t="s">
        <v>218</v>
      </c>
      <c r="C75" s="28">
        <v>7</v>
      </c>
      <c r="D75" s="205">
        <v>7</v>
      </c>
    </row>
    <row r="76" spans="1:4" x14ac:dyDescent="0.2">
      <c r="A76" s="116" t="s">
        <v>83</v>
      </c>
      <c r="B76" s="27" t="s">
        <v>217</v>
      </c>
      <c r="C76" s="28">
        <v>6</v>
      </c>
      <c r="D76" s="205">
        <v>6</v>
      </c>
    </row>
    <row r="77" spans="1:4" x14ac:dyDescent="0.2">
      <c r="A77" s="116" t="s">
        <v>326</v>
      </c>
      <c r="B77" s="27" t="s">
        <v>328</v>
      </c>
      <c r="C77" s="28">
        <v>7</v>
      </c>
      <c r="D77" s="205">
        <v>7</v>
      </c>
    </row>
    <row r="78" spans="1:4" x14ac:dyDescent="0.2">
      <c r="A78" s="116" t="s">
        <v>327</v>
      </c>
      <c r="B78" s="27" t="s">
        <v>329</v>
      </c>
      <c r="C78" s="28">
        <v>6</v>
      </c>
      <c r="D78" s="205">
        <v>6</v>
      </c>
    </row>
    <row r="79" spans="1:4" x14ac:dyDescent="0.2">
      <c r="A79" s="116" t="s">
        <v>145</v>
      </c>
      <c r="B79" s="27" t="s">
        <v>215</v>
      </c>
      <c r="C79" s="28">
        <v>3</v>
      </c>
      <c r="D79" s="205">
        <v>3</v>
      </c>
    </row>
    <row r="80" spans="1:4" x14ac:dyDescent="0.2">
      <c r="A80" s="116" t="s">
        <v>146</v>
      </c>
      <c r="B80" s="27" t="s">
        <v>216</v>
      </c>
      <c r="C80" s="28">
        <v>1</v>
      </c>
      <c r="D80" s="205">
        <v>1</v>
      </c>
    </row>
    <row r="81" spans="1:4" x14ac:dyDescent="0.2">
      <c r="A81" s="116" t="s">
        <v>313</v>
      </c>
      <c r="B81" s="27" t="s">
        <v>314</v>
      </c>
      <c r="C81" s="28">
        <v>9</v>
      </c>
      <c r="D81" s="205">
        <v>9</v>
      </c>
    </row>
    <row r="82" spans="1:4" x14ac:dyDescent="0.2">
      <c r="A82" s="116" t="s">
        <v>299</v>
      </c>
      <c r="B82" s="27" t="s">
        <v>99</v>
      </c>
      <c r="C82" s="28">
        <v>2</v>
      </c>
      <c r="D82" s="269">
        <v>1</v>
      </c>
    </row>
    <row r="83" spans="1:4" x14ac:dyDescent="0.2">
      <c r="A83" s="116" t="s">
        <v>300</v>
      </c>
      <c r="B83" s="203" t="s">
        <v>233</v>
      </c>
      <c r="C83" s="28">
        <v>6</v>
      </c>
      <c r="D83" s="205">
        <v>6</v>
      </c>
    </row>
    <row r="84" spans="1:4" x14ac:dyDescent="0.2">
      <c r="A84" s="13"/>
      <c r="C84" s="28"/>
      <c r="D84" s="38" t="s">
        <v>201</v>
      </c>
    </row>
    <row r="85" spans="1:4" x14ac:dyDescent="0.2">
      <c r="A85" s="116"/>
      <c r="B85" s="24" t="s">
        <v>85</v>
      </c>
      <c r="C85" s="174">
        <f>SUM(C45:C84)</f>
        <v>251</v>
      </c>
      <c r="D85" s="37">
        <f>SUM(D45:D84)</f>
        <v>250</v>
      </c>
    </row>
    <row r="86" spans="1:4" x14ac:dyDescent="0.2">
      <c r="A86" s="13"/>
      <c r="C86" s="32"/>
      <c r="D86" s="38"/>
    </row>
    <row r="87" spans="1:4" ht="13.5" thickBot="1" x14ac:dyDescent="0.25">
      <c r="A87" s="118"/>
      <c r="B87" s="119" t="s">
        <v>86</v>
      </c>
      <c r="C87" s="175">
        <f>C39+C85</f>
        <v>395</v>
      </c>
      <c r="D87" s="121"/>
    </row>
    <row r="88" spans="1:4" x14ac:dyDescent="0.2">
      <c r="C88" s="3"/>
      <c r="D88" s="14"/>
    </row>
    <row r="89" spans="1:4" x14ac:dyDescent="0.2">
      <c r="C89" s="3"/>
      <c r="D89" s="14"/>
    </row>
    <row r="90" spans="1:4" x14ac:dyDescent="0.2">
      <c r="C90" s="3"/>
      <c r="D90" s="14"/>
    </row>
    <row r="91" spans="1:4" ht="13.5" thickBot="1" x14ac:dyDescent="0.25">
      <c r="C91" s="3"/>
      <c r="D91" s="14"/>
    </row>
    <row r="92" spans="1:4" ht="18" x14ac:dyDescent="0.25">
      <c r="A92" s="248" t="s">
        <v>306</v>
      </c>
      <c r="B92" s="249"/>
      <c r="C92" s="249"/>
      <c r="D92" s="1"/>
    </row>
    <row r="93" spans="1:4" ht="18" x14ac:dyDescent="0.25">
      <c r="A93" s="107"/>
      <c r="B93" s="170" t="str">
        <f>Issue</f>
        <v>2024 Show Season V1 7/22/2024</v>
      </c>
      <c r="C93" s="108"/>
      <c r="D93" s="4"/>
    </row>
    <row r="94" spans="1:4" ht="15.75" x14ac:dyDescent="0.25">
      <c r="A94" s="7"/>
      <c r="B94" s="106" t="str">
        <f>Season</f>
        <v>2022/2023</v>
      </c>
      <c r="C94" s="8" t="str">
        <f>C4</f>
        <v>Current</v>
      </c>
      <c r="D94" s="6" t="str">
        <f>D4</f>
        <v>RESPONSIBLE</v>
      </c>
    </row>
    <row r="95" spans="1:4" x14ac:dyDescent="0.2">
      <c r="A95" s="9" t="s">
        <v>2</v>
      </c>
      <c r="B95" s="10" t="s">
        <v>3</v>
      </c>
      <c r="C95" s="11" t="s">
        <v>4</v>
      </c>
      <c r="D95" s="12" t="s">
        <v>5</v>
      </c>
    </row>
    <row r="96" spans="1:4" x14ac:dyDescent="0.2">
      <c r="A96" s="116" t="s">
        <v>6</v>
      </c>
      <c r="B96" s="27" t="s">
        <v>7</v>
      </c>
      <c r="C96" s="28">
        <v>4</v>
      </c>
      <c r="D96" s="117" t="s">
        <v>186</v>
      </c>
    </row>
    <row r="97" spans="1:4" x14ac:dyDescent="0.2">
      <c r="A97" s="116" t="s">
        <v>9</v>
      </c>
      <c r="B97" s="27" t="s">
        <v>10</v>
      </c>
      <c r="C97" s="28">
        <v>2</v>
      </c>
      <c r="D97" s="122" t="s">
        <v>186</v>
      </c>
    </row>
    <row r="98" spans="1:4" x14ac:dyDescent="0.2">
      <c r="A98" s="116" t="s">
        <v>11</v>
      </c>
      <c r="B98" s="27" t="s">
        <v>12</v>
      </c>
      <c r="C98" s="28">
        <v>2</v>
      </c>
      <c r="D98" s="117" t="s">
        <v>340</v>
      </c>
    </row>
    <row r="99" spans="1:4" x14ac:dyDescent="0.2">
      <c r="A99" s="116" t="s">
        <v>13</v>
      </c>
      <c r="B99" s="27" t="s">
        <v>14</v>
      </c>
      <c r="C99" s="28">
        <v>2</v>
      </c>
      <c r="D99" s="117" t="s">
        <v>112</v>
      </c>
    </row>
    <row r="100" spans="1:4" x14ac:dyDescent="0.2">
      <c r="A100" s="116" t="s">
        <v>15</v>
      </c>
      <c r="B100" s="27" t="s">
        <v>16</v>
      </c>
      <c r="C100" s="28">
        <v>6</v>
      </c>
      <c r="D100" s="117" t="s">
        <v>17</v>
      </c>
    </row>
    <row r="101" spans="1:4" x14ac:dyDescent="0.2">
      <c r="A101" s="116" t="s">
        <v>18</v>
      </c>
      <c r="B101" s="27" t="s">
        <v>88</v>
      </c>
      <c r="C101" s="28">
        <v>4</v>
      </c>
      <c r="D101" s="117" t="s">
        <v>17</v>
      </c>
    </row>
    <row r="102" spans="1:4" x14ac:dyDescent="0.2">
      <c r="A102" s="116" t="s">
        <v>20</v>
      </c>
      <c r="B102" s="27" t="s">
        <v>89</v>
      </c>
      <c r="C102" s="28">
        <v>7</v>
      </c>
      <c r="D102" s="117" t="s">
        <v>24</v>
      </c>
    </row>
    <row r="103" spans="1:4" x14ac:dyDescent="0.2">
      <c r="A103" s="116" t="s">
        <v>22</v>
      </c>
      <c r="B103" s="27" t="str">
        <f>B13</f>
        <v>Email flyer distribution</v>
      </c>
      <c r="C103" s="28">
        <v>2</v>
      </c>
      <c r="D103" s="117" t="s">
        <v>24</v>
      </c>
    </row>
    <row r="104" spans="1:4" x14ac:dyDescent="0.2">
      <c r="A104" s="116" t="s">
        <v>277</v>
      </c>
      <c r="B104" s="203" t="s">
        <v>278</v>
      </c>
      <c r="C104" s="28">
        <v>8</v>
      </c>
      <c r="D104" s="117" t="s">
        <v>24</v>
      </c>
    </row>
    <row r="105" spans="1:4" x14ac:dyDescent="0.2">
      <c r="A105" s="116" t="s">
        <v>25</v>
      </c>
      <c r="B105" s="27"/>
      <c r="C105" s="251">
        <v>0</v>
      </c>
      <c r="D105" s="122"/>
    </row>
    <row r="106" spans="1:4" x14ac:dyDescent="0.2">
      <c r="A106" s="116" t="s">
        <v>30</v>
      </c>
      <c r="B106" s="27" t="s">
        <v>90</v>
      </c>
      <c r="C106" s="28">
        <v>4</v>
      </c>
      <c r="D106" s="117" t="s">
        <v>36</v>
      </c>
    </row>
    <row r="107" spans="1:4" x14ac:dyDescent="0.2">
      <c r="A107" s="116" t="s">
        <v>32</v>
      </c>
      <c r="B107" s="27" t="s">
        <v>91</v>
      </c>
      <c r="C107" s="28">
        <v>8</v>
      </c>
      <c r="D107" s="117" t="s">
        <v>36</v>
      </c>
    </row>
    <row r="108" spans="1:4" x14ac:dyDescent="0.2">
      <c r="A108" s="116" t="s">
        <v>34</v>
      </c>
      <c r="B108" s="27" t="s">
        <v>35</v>
      </c>
      <c r="C108" s="28">
        <v>4</v>
      </c>
      <c r="D108" s="122" t="s">
        <v>47</v>
      </c>
    </row>
    <row r="109" spans="1:4" x14ac:dyDescent="0.2">
      <c r="A109" s="116" t="s">
        <v>37</v>
      </c>
      <c r="B109" s="27" t="s">
        <v>38</v>
      </c>
      <c r="C109" s="28">
        <v>12</v>
      </c>
      <c r="D109" s="122" t="s">
        <v>47</v>
      </c>
    </row>
    <row r="110" spans="1:4" x14ac:dyDescent="0.2">
      <c r="A110" s="116" t="s">
        <v>39</v>
      </c>
      <c r="B110" s="27" t="s">
        <v>166</v>
      </c>
      <c r="C110" s="28">
        <v>5</v>
      </c>
      <c r="D110" s="122" t="s">
        <v>47</v>
      </c>
    </row>
    <row r="111" spans="1:4" x14ac:dyDescent="0.2">
      <c r="A111" s="116" t="s">
        <v>41</v>
      </c>
      <c r="B111" s="27" t="s">
        <v>167</v>
      </c>
      <c r="C111" s="28">
        <v>5</v>
      </c>
      <c r="D111" s="122" t="s">
        <v>29</v>
      </c>
    </row>
    <row r="112" spans="1:4" x14ac:dyDescent="0.2">
      <c r="A112" s="116" t="s">
        <v>43</v>
      </c>
      <c r="B112" s="27" t="s">
        <v>92</v>
      </c>
      <c r="C112" s="28">
        <v>14</v>
      </c>
      <c r="D112" s="122" t="s">
        <v>45</v>
      </c>
    </row>
    <row r="113" spans="1:4" x14ac:dyDescent="0.2">
      <c r="A113" s="116" t="s">
        <v>46</v>
      </c>
      <c r="B113" s="27" t="s">
        <v>93</v>
      </c>
      <c r="C113" s="28">
        <v>6</v>
      </c>
      <c r="D113" s="122" t="s">
        <v>36</v>
      </c>
    </row>
    <row r="114" spans="1:4" x14ac:dyDescent="0.2">
      <c r="A114" s="116" t="s">
        <v>48</v>
      </c>
      <c r="B114" s="27" t="s">
        <v>49</v>
      </c>
      <c r="C114" s="28">
        <v>4</v>
      </c>
      <c r="D114" s="122" t="s">
        <v>113</v>
      </c>
    </row>
    <row r="115" spans="1:4" x14ac:dyDescent="0.2">
      <c r="A115" s="116" t="s">
        <v>51</v>
      </c>
      <c r="B115" s="27" t="s">
        <v>52</v>
      </c>
      <c r="C115" s="28">
        <v>9</v>
      </c>
      <c r="D115" s="122" t="s">
        <v>113</v>
      </c>
    </row>
    <row r="116" spans="1:4" x14ac:dyDescent="0.2">
      <c r="A116" s="202" t="s">
        <v>280</v>
      </c>
      <c r="B116" s="203" t="s">
        <v>281</v>
      </c>
      <c r="C116" s="28">
        <v>4</v>
      </c>
      <c r="D116" s="122" t="s">
        <v>117</v>
      </c>
    </row>
    <row r="117" spans="1:4" x14ac:dyDescent="0.2">
      <c r="A117" s="116" t="s">
        <v>53</v>
      </c>
      <c r="B117" s="27" t="s">
        <v>54</v>
      </c>
      <c r="C117" s="28">
        <v>1</v>
      </c>
      <c r="D117" s="122" t="s">
        <v>55</v>
      </c>
    </row>
    <row r="118" spans="1:4" x14ac:dyDescent="0.2">
      <c r="A118" s="116" t="s">
        <v>56</v>
      </c>
      <c r="B118" s="27" t="s">
        <v>94</v>
      </c>
      <c r="C118" s="28">
        <v>4</v>
      </c>
      <c r="D118" s="122" t="s">
        <v>113</v>
      </c>
    </row>
    <row r="119" spans="1:4" x14ac:dyDescent="0.2">
      <c r="A119" s="116" t="s">
        <v>58</v>
      </c>
      <c r="B119" s="27" t="s">
        <v>59</v>
      </c>
      <c r="C119" s="28">
        <v>1</v>
      </c>
      <c r="D119" s="122" t="s">
        <v>26</v>
      </c>
    </row>
    <row r="120" spans="1:4" x14ac:dyDescent="0.2">
      <c r="A120" s="116" t="s">
        <v>60</v>
      </c>
      <c r="B120" s="27" t="s">
        <v>61</v>
      </c>
      <c r="C120" s="28">
        <v>2</v>
      </c>
      <c r="D120" s="122" t="s">
        <v>283</v>
      </c>
    </row>
    <row r="121" spans="1:4" x14ac:dyDescent="0.2">
      <c r="A121" s="116" t="s">
        <v>62</v>
      </c>
      <c r="B121" s="27" t="s">
        <v>63</v>
      </c>
      <c r="C121" s="28">
        <v>2</v>
      </c>
      <c r="D121" s="117" t="s">
        <v>290</v>
      </c>
    </row>
    <row r="122" spans="1:4" x14ac:dyDescent="0.2">
      <c r="A122" s="116" t="s">
        <v>64</v>
      </c>
      <c r="B122" s="27" t="s">
        <v>95</v>
      </c>
      <c r="C122" s="28">
        <v>2</v>
      </c>
      <c r="D122" s="117" t="s">
        <v>36</v>
      </c>
    </row>
    <row r="123" spans="1:4" x14ac:dyDescent="0.2">
      <c r="A123" s="116" t="s">
        <v>70</v>
      </c>
      <c r="B123" s="27" t="s">
        <v>71</v>
      </c>
      <c r="C123" s="28">
        <v>3</v>
      </c>
      <c r="D123" s="122" t="s">
        <v>36</v>
      </c>
    </row>
    <row r="124" spans="1:4" x14ac:dyDescent="0.2">
      <c r="A124" s="116" t="s">
        <v>100</v>
      </c>
      <c r="B124" s="27" t="s">
        <v>236</v>
      </c>
      <c r="C124" s="33">
        <v>5</v>
      </c>
      <c r="D124" s="117" t="s">
        <v>45</v>
      </c>
    </row>
    <row r="125" spans="1:4" x14ac:dyDescent="0.2">
      <c r="A125" s="116" t="s">
        <v>259</v>
      </c>
      <c r="B125" s="27" t="s">
        <v>260</v>
      </c>
      <c r="C125" s="28">
        <v>1</v>
      </c>
      <c r="D125" s="117" t="s">
        <v>116</v>
      </c>
    </row>
    <row r="126" spans="1:4" x14ac:dyDescent="0.2">
      <c r="A126" s="116" t="s">
        <v>261</v>
      </c>
      <c r="B126" s="27" t="s">
        <v>262</v>
      </c>
      <c r="C126" s="28">
        <v>1</v>
      </c>
      <c r="D126" s="117" t="s">
        <v>106</v>
      </c>
    </row>
    <row r="127" spans="1:4" x14ac:dyDescent="0.2">
      <c r="A127" s="201"/>
      <c r="C127" s="3"/>
      <c r="D127" s="4"/>
    </row>
    <row r="128" spans="1:4" ht="13.5" thickBot="1" x14ac:dyDescent="0.25">
      <c r="A128" s="123"/>
      <c r="B128" s="119" t="s">
        <v>96</v>
      </c>
      <c r="C128" s="175">
        <f>SUM(C95:C127)</f>
        <v>134</v>
      </c>
      <c r="D128" s="120"/>
    </row>
    <row r="129" spans="1:4" x14ac:dyDescent="0.2">
      <c r="A129" s="3"/>
      <c r="C129" s="3"/>
      <c r="D129" s="14"/>
    </row>
    <row r="130" spans="1:4" ht="13.5" thickBot="1" x14ac:dyDescent="0.25">
      <c r="A130" s="3"/>
      <c r="C130" s="3"/>
      <c r="D130" s="14"/>
    </row>
    <row r="131" spans="1:4" ht="18" x14ac:dyDescent="0.25">
      <c r="A131" s="248" t="s">
        <v>308</v>
      </c>
      <c r="B131" s="249"/>
      <c r="C131" s="249"/>
      <c r="D131" s="1"/>
    </row>
    <row r="132" spans="1:4" x14ac:dyDescent="0.2">
      <c r="A132" s="13"/>
      <c r="B132" s="170" t="str">
        <f>Issue</f>
        <v>2024 Show Season V1 7/22/2024</v>
      </c>
      <c r="C132" s="3"/>
      <c r="D132" s="4"/>
    </row>
    <row r="133" spans="1:4" ht="15.75" x14ac:dyDescent="0.25">
      <c r="A133" s="17"/>
      <c r="B133" s="106" t="str">
        <f>Season</f>
        <v>2022/2023</v>
      </c>
      <c r="C133" s="3"/>
      <c r="D133" s="4"/>
    </row>
    <row r="134" spans="1:4" x14ac:dyDescent="0.2">
      <c r="A134" s="17"/>
      <c r="C134" s="3" t="s">
        <v>73</v>
      </c>
      <c r="D134" s="38" t="s">
        <v>204</v>
      </c>
    </row>
    <row r="135" spans="1:4" x14ac:dyDescent="0.2">
      <c r="A135" s="9" t="s">
        <v>2</v>
      </c>
      <c r="B135" s="10" t="s">
        <v>3</v>
      </c>
      <c r="C135" s="15" t="s">
        <v>4</v>
      </c>
      <c r="D135" s="115" t="s">
        <v>205</v>
      </c>
    </row>
    <row r="136" spans="1:4" x14ac:dyDescent="0.2">
      <c r="A136" s="225" t="s">
        <v>69</v>
      </c>
      <c r="B136" s="27" t="s">
        <v>200</v>
      </c>
      <c r="C136" s="28">
        <v>5</v>
      </c>
      <c r="D136" s="269">
        <v>10</v>
      </c>
    </row>
    <row r="137" spans="1:4" x14ac:dyDescent="0.2">
      <c r="A137" s="31" t="s">
        <v>74</v>
      </c>
      <c r="B137" s="27" t="s">
        <v>210</v>
      </c>
      <c r="C137" s="28">
        <v>6</v>
      </c>
      <c r="D137" s="205">
        <v>6</v>
      </c>
    </row>
    <row r="138" spans="1:4" x14ac:dyDescent="0.2">
      <c r="A138" s="31" t="s">
        <v>311</v>
      </c>
      <c r="B138" s="203" t="s">
        <v>312</v>
      </c>
      <c r="C138" s="28">
        <v>18</v>
      </c>
      <c r="D138" s="205">
        <v>18</v>
      </c>
    </row>
    <row r="139" spans="1:4" x14ac:dyDescent="0.2">
      <c r="A139" s="31" t="s">
        <v>141</v>
      </c>
      <c r="B139" s="27" t="s">
        <v>219</v>
      </c>
      <c r="C139" s="28">
        <v>3</v>
      </c>
      <c r="D139" s="205">
        <v>3</v>
      </c>
    </row>
    <row r="140" spans="1:4" x14ac:dyDescent="0.2">
      <c r="A140" s="31" t="s">
        <v>140</v>
      </c>
      <c r="B140" s="27" t="s">
        <v>220</v>
      </c>
      <c r="C140" s="28">
        <v>1</v>
      </c>
      <c r="D140" s="205">
        <v>1</v>
      </c>
    </row>
    <row r="141" spans="1:4" x14ac:dyDescent="0.2">
      <c r="A141" s="31" t="s">
        <v>142</v>
      </c>
      <c r="B141" s="27" t="s">
        <v>221</v>
      </c>
      <c r="C141" s="28">
        <v>3</v>
      </c>
      <c r="D141" s="205">
        <v>3</v>
      </c>
    </row>
    <row r="142" spans="1:4" x14ac:dyDescent="0.2">
      <c r="A142" s="31" t="s">
        <v>143</v>
      </c>
      <c r="B142" s="27" t="s">
        <v>222</v>
      </c>
      <c r="C142" s="28">
        <v>1</v>
      </c>
      <c r="D142" s="205">
        <v>1</v>
      </c>
    </row>
    <row r="143" spans="1:4" x14ac:dyDescent="0.2">
      <c r="A143" s="31" t="s">
        <v>170</v>
      </c>
      <c r="B143" s="27" t="s">
        <v>223</v>
      </c>
      <c r="C143" s="28">
        <v>7</v>
      </c>
      <c r="D143" s="205">
        <v>7</v>
      </c>
    </row>
    <row r="144" spans="1:4" x14ac:dyDescent="0.2">
      <c r="A144" s="31" t="s">
        <v>171</v>
      </c>
      <c r="B144" s="27" t="s">
        <v>224</v>
      </c>
      <c r="C144" s="28">
        <v>6</v>
      </c>
      <c r="D144" s="205">
        <v>6</v>
      </c>
    </row>
    <row r="145" spans="1:4" x14ac:dyDescent="0.2">
      <c r="A145" s="31" t="s">
        <v>75</v>
      </c>
      <c r="B145" s="27" t="s">
        <v>125</v>
      </c>
      <c r="C145" s="28">
        <v>7</v>
      </c>
      <c r="D145" s="205">
        <v>7</v>
      </c>
    </row>
    <row r="146" spans="1:4" x14ac:dyDescent="0.2">
      <c r="A146" s="31" t="s">
        <v>76</v>
      </c>
      <c r="B146" s="27" t="s">
        <v>137</v>
      </c>
      <c r="C146" s="28">
        <v>10</v>
      </c>
      <c r="D146" s="205">
        <v>10</v>
      </c>
    </row>
    <row r="147" spans="1:4" x14ac:dyDescent="0.2">
      <c r="A147" s="31" t="s">
        <v>77</v>
      </c>
      <c r="B147" s="27" t="s">
        <v>148</v>
      </c>
      <c r="C147" s="28">
        <v>7</v>
      </c>
      <c r="D147" s="205">
        <v>7</v>
      </c>
    </row>
    <row r="148" spans="1:4" x14ac:dyDescent="0.2">
      <c r="A148" s="31" t="s">
        <v>138</v>
      </c>
      <c r="B148" s="27" t="s">
        <v>211</v>
      </c>
      <c r="C148" s="28">
        <v>4</v>
      </c>
      <c r="D148" s="205">
        <v>4</v>
      </c>
    </row>
    <row r="149" spans="1:4" x14ac:dyDescent="0.2">
      <c r="A149" s="31" t="s">
        <v>144</v>
      </c>
      <c r="B149" s="27" t="s">
        <v>212</v>
      </c>
      <c r="C149" s="28">
        <v>3</v>
      </c>
      <c r="D149" s="205">
        <v>3</v>
      </c>
    </row>
    <row r="150" spans="1:4" x14ac:dyDescent="0.2">
      <c r="A150" s="31" t="s">
        <v>78</v>
      </c>
      <c r="B150" s="27" t="s">
        <v>206</v>
      </c>
      <c r="C150" s="28">
        <v>9</v>
      </c>
      <c r="D150" s="205">
        <v>9</v>
      </c>
    </row>
    <row r="151" spans="1:4" x14ac:dyDescent="0.2">
      <c r="A151" s="31" t="s">
        <v>79</v>
      </c>
      <c r="B151" s="27" t="s">
        <v>208</v>
      </c>
      <c r="C151" s="28">
        <v>10</v>
      </c>
      <c r="D151" s="205">
        <v>10</v>
      </c>
    </row>
    <row r="152" spans="1:4" x14ac:dyDescent="0.2">
      <c r="A152" s="31" t="s">
        <v>80</v>
      </c>
      <c r="B152" s="27" t="s">
        <v>209</v>
      </c>
      <c r="C152" s="28">
        <v>7</v>
      </c>
      <c r="D152" s="205">
        <v>7</v>
      </c>
    </row>
    <row r="153" spans="1:4" x14ac:dyDescent="0.2">
      <c r="A153" s="31" t="s">
        <v>97</v>
      </c>
      <c r="B153" s="27" t="s">
        <v>225</v>
      </c>
      <c r="C153" s="28">
        <v>22</v>
      </c>
      <c r="D153" s="205">
        <v>22</v>
      </c>
    </row>
    <row r="154" spans="1:4" x14ac:dyDescent="0.2">
      <c r="A154" s="31" t="s">
        <v>97</v>
      </c>
      <c r="B154" s="27" t="s">
        <v>226</v>
      </c>
      <c r="C154" s="28">
        <v>14</v>
      </c>
      <c r="D154" s="205">
        <v>14</v>
      </c>
    </row>
    <row r="155" spans="1:4" x14ac:dyDescent="0.2">
      <c r="A155" s="31" t="s">
        <v>98</v>
      </c>
      <c r="B155" s="27" t="s">
        <v>227</v>
      </c>
      <c r="C155" s="28">
        <v>22</v>
      </c>
      <c r="D155" s="205">
        <v>22</v>
      </c>
    </row>
    <row r="156" spans="1:4" x14ac:dyDescent="0.2">
      <c r="A156" s="31" t="s">
        <v>98</v>
      </c>
      <c r="B156" s="27" t="s">
        <v>228</v>
      </c>
      <c r="C156" s="28">
        <v>14</v>
      </c>
      <c r="D156" s="205">
        <v>14</v>
      </c>
    </row>
    <row r="157" spans="1:4" x14ac:dyDescent="0.2">
      <c r="A157" s="31" t="s">
        <v>156</v>
      </c>
      <c r="B157" s="27" t="s">
        <v>213</v>
      </c>
      <c r="C157" s="28">
        <v>7</v>
      </c>
      <c r="D157" s="205">
        <v>7</v>
      </c>
    </row>
    <row r="158" spans="1:4" x14ac:dyDescent="0.2">
      <c r="A158" s="31" t="s">
        <v>157</v>
      </c>
      <c r="B158" s="27" t="s">
        <v>214</v>
      </c>
      <c r="C158" s="28">
        <v>6</v>
      </c>
      <c r="D158" s="205">
        <v>6</v>
      </c>
    </row>
    <row r="159" spans="1:4" x14ac:dyDescent="0.2">
      <c r="A159" s="31" t="s">
        <v>234</v>
      </c>
      <c r="B159" s="27" t="s">
        <v>229</v>
      </c>
      <c r="C159" s="28">
        <v>7</v>
      </c>
      <c r="D159" s="205">
        <v>7</v>
      </c>
    </row>
    <row r="160" spans="1:4" x14ac:dyDescent="0.2">
      <c r="A160" s="31" t="s">
        <v>235</v>
      </c>
      <c r="B160" s="27" t="s">
        <v>230</v>
      </c>
      <c r="C160" s="251">
        <v>0</v>
      </c>
      <c r="D160" s="205">
        <v>0</v>
      </c>
    </row>
    <row r="161" spans="1:4" x14ac:dyDescent="0.2">
      <c r="A161" s="31" t="s">
        <v>159</v>
      </c>
      <c r="B161" s="27" t="s">
        <v>231</v>
      </c>
      <c r="C161" s="28">
        <v>5</v>
      </c>
      <c r="D161" s="205">
        <v>5</v>
      </c>
    </row>
    <row r="162" spans="1:4" x14ac:dyDescent="0.2">
      <c r="A162" s="31" t="s">
        <v>160</v>
      </c>
      <c r="B162" s="27" t="s">
        <v>232</v>
      </c>
      <c r="C162" s="251">
        <v>0</v>
      </c>
      <c r="D162" s="205">
        <v>0</v>
      </c>
    </row>
    <row r="163" spans="1:4" x14ac:dyDescent="0.2">
      <c r="A163" s="31" t="s">
        <v>83</v>
      </c>
      <c r="B163" s="27" t="s">
        <v>218</v>
      </c>
      <c r="C163" s="28">
        <v>7</v>
      </c>
      <c r="D163" s="205">
        <v>7</v>
      </c>
    </row>
    <row r="164" spans="1:4" x14ac:dyDescent="0.2">
      <c r="A164" s="31" t="s">
        <v>83</v>
      </c>
      <c r="B164" s="27" t="s">
        <v>217</v>
      </c>
      <c r="C164" s="28">
        <v>6</v>
      </c>
      <c r="D164" s="205">
        <v>6</v>
      </c>
    </row>
    <row r="165" spans="1:4" x14ac:dyDescent="0.2">
      <c r="A165" s="31" t="s">
        <v>326</v>
      </c>
      <c r="B165" s="27" t="s">
        <v>328</v>
      </c>
      <c r="C165" s="28">
        <v>7</v>
      </c>
      <c r="D165" s="205">
        <v>7</v>
      </c>
    </row>
    <row r="166" spans="1:4" x14ac:dyDescent="0.2">
      <c r="A166" s="31" t="s">
        <v>327</v>
      </c>
      <c r="B166" s="203" t="s">
        <v>329</v>
      </c>
      <c r="C166" s="28">
        <v>6</v>
      </c>
      <c r="D166" s="205">
        <v>6</v>
      </c>
    </row>
    <row r="167" spans="1:4" x14ac:dyDescent="0.2">
      <c r="A167" s="31" t="s">
        <v>161</v>
      </c>
      <c r="B167" s="27" t="s">
        <v>215</v>
      </c>
      <c r="C167" s="28">
        <v>3</v>
      </c>
      <c r="D167" s="205">
        <v>3</v>
      </c>
    </row>
    <row r="168" spans="1:4" x14ac:dyDescent="0.2">
      <c r="A168" s="31" t="s">
        <v>162</v>
      </c>
      <c r="B168" s="27" t="s">
        <v>216</v>
      </c>
      <c r="C168" s="28">
        <v>1</v>
      </c>
      <c r="D168" s="205">
        <v>1</v>
      </c>
    </row>
    <row r="169" spans="1:4" x14ac:dyDescent="0.2">
      <c r="A169" s="31" t="s">
        <v>313</v>
      </c>
      <c r="B169" s="27" t="s">
        <v>314</v>
      </c>
      <c r="C169" s="28">
        <v>9</v>
      </c>
      <c r="D169" s="205">
        <v>9</v>
      </c>
    </row>
    <row r="170" spans="1:4" x14ac:dyDescent="0.2">
      <c r="A170" s="31" t="s">
        <v>84</v>
      </c>
      <c r="B170" s="27" t="s">
        <v>99</v>
      </c>
      <c r="C170" s="28">
        <v>2</v>
      </c>
      <c r="D170" s="205">
        <v>2</v>
      </c>
    </row>
    <row r="171" spans="1:4" x14ac:dyDescent="0.2">
      <c r="A171" s="31" t="s">
        <v>116</v>
      </c>
      <c r="B171" s="27" t="s">
        <v>233</v>
      </c>
      <c r="C171" s="28">
        <v>6</v>
      </c>
      <c r="D171" s="205">
        <v>6</v>
      </c>
    </row>
    <row r="172" spans="1:4" x14ac:dyDescent="0.2">
      <c r="A172" s="124"/>
      <c r="C172" s="3"/>
      <c r="D172" s="125" t="s">
        <v>201</v>
      </c>
    </row>
    <row r="173" spans="1:4" x14ac:dyDescent="0.2">
      <c r="A173" s="116"/>
      <c r="B173" s="24" t="s">
        <v>85</v>
      </c>
      <c r="C173" s="174">
        <f>SUM(C135:C172)</f>
        <v>251</v>
      </c>
      <c r="D173" s="177">
        <f>SUM(D135:D172)</f>
        <v>256</v>
      </c>
    </row>
    <row r="174" spans="1:4" x14ac:dyDescent="0.2">
      <c r="A174" s="7"/>
      <c r="C174" s="3"/>
      <c r="D174" s="38"/>
    </row>
    <row r="175" spans="1:4" x14ac:dyDescent="0.2">
      <c r="A175" s="31"/>
      <c r="B175" s="34" t="s">
        <v>101</v>
      </c>
      <c r="C175" s="174">
        <f>C128+C173</f>
        <v>385</v>
      </c>
      <c r="D175" s="37"/>
    </row>
    <row r="176" spans="1:4" x14ac:dyDescent="0.2">
      <c r="A176" s="7"/>
      <c r="C176" s="3"/>
      <c r="D176" s="38"/>
    </row>
    <row r="177" spans="1:4" ht="13.5" thickBot="1" x14ac:dyDescent="0.25">
      <c r="A177" s="118"/>
      <c r="B177" s="126" t="s">
        <v>158</v>
      </c>
      <c r="C177" s="175">
        <f>C87+C175</f>
        <v>780</v>
      </c>
      <c r="D177" s="121"/>
    </row>
  </sheetData>
  <autoFilter ref="A1:D37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1" max="16383" man="1"/>
    <brk id="130" max="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3"/>
  <sheetViews>
    <sheetView workbookViewId="0">
      <selection activeCell="G9" sqref="G9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71" t="s">
        <v>302</v>
      </c>
      <c r="B1" s="71"/>
      <c r="C1" s="71"/>
      <c r="D1" s="71"/>
      <c r="E1" s="71"/>
      <c r="F1" s="71"/>
      <c r="G1" s="72"/>
      <c r="H1" s="73"/>
      <c r="I1" s="73"/>
      <c r="J1" s="73"/>
      <c r="K1" s="73"/>
      <c r="L1" s="73"/>
      <c r="M1" s="73" t="s">
        <v>255</v>
      </c>
      <c r="N1" s="70" t="str">
        <f>Issue</f>
        <v>2024 Show Season V1 7/22/2024</v>
      </c>
      <c r="O1" s="70"/>
      <c r="P1" s="70"/>
      <c r="Q1" s="70"/>
      <c r="R1" s="7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1:51" ht="15.75" x14ac:dyDescent="0.25">
      <c r="A2" s="71" t="s">
        <v>303</v>
      </c>
      <c r="B2" s="71"/>
      <c r="C2" s="71"/>
      <c r="D2" s="71"/>
      <c r="E2" s="71"/>
      <c r="F2" s="71"/>
      <c r="G2" s="72"/>
      <c r="H2" s="74"/>
      <c r="I2" s="75"/>
      <c r="J2" s="74"/>
      <c r="K2" s="74"/>
      <c r="L2" s="74"/>
      <c r="M2" s="74"/>
      <c r="N2" s="70"/>
      <c r="O2" s="70"/>
      <c r="P2" s="70"/>
      <c r="Q2" s="70"/>
      <c r="R2" s="72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4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</row>
    <row r="3" spans="1:51" ht="15" customHeight="1" x14ac:dyDescent="0.3">
      <c r="A3" s="78" t="s">
        <v>332</v>
      </c>
      <c r="B3" s="221"/>
      <c r="C3" s="221"/>
      <c r="D3" s="221"/>
      <c r="E3" s="221"/>
      <c r="F3" s="221"/>
      <c r="G3" s="72"/>
      <c r="H3" s="74"/>
      <c r="I3" s="75"/>
      <c r="J3" s="172" t="s">
        <v>163</v>
      </c>
      <c r="K3" s="77"/>
      <c r="L3" s="76"/>
      <c r="M3" s="76"/>
      <c r="N3" s="70"/>
      <c r="O3" s="70"/>
      <c r="P3" s="70"/>
      <c r="Q3" s="70"/>
      <c r="R3" s="72"/>
      <c r="S3" s="20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</row>
    <row r="4" spans="1:51" ht="15.75" x14ac:dyDescent="0.25">
      <c r="A4" s="73"/>
      <c r="B4" s="73"/>
      <c r="C4" s="73"/>
      <c r="D4" s="73"/>
      <c r="E4" s="73"/>
      <c r="F4" s="73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</row>
    <row r="5" spans="1:51" ht="16.5" thickBot="1" x14ac:dyDescent="0.3">
      <c r="A5" s="61" t="str">
        <f>A3</f>
        <v>Friday 9/29/2023</v>
      </c>
      <c r="B5" s="220" t="s">
        <v>127</v>
      </c>
      <c r="C5" s="220" t="s">
        <v>128</v>
      </c>
      <c r="D5" s="227" t="s">
        <v>129</v>
      </c>
      <c r="E5" s="220" t="s">
        <v>130</v>
      </c>
      <c r="F5" s="220" t="s">
        <v>131</v>
      </c>
      <c r="G5" s="62" t="s">
        <v>132</v>
      </c>
      <c r="H5" s="62" t="s">
        <v>133</v>
      </c>
      <c r="I5" s="62" t="s">
        <v>134</v>
      </c>
      <c r="J5" s="62" t="s">
        <v>135</v>
      </c>
      <c r="K5" s="62" t="s">
        <v>136</v>
      </c>
      <c r="L5" s="62" t="s">
        <v>147</v>
      </c>
      <c r="M5" s="62" t="s">
        <v>172</v>
      </c>
      <c r="N5" s="62" t="s">
        <v>127</v>
      </c>
      <c r="O5" s="62" t="s">
        <v>128</v>
      </c>
      <c r="P5" s="62" t="s">
        <v>129</v>
      </c>
      <c r="Q5" s="62" t="s">
        <v>173</v>
      </c>
      <c r="R5" s="72"/>
      <c r="S5" s="20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</row>
    <row r="6" spans="1:51" ht="15.75" x14ac:dyDescent="0.25">
      <c r="A6" s="63" t="s">
        <v>200</v>
      </c>
      <c r="B6" s="47" t="s">
        <v>47</v>
      </c>
      <c r="C6" s="47" t="s">
        <v>47</v>
      </c>
      <c r="D6" s="47" t="s">
        <v>47</v>
      </c>
      <c r="E6" s="47" t="s">
        <v>47</v>
      </c>
      <c r="F6" s="47" t="s">
        <v>47</v>
      </c>
      <c r="G6" s="47" t="s">
        <v>47</v>
      </c>
      <c r="H6" s="47" t="s">
        <v>47</v>
      </c>
      <c r="I6" s="47" t="s">
        <v>47</v>
      </c>
      <c r="J6" s="47" t="s">
        <v>47</v>
      </c>
      <c r="K6" s="47" t="s">
        <v>47</v>
      </c>
      <c r="L6" s="43"/>
      <c r="M6" s="43"/>
      <c r="N6" s="43"/>
      <c r="O6" s="43"/>
      <c r="P6" s="43"/>
      <c r="Q6" s="178"/>
      <c r="R6" s="17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</row>
    <row r="7" spans="1:51" ht="15" x14ac:dyDescent="0.2">
      <c r="A7" s="64" t="s">
        <v>200</v>
      </c>
      <c r="B7" s="70"/>
      <c r="C7" s="70"/>
      <c r="D7" s="70"/>
      <c r="E7" s="70"/>
      <c r="F7" s="70"/>
      <c r="G7" s="43"/>
      <c r="H7" s="43"/>
      <c r="I7" s="43"/>
      <c r="J7" s="43"/>
      <c r="K7" s="43"/>
      <c r="L7" s="43"/>
      <c r="M7" s="43"/>
      <c r="N7" s="43"/>
      <c r="O7" s="43"/>
      <c r="P7" s="43"/>
      <c r="Q7" s="178"/>
      <c r="R7" s="72"/>
      <c r="S7" s="20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Y7" s="20"/>
    </row>
    <row r="8" spans="1:51" ht="15" x14ac:dyDescent="0.2">
      <c r="A8" s="64" t="s">
        <v>314</v>
      </c>
      <c r="B8" s="64"/>
      <c r="C8" s="64"/>
      <c r="D8" s="204" t="s">
        <v>29</v>
      </c>
      <c r="E8" s="204" t="s">
        <v>290</v>
      </c>
      <c r="F8" s="204" t="s">
        <v>290</v>
      </c>
      <c r="G8" s="231" t="s">
        <v>29</v>
      </c>
      <c r="H8" s="231" t="s">
        <v>29</v>
      </c>
      <c r="I8" s="231" t="s">
        <v>29</v>
      </c>
      <c r="J8" s="231" t="s">
        <v>29</v>
      </c>
      <c r="K8" s="231" t="s">
        <v>29</v>
      </c>
      <c r="L8" s="204" t="s">
        <v>29</v>
      </c>
      <c r="M8" s="204"/>
      <c r="N8" s="43"/>
      <c r="O8" s="43"/>
      <c r="P8" s="43"/>
      <c r="Q8" s="178"/>
      <c r="R8" s="72"/>
      <c r="S8" s="20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Y8" s="20"/>
    </row>
    <row r="9" spans="1:51" ht="15" x14ac:dyDescent="0.2">
      <c r="A9" s="64" t="s">
        <v>312</v>
      </c>
      <c r="B9" s="64"/>
      <c r="C9" s="64"/>
      <c r="D9" s="64"/>
      <c r="E9" s="204" t="s">
        <v>50</v>
      </c>
      <c r="F9" s="204" t="s">
        <v>50</v>
      </c>
      <c r="G9" s="231" t="s">
        <v>117</v>
      </c>
      <c r="H9" s="262" t="s">
        <v>117</v>
      </c>
      <c r="I9" s="262" t="s">
        <v>116</v>
      </c>
      <c r="J9" s="262" t="s">
        <v>115</v>
      </c>
      <c r="K9" s="231" t="s">
        <v>115</v>
      </c>
      <c r="L9" s="262" t="s">
        <v>115</v>
      </c>
      <c r="M9" s="263" t="s">
        <v>106</v>
      </c>
      <c r="N9" s="43"/>
      <c r="O9" s="43"/>
      <c r="P9" s="43"/>
      <c r="Q9" s="178"/>
      <c r="R9" s="72"/>
      <c r="S9" s="20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Y9" s="20"/>
    </row>
    <row r="10" spans="1:51" ht="15" x14ac:dyDescent="0.2">
      <c r="A10" s="64" t="s">
        <v>312</v>
      </c>
      <c r="B10" s="64"/>
      <c r="C10" s="64"/>
      <c r="D10" s="64"/>
      <c r="E10" s="232" t="s">
        <v>340</v>
      </c>
      <c r="F10" s="232" t="s">
        <v>340</v>
      </c>
      <c r="G10" s="231" t="s">
        <v>55</v>
      </c>
      <c r="H10" s="231" t="s">
        <v>55</v>
      </c>
      <c r="I10" s="262" t="s">
        <v>24</v>
      </c>
      <c r="J10" s="231" t="s">
        <v>24</v>
      </c>
      <c r="K10" s="231" t="s">
        <v>106</v>
      </c>
      <c r="L10" s="204" t="s">
        <v>26</v>
      </c>
      <c r="M10" s="264" t="s">
        <v>50</v>
      </c>
      <c r="N10" s="43"/>
      <c r="O10" s="43"/>
      <c r="P10" s="43"/>
      <c r="Q10" s="178"/>
      <c r="R10" s="72"/>
      <c r="S10" s="20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Y10" s="20"/>
    </row>
    <row r="11" spans="1:51" ht="15" x14ac:dyDescent="0.2">
      <c r="A11" s="65" t="s">
        <v>125</v>
      </c>
      <c r="B11" s="218"/>
      <c r="C11" s="218"/>
      <c r="D11" s="218"/>
      <c r="E11" s="218"/>
      <c r="F11" s="218"/>
      <c r="G11" s="41"/>
      <c r="H11" s="41"/>
      <c r="I11" s="46" t="s">
        <v>112</v>
      </c>
      <c r="J11" s="46" t="s">
        <v>112</v>
      </c>
      <c r="K11" s="46" t="s">
        <v>112</v>
      </c>
      <c r="L11" s="46" t="s">
        <v>112</v>
      </c>
      <c r="M11" s="46" t="s">
        <v>112</v>
      </c>
      <c r="N11" s="233" t="s">
        <v>112</v>
      </c>
      <c r="O11" s="233" t="s">
        <v>112</v>
      </c>
      <c r="P11" s="216"/>
      <c r="Q11" s="179"/>
      <c r="R11" s="72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14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Y11" s="20"/>
    </row>
    <row r="12" spans="1:51" ht="15" x14ac:dyDescent="0.2">
      <c r="A12" s="65" t="s">
        <v>206</v>
      </c>
      <c r="B12" s="218"/>
      <c r="C12" s="218"/>
      <c r="D12" s="218"/>
      <c r="E12" s="218"/>
      <c r="F12" s="218"/>
      <c r="G12" s="234" t="s">
        <v>50</v>
      </c>
      <c r="H12" s="234" t="s">
        <v>50</v>
      </c>
      <c r="I12" s="46" t="s">
        <v>50</v>
      </c>
      <c r="J12" s="46" t="s">
        <v>50</v>
      </c>
      <c r="K12" s="46" t="s">
        <v>55</v>
      </c>
      <c r="L12" s="46" t="s">
        <v>55</v>
      </c>
      <c r="M12" s="46" t="s">
        <v>55</v>
      </c>
      <c r="N12" s="47" t="s">
        <v>55</v>
      </c>
      <c r="O12" s="47" t="s">
        <v>55</v>
      </c>
      <c r="P12" s="215"/>
      <c r="Q12" s="179"/>
      <c r="R12" s="72"/>
      <c r="S12" s="20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Y12" s="20"/>
    </row>
    <row r="13" spans="1:51" ht="15" x14ac:dyDescent="0.2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Y13" s="20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31"/>
  <sheetViews>
    <sheetView workbookViewId="0">
      <selection activeCell="F12" sqref="F12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21" bestFit="1" customWidth="1"/>
  </cols>
  <sheetData>
    <row r="1" spans="1:43" ht="15.75" x14ac:dyDescent="0.25">
      <c r="A1" s="71" t="s">
        <v>302</v>
      </c>
      <c r="B1" s="72"/>
      <c r="C1" s="71"/>
      <c r="D1" s="71"/>
      <c r="E1" s="71"/>
      <c r="F1" s="71"/>
      <c r="G1" s="71"/>
      <c r="H1" s="71" t="s">
        <v>255</v>
      </c>
      <c r="I1" s="70" t="str">
        <f>Issue</f>
        <v>2024 Show Season V1 7/22/2024</v>
      </c>
      <c r="J1" s="70"/>
      <c r="K1" s="70"/>
      <c r="L1" s="70"/>
      <c r="M1" s="72"/>
    </row>
    <row r="2" spans="1:43" ht="15.75" x14ac:dyDescent="0.25">
      <c r="A2" s="71" t="s">
        <v>303</v>
      </c>
      <c r="B2" s="74"/>
      <c r="C2" s="70"/>
      <c r="D2" s="70"/>
      <c r="E2" s="70"/>
      <c r="F2" s="70"/>
      <c r="G2" s="70"/>
      <c r="H2" s="70"/>
      <c r="I2" s="70"/>
      <c r="J2" s="70"/>
      <c r="K2" s="70"/>
      <c r="L2" s="70"/>
      <c r="M2" s="72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8.75" x14ac:dyDescent="0.3">
      <c r="A3" s="78" t="s">
        <v>333</v>
      </c>
      <c r="B3" s="70"/>
      <c r="C3" s="70"/>
      <c r="D3" s="70"/>
      <c r="E3" s="172" t="s">
        <v>164</v>
      </c>
      <c r="F3" s="76"/>
      <c r="G3" s="76"/>
      <c r="H3" s="70"/>
      <c r="I3" s="70"/>
      <c r="J3" s="70"/>
      <c r="K3" s="70"/>
      <c r="L3" s="70"/>
      <c r="M3" s="72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75" x14ac:dyDescent="0.25">
      <c r="A4" s="73"/>
      <c r="B4" s="70"/>
      <c r="C4" s="70"/>
      <c r="D4" s="70"/>
      <c r="E4" s="70"/>
      <c r="F4" s="70"/>
      <c r="G4" s="70"/>
      <c r="H4" s="70"/>
      <c r="I4" s="70"/>
      <c r="J4" s="70"/>
      <c r="K4" s="70"/>
      <c r="L4" s="81"/>
      <c r="M4" s="72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5" thickBot="1" x14ac:dyDescent="0.3">
      <c r="A5" s="61" t="str">
        <f>A3</f>
        <v>Saturday 9/30/2023</v>
      </c>
      <c r="B5" s="67" t="s">
        <v>127</v>
      </c>
      <c r="C5" s="67" t="s">
        <v>128</v>
      </c>
      <c r="D5" s="67" t="s">
        <v>129</v>
      </c>
      <c r="E5" s="62" t="s">
        <v>130</v>
      </c>
      <c r="F5" s="62" t="s">
        <v>131</v>
      </c>
      <c r="G5" s="62" t="s">
        <v>132</v>
      </c>
      <c r="H5" s="62" t="s">
        <v>133</v>
      </c>
      <c r="I5" s="62" t="s">
        <v>134</v>
      </c>
      <c r="J5" s="62" t="s">
        <v>135</v>
      </c>
      <c r="K5" s="62" t="s">
        <v>136</v>
      </c>
      <c r="L5" s="67" t="s">
        <v>147</v>
      </c>
      <c r="M5" s="72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">
      <c r="A6" s="63" t="s">
        <v>210</v>
      </c>
      <c r="B6" s="47" t="s">
        <v>111</v>
      </c>
      <c r="C6" s="47" t="s">
        <v>55</v>
      </c>
      <c r="D6" s="20" t="s">
        <v>50</v>
      </c>
      <c r="E6" s="43"/>
      <c r="F6" s="43"/>
      <c r="G6" s="43"/>
      <c r="H6" s="43"/>
      <c r="I6" s="43"/>
      <c r="J6" s="43"/>
      <c r="K6" s="43"/>
      <c r="L6" s="44"/>
      <c r="M6" s="72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">
      <c r="A7" s="64" t="s">
        <v>210</v>
      </c>
      <c r="B7" s="47" t="s">
        <v>8</v>
      </c>
      <c r="C7" s="47" t="s">
        <v>8</v>
      </c>
      <c r="D7" s="20" t="s">
        <v>50</v>
      </c>
      <c r="E7" s="43"/>
      <c r="F7" s="43"/>
      <c r="G7" s="43"/>
      <c r="H7" s="43"/>
      <c r="I7" s="43"/>
      <c r="J7" s="43"/>
      <c r="K7" s="43"/>
      <c r="L7" s="44"/>
      <c r="M7" s="72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">
      <c r="A8" s="65" t="s">
        <v>219</v>
      </c>
      <c r="B8" s="46" t="s">
        <v>122</v>
      </c>
      <c r="C8" s="46" t="s">
        <v>117</v>
      </c>
      <c r="D8" s="234" t="s">
        <v>17</v>
      </c>
      <c r="E8" s="41"/>
      <c r="F8" s="41"/>
      <c r="G8" s="41"/>
      <c r="H8" s="41"/>
      <c r="I8" s="41"/>
      <c r="J8" s="41"/>
      <c r="K8" s="41"/>
      <c r="L8" s="42"/>
      <c r="M8" s="72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4" t="s">
        <v>221</v>
      </c>
      <c r="B9" s="47" t="s">
        <v>115</v>
      </c>
      <c r="C9" s="47" t="s">
        <v>115</v>
      </c>
      <c r="D9" s="266" t="s">
        <v>115</v>
      </c>
      <c r="E9" s="41"/>
      <c r="F9" s="43"/>
      <c r="G9" s="43"/>
      <c r="H9" s="43"/>
      <c r="I9" s="43"/>
      <c r="J9" s="43"/>
      <c r="K9" s="43"/>
      <c r="L9" s="44"/>
      <c r="M9" s="72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5" t="s">
        <v>293</v>
      </c>
      <c r="B10" s="41"/>
      <c r="C10" s="41"/>
      <c r="D10" s="41"/>
      <c r="E10" s="46" t="s">
        <v>26</v>
      </c>
      <c r="F10" s="235" t="s">
        <v>117</v>
      </c>
      <c r="G10" s="46" t="s">
        <v>117</v>
      </c>
      <c r="H10" s="46" t="s">
        <v>50</v>
      </c>
      <c r="I10" s="46" t="s">
        <v>50</v>
      </c>
      <c r="J10" s="46" t="s">
        <v>112</v>
      </c>
      <c r="K10" s="46" t="s">
        <v>50</v>
      </c>
      <c r="L10" s="42"/>
      <c r="M10" s="72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5" t="s">
        <v>137</v>
      </c>
      <c r="B11" s="46" t="s">
        <v>112</v>
      </c>
      <c r="C11" s="46" t="s">
        <v>112</v>
      </c>
      <c r="D11" s="231" t="s">
        <v>112</v>
      </c>
      <c r="E11" s="236" t="s">
        <v>340</v>
      </c>
      <c r="F11" s="46" t="s">
        <v>290</v>
      </c>
      <c r="G11" s="46" t="s">
        <v>290</v>
      </c>
      <c r="H11" s="46" t="s">
        <v>116</v>
      </c>
      <c r="I11" s="46" t="s">
        <v>106</v>
      </c>
      <c r="J11" s="46" t="s">
        <v>8</v>
      </c>
      <c r="K11" s="237" t="s">
        <v>186</v>
      </c>
      <c r="L11" s="42"/>
      <c r="M11" s="72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5" t="s">
        <v>211</v>
      </c>
      <c r="B12" s="41"/>
      <c r="C12" s="41"/>
      <c r="D12" s="231" t="s">
        <v>113</v>
      </c>
      <c r="E12" s="42"/>
      <c r="F12" s="46" t="s">
        <v>113</v>
      </c>
      <c r="G12" s="42"/>
      <c r="H12" s="46" t="s">
        <v>113</v>
      </c>
      <c r="I12" s="42"/>
      <c r="J12" s="46" t="s">
        <v>113</v>
      </c>
      <c r="K12" s="42"/>
      <c r="L12" s="42"/>
      <c r="M12" s="72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">
      <c r="A13" s="65" t="s">
        <v>208</v>
      </c>
      <c r="B13" s="236" t="s">
        <v>340</v>
      </c>
      <c r="C13" s="236" t="s">
        <v>340</v>
      </c>
      <c r="D13" s="236" t="s">
        <v>340</v>
      </c>
      <c r="E13" s="46" t="s">
        <v>117</v>
      </c>
      <c r="F13" s="46" t="s">
        <v>122</v>
      </c>
      <c r="G13" s="46" t="s">
        <v>122</v>
      </c>
      <c r="H13" s="46" t="s">
        <v>111</v>
      </c>
      <c r="I13" s="46" t="s">
        <v>117</v>
      </c>
      <c r="J13" s="46" t="s">
        <v>116</v>
      </c>
      <c r="K13" s="46" t="s">
        <v>111</v>
      </c>
      <c r="L13" s="42"/>
      <c r="M13" s="72"/>
    </row>
    <row r="14" spans="1:43" ht="15" x14ac:dyDescent="0.2">
      <c r="A14" s="65" t="s">
        <v>294</v>
      </c>
      <c r="B14" s="41"/>
      <c r="C14" s="41"/>
      <c r="D14" s="41"/>
      <c r="E14" s="46" t="s">
        <v>111</v>
      </c>
      <c r="F14" s="46" t="s">
        <v>111</v>
      </c>
      <c r="G14" s="265" t="s">
        <v>111</v>
      </c>
      <c r="H14" s="46" t="s">
        <v>26</v>
      </c>
      <c r="I14" s="46" t="s">
        <v>17</v>
      </c>
      <c r="J14" s="46" t="s">
        <v>122</v>
      </c>
      <c r="K14" s="267" t="s">
        <v>55</v>
      </c>
      <c r="L14" s="42"/>
      <c r="M14" s="72"/>
    </row>
    <row r="15" spans="1:43" ht="15" x14ac:dyDescent="0.2">
      <c r="A15" s="64" t="s">
        <v>294</v>
      </c>
      <c r="B15" s="43"/>
      <c r="C15" s="43"/>
      <c r="D15" s="43"/>
      <c r="E15" s="47" t="s">
        <v>112</v>
      </c>
      <c r="F15" s="47" t="s">
        <v>112</v>
      </c>
      <c r="G15" s="266" t="s">
        <v>186</v>
      </c>
      <c r="H15" s="47" t="s">
        <v>17</v>
      </c>
      <c r="I15" s="47" t="s">
        <v>122</v>
      </c>
      <c r="J15" s="47" t="s">
        <v>26</v>
      </c>
      <c r="K15" s="47" t="s">
        <v>112</v>
      </c>
      <c r="L15" s="44"/>
      <c r="M15" s="72"/>
    </row>
    <row r="16" spans="1:43" ht="15" x14ac:dyDescent="0.2">
      <c r="A16" s="64" t="s">
        <v>294</v>
      </c>
      <c r="B16" s="43"/>
      <c r="C16" s="43"/>
      <c r="D16" s="43"/>
      <c r="E16" s="47" t="s">
        <v>55</v>
      </c>
      <c r="F16" s="265" t="s">
        <v>55</v>
      </c>
      <c r="G16" s="265" t="s">
        <v>55</v>
      </c>
      <c r="H16" s="47" t="s">
        <v>55</v>
      </c>
      <c r="I16" s="43"/>
      <c r="J16" s="43"/>
      <c r="K16" s="43"/>
      <c r="L16" s="44"/>
      <c r="M16" s="72"/>
    </row>
    <row r="17" spans="1:13" ht="15" x14ac:dyDescent="0.2">
      <c r="A17" s="64" t="s">
        <v>294</v>
      </c>
      <c r="B17" s="43"/>
      <c r="C17" s="43"/>
      <c r="D17" s="43"/>
      <c r="E17" s="47" t="s">
        <v>115</v>
      </c>
      <c r="F17" s="47" t="s">
        <v>115</v>
      </c>
      <c r="G17" s="47" t="s">
        <v>112</v>
      </c>
      <c r="H17" s="47" t="s">
        <v>112</v>
      </c>
      <c r="I17" s="43"/>
      <c r="J17" s="43"/>
      <c r="K17" s="43"/>
      <c r="L17" s="44"/>
      <c r="M17" s="72"/>
    </row>
    <row r="18" spans="1:13" ht="15" x14ac:dyDescent="0.2">
      <c r="A18" s="65" t="s">
        <v>296</v>
      </c>
      <c r="B18" s="43"/>
      <c r="C18" s="43"/>
      <c r="D18" s="43"/>
      <c r="E18" s="47" t="s">
        <v>122</v>
      </c>
      <c r="F18" s="46" t="s">
        <v>122</v>
      </c>
      <c r="G18" s="47" t="s">
        <v>122</v>
      </c>
      <c r="H18" s="47" t="s">
        <v>122</v>
      </c>
      <c r="I18" s="47" t="s">
        <v>111</v>
      </c>
      <c r="J18" s="265" t="s">
        <v>111</v>
      </c>
      <c r="K18" s="265" t="s">
        <v>47</v>
      </c>
      <c r="L18" s="44"/>
      <c r="M18" s="72"/>
    </row>
    <row r="19" spans="1:13" ht="15" x14ac:dyDescent="0.2">
      <c r="A19" s="65" t="s">
        <v>296</v>
      </c>
      <c r="B19" s="43"/>
      <c r="C19" s="43"/>
      <c r="D19" s="43"/>
      <c r="E19" s="238" t="s">
        <v>340</v>
      </c>
      <c r="F19" s="265" t="s">
        <v>340</v>
      </c>
      <c r="G19" s="266" t="s">
        <v>340</v>
      </c>
      <c r="H19" s="265" t="s">
        <v>340</v>
      </c>
      <c r="I19" s="238" t="s">
        <v>340</v>
      </c>
      <c r="J19" s="265" t="s">
        <v>340</v>
      </c>
      <c r="K19" s="47" t="s">
        <v>55</v>
      </c>
      <c r="L19" s="44"/>
      <c r="M19" s="72"/>
    </row>
    <row r="20" spans="1:13" ht="15" x14ac:dyDescent="0.2">
      <c r="A20" s="65" t="s">
        <v>296</v>
      </c>
      <c r="B20" s="43"/>
      <c r="C20" s="43"/>
      <c r="D20" s="43"/>
      <c r="E20" s="47" t="s">
        <v>47</v>
      </c>
      <c r="F20" s="47" t="s">
        <v>45</v>
      </c>
      <c r="G20" s="47" t="s">
        <v>45</v>
      </c>
      <c r="H20" s="266" t="s">
        <v>45</v>
      </c>
      <c r="I20" s="43"/>
      <c r="J20" s="43"/>
      <c r="K20" s="43"/>
      <c r="L20" s="44"/>
      <c r="M20" s="72"/>
    </row>
    <row r="21" spans="1:13" ht="15" x14ac:dyDescent="0.2">
      <c r="A21" s="65" t="s">
        <v>296</v>
      </c>
      <c r="B21" s="43"/>
      <c r="C21" s="43"/>
      <c r="D21" s="43"/>
      <c r="E21" s="47" t="s">
        <v>50</v>
      </c>
      <c r="F21" s="265" t="s">
        <v>50</v>
      </c>
      <c r="G21" s="47" t="s">
        <v>50</v>
      </c>
      <c r="H21" s="47" t="s">
        <v>50</v>
      </c>
      <c r="I21" s="43"/>
      <c r="J21" s="43"/>
      <c r="K21" s="43"/>
      <c r="L21" s="44"/>
      <c r="M21" s="72"/>
    </row>
    <row r="22" spans="1:13" ht="15" x14ac:dyDescent="0.2">
      <c r="A22" s="65" t="s">
        <v>213</v>
      </c>
      <c r="B22" s="41"/>
      <c r="C22" s="41"/>
      <c r="D22" s="41"/>
      <c r="E22" s="46" t="s">
        <v>122</v>
      </c>
      <c r="F22" s="46" t="s">
        <v>8</v>
      </c>
      <c r="G22" s="46" t="s">
        <v>55</v>
      </c>
      <c r="H22" s="46" t="s">
        <v>283</v>
      </c>
      <c r="I22" s="46" t="s">
        <v>112</v>
      </c>
      <c r="J22" s="265" t="s">
        <v>106</v>
      </c>
      <c r="K22" s="46" t="s">
        <v>111</v>
      </c>
      <c r="L22" s="42"/>
      <c r="M22" s="72"/>
    </row>
    <row r="23" spans="1:13" ht="15" x14ac:dyDescent="0.2">
      <c r="A23" s="65" t="s">
        <v>229</v>
      </c>
      <c r="B23" s="41"/>
      <c r="C23" s="41"/>
      <c r="D23" s="41"/>
      <c r="E23" s="46" t="s">
        <v>283</v>
      </c>
      <c r="F23" s="265" t="s">
        <v>111</v>
      </c>
      <c r="G23" s="265" t="s">
        <v>50</v>
      </c>
      <c r="H23" s="46" t="s">
        <v>122</v>
      </c>
      <c r="I23" s="46" t="s">
        <v>115</v>
      </c>
      <c r="J23" s="46" t="s">
        <v>115</v>
      </c>
      <c r="K23" s="46" t="s">
        <v>122</v>
      </c>
      <c r="L23" s="42"/>
      <c r="M23" s="72"/>
    </row>
    <row r="24" spans="1:13" ht="15" x14ac:dyDescent="0.2">
      <c r="A24" s="65" t="s">
        <v>230</v>
      </c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2"/>
      <c r="M24" s="72"/>
    </row>
    <row r="25" spans="1:13" ht="15" x14ac:dyDescent="0.2">
      <c r="A25" s="65" t="s">
        <v>218</v>
      </c>
      <c r="B25" s="41"/>
      <c r="C25" s="41"/>
      <c r="D25" s="41"/>
      <c r="E25" s="266" t="s">
        <v>47</v>
      </c>
      <c r="F25" s="46" t="s">
        <v>47</v>
      </c>
      <c r="G25" s="46" t="s">
        <v>115</v>
      </c>
      <c r="H25" s="46" t="s">
        <v>115</v>
      </c>
      <c r="I25" s="46" t="s">
        <v>116</v>
      </c>
      <c r="J25" s="46" t="s">
        <v>55</v>
      </c>
      <c r="K25" s="46" t="s">
        <v>117</v>
      </c>
      <c r="L25" s="42"/>
      <c r="M25" s="72"/>
    </row>
    <row r="26" spans="1:13" ht="15" x14ac:dyDescent="0.2">
      <c r="A26" s="65" t="s">
        <v>328</v>
      </c>
      <c r="B26" s="41"/>
      <c r="C26" s="41"/>
      <c r="D26" s="41"/>
      <c r="E26" s="204" t="s">
        <v>45</v>
      </c>
      <c r="F26" s="204" t="s">
        <v>116</v>
      </c>
      <c r="G26" s="204" t="s">
        <v>55</v>
      </c>
      <c r="H26" s="204" t="s">
        <v>8</v>
      </c>
      <c r="I26" s="204" t="s">
        <v>117</v>
      </c>
      <c r="J26" s="204" t="s">
        <v>26</v>
      </c>
      <c r="K26" s="204" t="s">
        <v>50</v>
      </c>
      <c r="L26" s="42"/>
      <c r="M26" s="72"/>
    </row>
    <row r="27" spans="1:13" ht="15" x14ac:dyDescent="0.2">
      <c r="A27" s="65" t="s">
        <v>215</v>
      </c>
      <c r="B27" s="46" t="s">
        <v>116</v>
      </c>
      <c r="C27" s="46" t="s">
        <v>116</v>
      </c>
      <c r="D27" s="46" t="s">
        <v>111</v>
      </c>
      <c r="E27" s="41"/>
      <c r="F27" s="41"/>
      <c r="G27" s="41"/>
      <c r="H27" s="41"/>
      <c r="I27" s="41"/>
      <c r="J27" s="41"/>
      <c r="K27" s="41"/>
      <c r="L27" s="42"/>
      <c r="M27" s="72"/>
    </row>
    <row r="28" spans="1:13" ht="15" x14ac:dyDescent="0.2">
      <c r="A28" s="64" t="s">
        <v>215</v>
      </c>
      <c r="B28" s="43"/>
      <c r="C28" s="45"/>
      <c r="D28" s="45"/>
      <c r="E28" s="43"/>
      <c r="F28" s="43"/>
      <c r="G28" s="43"/>
      <c r="H28" s="43"/>
      <c r="I28" s="43"/>
      <c r="J28" s="43"/>
      <c r="K28" s="43"/>
      <c r="L28" s="44"/>
      <c r="M28" s="72"/>
    </row>
    <row r="29" spans="1:13" ht="15" x14ac:dyDescent="0.2">
      <c r="A29" s="64" t="s">
        <v>99</v>
      </c>
      <c r="B29" s="43"/>
      <c r="C29" s="45"/>
      <c r="D29" s="45"/>
      <c r="E29" s="43"/>
      <c r="F29" s="43"/>
      <c r="G29" s="43"/>
      <c r="H29" s="43"/>
      <c r="I29" s="43"/>
      <c r="J29" s="43"/>
      <c r="K29" s="43"/>
      <c r="L29" s="204" t="s">
        <v>47</v>
      </c>
      <c r="M29" s="72"/>
    </row>
    <row r="30" spans="1:13" ht="15" x14ac:dyDescent="0.2">
      <c r="A30" s="64" t="s">
        <v>99</v>
      </c>
      <c r="B30" s="43"/>
      <c r="C30" s="45"/>
      <c r="D30" s="45"/>
      <c r="E30" s="43"/>
      <c r="F30" s="43"/>
      <c r="G30" s="43"/>
      <c r="H30" s="43"/>
      <c r="I30" s="43"/>
      <c r="J30" s="43"/>
      <c r="K30" s="43"/>
      <c r="L30" s="204" t="s">
        <v>47</v>
      </c>
      <c r="M30" s="72"/>
    </row>
    <row r="31" spans="1:13" x14ac:dyDescent="0.2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31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3"/>
  <sheetViews>
    <sheetView tabSelected="1" workbookViewId="0">
      <selection activeCell="K17" sqref="K17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71" t="s">
        <v>302</v>
      </c>
      <c r="B1" s="71"/>
      <c r="C1" s="71"/>
      <c r="D1" s="71"/>
      <c r="E1" s="71"/>
      <c r="F1" s="71"/>
      <c r="G1" s="72"/>
      <c r="H1" s="73" t="s">
        <v>255</v>
      </c>
      <c r="I1" s="70" t="str">
        <f>Issue</f>
        <v>2024 Show Season V1 7/22/2024</v>
      </c>
      <c r="J1" s="70"/>
      <c r="K1" s="70"/>
      <c r="L1" s="70"/>
      <c r="M1" s="72"/>
      <c r="O1" t="s">
        <v>366</v>
      </c>
    </row>
    <row r="2" spans="1:43" ht="15.75" x14ac:dyDescent="0.25">
      <c r="A2" s="71" t="s">
        <v>303</v>
      </c>
      <c r="B2" s="71"/>
      <c r="C2" s="71"/>
      <c r="D2" s="70"/>
      <c r="E2" s="70"/>
      <c r="F2" s="70"/>
      <c r="G2" s="72"/>
      <c r="H2" s="72"/>
      <c r="I2" s="72"/>
      <c r="J2" s="72"/>
      <c r="K2" s="72"/>
      <c r="L2" s="72"/>
      <c r="M2" s="72"/>
    </row>
    <row r="3" spans="1:43" ht="18.75" x14ac:dyDescent="0.3">
      <c r="A3" s="78" t="s">
        <v>334</v>
      </c>
      <c r="B3" s="221"/>
      <c r="C3" s="221"/>
      <c r="D3" s="70"/>
      <c r="E3" s="172" t="s">
        <v>165</v>
      </c>
      <c r="F3" s="76"/>
      <c r="G3" s="72"/>
      <c r="H3" s="72"/>
      <c r="I3" s="72"/>
      <c r="J3" s="72"/>
      <c r="K3" s="72"/>
      <c r="L3" s="72"/>
      <c r="M3" s="72"/>
    </row>
    <row r="4" spans="1:43" ht="15.75" x14ac:dyDescent="0.25">
      <c r="A4" s="73"/>
      <c r="B4" s="73"/>
      <c r="C4" s="73"/>
      <c r="D4" s="70"/>
      <c r="E4" s="70"/>
      <c r="F4" s="70"/>
      <c r="G4" s="72"/>
      <c r="H4" s="72"/>
      <c r="I4" s="72"/>
      <c r="J4" s="72"/>
      <c r="K4" s="72"/>
      <c r="L4" s="72"/>
      <c r="M4" s="72"/>
    </row>
    <row r="5" spans="1:43" ht="16.5" thickBot="1" x14ac:dyDescent="0.3">
      <c r="A5" s="61" t="str">
        <f>A3</f>
        <v>Sunday 10/1/2023</v>
      </c>
      <c r="B5" s="220" t="s">
        <v>127</v>
      </c>
      <c r="C5" s="220" t="s">
        <v>128</v>
      </c>
      <c r="D5" s="62" t="s">
        <v>129</v>
      </c>
      <c r="E5" s="62" t="s">
        <v>130</v>
      </c>
      <c r="F5" s="62" t="s">
        <v>131</v>
      </c>
      <c r="G5" s="62" t="s">
        <v>132</v>
      </c>
      <c r="H5" s="62" t="s">
        <v>133</v>
      </c>
      <c r="I5" s="62" t="s">
        <v>134</v>
      </c>
      <c r="J5" s="62" t="s">
        <v>135</v>
      </c>
      <c r="K5" s="62" t="s">
        <v>136</v>
      </c>
      <c r="L5" s="62" t="s">
        <v>147</v>
      </c>
      <c r="M5" s="72"/>
    </row>
    <row r="6" spans="1:43" ht="15" x14ac:dyDescent="0.2">
      <c r="A6" s="63" t="s">
        <v>220</v>
      </c>
      <c r="B6" s="70"/>
      <c r="C6" s="70"/>
      <c r="D6" s="47" t="s">
        <v>55</v>
      </c>
      <c r="E6" s="127"/>
      <c r="F6" s="127"/>
      <c r="G6" s="127"/>
      <c r="H6" s="127"/>
      <c r="I6" s="127"/>
      <c r="J6" s="127"/>
      <c r="K6" s="127"/>
      <c r="L6" s="128"/>
      <c r="M6" s="72"/>
      <c r="O6" t="s">
        <v>367</v>
      </c>
    </row>
    <row r="7" spans="1:43" ht="15" x14ac:dyDescent="0.2">
      <c r="A7" s="64" t="s">
        <v>222</v>
      </c>
      <c r="B7" s="70"/>
      <c r="C7" s="70"/>
      <c r="D7" s="47" t="s">
        <v>47</v>
      </c>
      <c r="E7" s="127"/>
      <c r="F7" s="127"/>
      <c r="G7" s="127"/>
      <c r="H7" s="127"/>
      <c r="I7" s="127"/>
      <c r="J7" s="127"/>
      <c r="K7" s="127"/>
      <c r="L7" s="128"/>
      <c r="M7" s="72"/>
      <c r="O7" t="s">
        <v>367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4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5" x14ac:dyDescent="0.2">
      <c r="A8" s="65" t="s">
        <v>301</v>
      </c>
      <c r="B8" s="218"/>
      <c r="C8" s="218"/>
      <c r="D8" s="129"/>
      <c r="E8" s="46" t="s">
        <v>111</v>
      </c>
      <c r="F8" s="46" t="s">
        <v>111</v>
      </c>
      <c r="G8" s="46" t="s">
        <v>26</v>
      </c>
      <c r="H8" s="46" t="s">
        <v>26</v>
      </c>
      <c r="I8" s="46" t="s">
        <v>47</v>
      </c>
      <c r="J8" s="46" t="s">
        <v>47</v>
      </c>
      <c r="K8" s="129"/>
      <c r="L8" s="130"/>
      <c r="M8" s="72"/>
      <c r="N8" s="20"/>
      <c r="O8" t="s">
        <v>367</v>
      </c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5" t="s">
        <v>148</v>
      </c>
      <c r="B9" s="218"/>
      <c r="C9" s="218"/>
      <c r="D9" s="46" t="s">
        <v>8</v>
      </c>
      <c r="E9" s="46" t="s">
        <v>106</v>
      </c>
      <c r="F9" s="46" t="s">
        <v>117</v>
      </c>
      <c r="G9" s="46" t="s">
        <v>47</v>
      </c>
      <c r="H9" s="46" t="s">
        <v>17</v>
      </c>
      <c r="I9" s="235" t="s">
        <v>116</v>
      </c>
      <c r="J9" s="235" t="s">
        <v>50</v>
      </c>
      <c r="K9" s="129"/>
      <c r="L9" s="130"/>
      <c r="M9" s="72"/>
      <c r="N9" s="20"/>
      <c r="O9" s="271" t="s">
        <v>373</v>
      </c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4" t="s">
        <v>212</v>
      </c>
      <c r="B10" s="70"/>
      <c r="C10" s="70"/>
      <c r="D10" s="47" t="s">
        <v>113</v>
      </c>
      <c r="E10" s="130"/>
      <c r="F10" s="47" t="s">
        <v>113</v>
      </c>
      <c r="G10" s="128"/>
      <c r="H10" s="47" t="s">
        <v>113</v>
      </c>
      <c r="I10" s="128"/>
      <c r="J10" s="128"/>
      <c r="K10" s="127"/>
      <c r="L10" s="128"/>
      <c r="M10" s="72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5" t="s">
        <v>209</v>
      </c>
      <c r="B11" s="218"/>
      <c r="C11" s="218"/>
      <c r="D11" s="46" t="s">
        <v>290</v>
      </c>
      <c r="E11" s="235" t="s">
        <v>117</v>
      </c>
      <c r="F11" s="235" t="s">
        <v>115</v>
      </c>
      <c r="G11" s="235" t="s">
        <v>26</v>
      </c>
      <c r="H11" s="46" t="s">
        <v>55</v>
      </c>
      <c r="I11" s="235" t="s">
        <v>50</v>
      </c>
      <c r="J11" s="46" t="s">
        <v>122</v>
      </c>
      <c r="K11" s="129"/>
      <c r="L11" s="130"/>
      <c r="M11" s="72"/>
      <c r="N11" s="20"/>
      <c r="O11" s="23" t="s">
        <v>372</v>
      </c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5" t="s">
        <v>216</v>
      </c>
      <c r="B12" s="218"/>
      <c r="C12" s="218"/>
      <c r="D12" s="46" t="s">
        <v>122</v>
      </c>
      <c r="E12" s="129"/>
      <c r="F12" s="129"/>
      <c r="G12" s="129"/>
      <c r="H12" s="129"/>
      <c r="I12" s="129"/>
      <c r="J12" s="129"/>
      <c r="K12" s="129"/>
      <c r="L12" s="130"/>
      <c r="M12" s="72"/>
      <c r="O12" s="23" t="s">
        <v>369</v>
      </c>
    </row>
    <row r="13" spans="1:43" ht="15" x14ac:dyDescent="0.2">
      <c r="A13" s="65" t="s">
        <v>295</v>
      </c>
      <c r="B13" s="218"/>
      <c r="C13" s="218"/>
      <c r="D13" s="129"/>
      <c r="E13" s="235" t="s">
        <v>122</v>
      </c>
      <c r="F13" s="46" t="s">
        <v>17</v>
      </c>
      <c r="G13" s="268" t="s">
        <v>17</v>
      </c>
      <c r="H13" s="266" t="s">
        <v>117</v>
      </c>
      <c r="I13" s="46" t="s">
        <v>117</v>
      </c>
      <c r="J13" s="129"/>
      <c r="K13" s="129"/>
      <c r="L13" s="130"/>
      <c r="M13" s="72"/>
      <c r="N13" s="20"/>
      <c r="O13" s="23" t="s">
        <v>369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">
      <c r="A14" s="65" t="s">
        <v>295</v>
      </c>
      <c r="B14" s="70"/>
      <c r="C14" s="70"/>
      <c r="D14" s="127"/>
      <c r="E14" s="239" t="s">
        <v>112</v>
      </c>
      <c r="F14" s="239" t="s">
        <v>45</v>
      </c>
      <c r="G14" s="265" t="s">
        <v>122</v>
      </c>
      <c r="H14" s="47" t="s">
        <v>122</v>
      </c>
      <c r="I14" s="239" t="s">
        <v>106</v>
      </c>
      <c r="J14" s="127"/>
      <c r="K14" s="127"/>
      <c r="L14" s="128"/>
      <c r="M14" s="72"/>
      <c r="N14" s="20"/>
      <c r="O14" s="23" t="s">
        <v>369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">
      <c r="A15" s="65" t="s">
        <v>295</v>
      </c>
      <c r="B15" s="70"/>
      <c r="C15" s="70"/>
      <c r="D15" s="127"/>
      <c r="E15" s="127"/>
      <c r="F15" s="127"/>
      <c r="G15" s="239" t="s">
        <v>8</v>
      </c>
      <c r="H15" s="47" t="s">
        <v>290</v>
      </c>
      <c r="I15" s="127"/>
      <c r="J15" s="127"/>
      <c r="K15" s="127"/>
      <c r="L15" s="128"/>
      <c r="M15" s="72"/>
      <c r="N15" s="20"/>
      <c r="O15" s="23" t="s">
        <v>369</v>
      </c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">
      <c r="A16" s="65" t="s">
        <v>295</v>
      </c>
      <c r="B16" s="70"/>
      <c r="C16" s="70"/>
      <c r="D16" s="127"/>
      <c r="E16" s="127"/>
      <c r="F16" s="127"/>
      <c r="G16" s="254" t="s">
        <v>340</v>
      </c>
      <c r="H16" s="238" t="s">
        <v>340</v>
      </c>
      <c r="I16" s="127"/>
      <c r="J16" s="127"/>
      <c r="K16" s="127"/>
      <c r="L16" s="128"/>
      <c r="M16" s="72"/>
      <c r="N16" s="20"/>
      <c r="O16" s="23" t="s">
        <v>369</v>
      </c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42" ht="15" x14ac:dyDescent="0.2">
      <c r="A17" s="65" t="s">
        <v>297</v>
      </c>
      <c r="B17" s="70"/>
      <c r="C17" s="70"/>
      <c r="D17" s="127"/>
      <c r="E17" s="47" t="s">
        <v>47</v>
      </c>
      <c r="F17" s="47" t="s">
        <v>122</v>
      </c>
      <c r="G17" s="265" t="s">
        <v>283</v>
      </c>
      <c r="H17" s="47" t="s">
        <v>117</v>
      </c>
      <c r="I17" s="47" t="s">
        <v>115</v>
      </c>
      <c r="J17" s="127"/>
      <c r="K17" s="127"/>
      <c r="L17" s="128"/>
      <c r="M17" s="72"/>
      <c r="N17" s="20"/>
      <c r="O17" s="23" t="s">
        <v>369</v>
      </c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</row>
    <row r="18" spans="1:42" ht="15" x14ac:dyDescent="0.2">
      <c r="A18" s="65" t="s">
        <v>297</v>
      </c>
      <c r="B18" s="70"/>
      <c r="C18" s="70"/>
      <c r="D18" s="127"/>
      <c r="E18" s="238" t="s">
        <v>340</v>
      </c>
      <c r="F18" s="254" t="s">
        <v>340</v>
      </c>
      <c r="G18" s="270" t="s">
        <v>115</v>
      </c>
      <c r="H18" s="265" t="s">
        <v>47</v>
      </c>
      <c r="I18" s="47" t="s">
        <v>47</v>
      </c>
      <c r="J18" s="127"/>
      <c r="K18" s="127"/>
      <c r="L18" s="128"/>
      <c r="M18" s="72"/>
      <c r="N18" s="20"/>
      <c r="O18" s="23" t="s">
        <v>369</v>
      </c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</row>
    <row r="19" spans="1:42" ht="15" x14ac:dyDescent="0.2">
      <c r="A19" s="65" t="s">
        <v>297</v>
      </c>
      <c r="B19" s="70"/>
      <c r="C19" s="70"/>
      <c r="D19" s="127"/>
      <c r="E19" s="127"/>
      <c r="F19" s="127"/>
      <c r="G19" s="47" t="s">
        <v>111</v>
      </c>
      <c r="H19" s="47" t="s">
        <v>111</v>
      </c>
      <c r="I19" s="127"/>
      <c r="J19" s="127"/>
      <c r="K19" s="127"/>
      <c r="L19" s="128"/>
      <c r="M19" s="72"/>
      <c r="N19" s="20"/>
      <c r="O19" s="23" t="s">
        <v>369</v>
      </c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</row>
    <row r="20" spans="1:42" ht="15" x14ac:dyDescent="0.2">
      <c r="A20" s="65" t="s">
        <v>297</v>
      </c>
      <c r="B20" s="70"/>
      <c r="C20" s="70"/>
      <c r="D20" s="127"/>
      <c r="E20" s="127"/>
      <c r="F20" s="127"/>
      <c r="G20" s="265" t="s">
        <v>55</v>
      </c>
      <c r="H20" s="265" t="s">
        <v>55</v>
      </c>
      <c r="I20" s="127"/>
      <c r="J20" s="127"/>
      <c r="K20" s="127"/>
      <c r="L20" s="128"/>
      <c r="M20" s="72"/>
      <c r="N20" s="20"/>
      <c r="O20" s="23" t="s">
        <v>369</v>
      </c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</row>
    <row r="21" spans="1:42" ht="15" x14ac:dyDescent="0.2">
      <c r="A21" s="65" t="s">
        <v>214</v>
      </c>
      <c r="B21" s="218"/>
      <c r="C21" s="218"/>
      <c r="D21" s="129"/>
      <c r="E21" s="46" t="s">
        <v>117</v>
      </c>
      <c r="F21" s="46" t="s">
        <v>47</v>
      </c>
      <c r="G21" s="235" t="s">
        <v>115</v>
      </c>
      <c r="H21" s="46" t="s">
        <v>116</v>
      </c>
      <c r="I21" s="46" t="s">
        <v>122</v>
      </c>
      <c r="J21" s="46" t="s">
        <v>55</v>
      </c>
      <c r="K21" s="129"/>
      <c r="L21" s="130"/>
      <c r="M21" s="72"/>
      <c r="N21" s="20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</row>
    <row r="22" spans="1:42" ht="15" x14ac:dyDescent="0.2">
      <c r="A22" s="65" t="s">
        <v>368</v>
      </c>
      <c r="B22" s="218"/>
      <c r="C22" s="218"/>
      <c r="D22" s="129"/>
      <c r="E22" s="235" t="s">
        <v>50</v>
      </c>
      <c r="F22" s="46" t="s">
        <v>106</v>
      </c>
      <c r="G22" s="235" t="s">
        <v>17</v>
      </c>
      <c r="H22" s="235" t="s">
        <v>8</v>
      </c>
      <c r="I22" s="47" t="s">
        <v>115</v>
      </c>
      <c r="J22" s="129"/>
      <c r="K22" s="129"/>
      <c r="L22" s="130"/>
      <c r="M22" s="72"/>
      <c r="N22" s="20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</row>
    <row r="23" spans="1:42" ht="15" x14ac:dyDescent="0.2">
      <c r="A23" s="65"/>
      <c r="B23" s="218"/>
      <c r="C23" s="218"/>
      <c r="D23" s="129"/>
      <c r="E23" s="129"/>
      <c r="F23" s="129"/>
      <c r="G23" s="129"/>
      <c r="H23" s="129"/>
      <c r="I23" s="129"/>
      <c r="J23" s="129"/>
      <c r="K23" s="129"/>
      <c r="L23" s="130"/>
      <c r="M23" s="72"/>
      <c r="N23" s="20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</row>
    <row r="24" spans="1:42" ht="15" x14ac:dyDescent="0.2">
      <c r="A24" s="65" t="s">
        <v>217</v>
      </c>
      <c r="B24" s="218"/>
      <c r="C24" s="218"/>
      <c r="D24" s="129"/>
      <c r="E24" s="255" t="s">
        <v>340</v>
      </c>
      <c r="F24" s="240" t="s">
        <v>340</v>
      </c>
      <c r="G24" s="46" t="s">
        <v>290</v>
      </c>
      <c r="H24" s="235" t="s">
        <v>55</v>
      </c>
      <c r="I24" s="46" t="s">
        <v>186</v>
      </c>
      <c r="J24" s="46" t="s">
        <v>115</v>
      </c>
      <c r="K24" s="129"/>
      <c r="L24" s="130"/>
      <c r="M24" s="72"/>
      <c r="N24" s="20"/>
      <c r="O24" s="23" t="s">
        <v>370</v>
      </c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</row>
    <row r="25" spans="1:42" ht="15" x14ac:dyDescent="0.2">
      <c r="A25" s="65" t="s">
        <v>329</v>
      </c>
      <c r="B25" s="218"/>
      <c r="C25" s="218"/>
      <c r="D25" s="129"/>
      <c r="E25" s="204" t="s">
        <v>55</v>
      </c>
      <c r="F25" s="138" t="s">
        <v>116</v>
      </c>
      <c r="G25" s="138" t="s">
        <v>55</v>
      </c>
      <c r="H25" s="138" t="s">
        <v>283</v>
      </c>
      <c r="I25" s="138" t="s">
        <v>117</v>
      </c>
      <c r="J25" s="138" t="s">
        <v>283</v>
      </c>
      <c r="K25" s="129"/>
      <c r="L25" s="130"/>
      <c r="M25" s="72"/>
      <c r="O25" s="23" t="s">
        <v>371</v>
      </c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</row>
    <row r="26" spans="1:42" ht="15" x14ac:dyDescent="0.2">
      <c r="A26" s="65" t="s">
        <v>233</v>
      </c>
      <c r="B26" s="218"/>
      <c r="C26" s="218"/>
      <c r="D26" s="129"/>
      <c r="E26" s="129"/>
      <c r="F26" s="129"/>
      <c r="G26" s="129"/>
      <c r="H26" s="129"/>
      <c r="I26" s="129"/>
      <c r="J26" s="129"/>
      <c r="K26" s="46" t="s">
        <v>29</v>
      </c>
      <c r="L26" s="130"/>
      <c r="M26" s="72"/>
      <c r="O26" t="s">
        <v>374</v>
      </c>
    </row>
    <row r="27" spans="1:42" ht="15" x14ac:dyDescent="0.2">
      <c r="A27" s="65" t="s">
        <v>233</v>
      </c>
      <c r="B27" s="218"/>
      <c r="C27" s="218"/>
      <c r="D27" s="129"/>
      <c r="E27" s="129"/>
      <c r="F27" s="129"/>
      <c r="G27" s="129"/>
      <c r="H27" s="129"/>
      <c r="I27" s="129"/>
      <c r="J27" s="129"/>
      <c r="K27" s="46" t="s">
        <v>29</v>
      </c>
      <c r="L27" s="130"/>
      <c r="M27" s="72"/>
      <c r="O27" t="s">
        <v>374</v>
      </c>
    </row>
    <row r="28" spans="1:42" ht="15" x14ac:dyDescent="0.2">
      <c r="A28" s="65" t="s">
        <v>233</v>
      </c>
      <c r="B28" s="218"/>
      <c r="C28" s="218"/>
      <c r="D28" s="129"/>
      <c r="E28" s="129"/>
      <c r="F28" s="129"/>
      <c r="G28" s="129"/>
      <c r="H28" s="129"/>
      <c r="I28" s="129"/>
      <c r="J28" s="129"/>
      <c r="K28" s="46" t="s">
        <v>29</v>
      </c>
      <c r="L28" s="130"/>
      <c r="M28" s="72"/>
      <c r="O28" t="s">
        <v>374</v>
      </c>
    </row>
    <row r="29" spans="1:42" ht="15" x14ac:dyDescent="0.2">
      <c r="A29" s="65" t="s">
        <v>233</v>
      </c>
      <c r="B29" s="218"/>
      <c r="C29" s="218"/>
      <c r="D29" s="129"/>
      <c r="E29" s="129"/>
      <c r="F29" s="129"/>
      <c r="G29" s="129"/>
      <c r="H29" s="129"/>
      <c r="I29" s="129"/>
      <c r="J29" s="129"/>
      <c r="K29" s="46" t="s">
        <v>29</v>
      </c>
      <c r="L29" s="130"/>
      <c r="M29" s="72"/>
      <c r="O29" t="s">
        <v>374</v>
      </c>
    </row>
    <row r="30" spans="1:42" ht="15" x14ac:dyDescent="0.2">
      <c r="A30" s="65" t="s">
        <v>233</v>
      </c>
      <c r="B30" s="218"/>
      <c r="C30" s="218"/>
      <c r="D30" s="129"/>
      <c r="E30" s="129"/>
      <c r="F30" s="129"/>
      <c r="G30" s="129"/>
      <c r="H30" s="129"/>
      <c r="I30" s="129"/>
      <c r="J30" s="129"/>
      <c r="K30" s="46" t="s">
        <v>29</v>
      </c>
      <c r="L30" s="130"/>
      <c r="M30" s="72"/>
      <c r="O30" t="s">
        <v>374</v>
      </c>
    </row>
    <row r="31" spans="1:42" ht="15" x14ac:dyDescent="0.2">
      <c r="A31" s="65" t="s">
        <v>233</v>
      </c>
      <c r="B31" s="218"/>
      <c r="C31" s="218"/>
      <c r="D31" s="129"/>
      <c r="E31" s="129"/>
      <c r="F31" s="129"/>
      <c r="G31" s="129"/>
      <c r="H31" s="129"/>
      <c r="I31" s="129"/>
      <c r="J31" s="129"/>
      <c r="K31" s="46" t="s">
        <v>29</v>
      </c>
      <c r="L31" s="130"/>
      <c r="M31" s="72"/>
      <c r="O31" t="s">
        <v>374</v>
      </c>
    </row>
    <row r="32" spans="1:42" x14ac:dyDescent="0.2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</row>
    <row r="33" spans="1:3" ht="15" x14ac:dyDescent="0.2">
      <c r="A33" s="20"/>
      <c r="B33" s="20"/>
      <c r="C33" s="20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5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7"/>
  <sheetViews>
    <sheetView topLeftCell="A4" workbookViewId="0">
      <selection activeCell="F9" sqref="F9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71" t="s">
        <v>152</v>
      </c>
      <c r="B1" s="71"/>
      <c r="C1" s="71"/>
      <c r="D1" s="71"/>
      <c r="E1" s="71"/>
      <c r="F1" s="71"/>
      <c r="G1" s="71"/>
      <c r="H1" s="72"/>
      <c r="I1" s="72"/>
      <c r="J1" s="72"/>
      <c r="K1" s="72"/>
      <c r="L1" s="73" t="s">
        <v>255</v>
      </c>
      <c r="M1" s="171" t="str">
        <f>Issue</f>
        <v>2024 Show Season V1 7/22/2024</v>
      </c>
      <c r="N1" s="171"/>
      <c r="O1" s="171"/>
      <c r="P1" s="171"/>
      <c r="Q1" s="72"/>
    </row>
    <row r="2" spans="1:48" ht="15.75" x14ac:dyDescent="0.25">
      <c r="A2" s="71" t="s">
        <v>150</v>
      </c>
      <c r="B2" s="71"/>
      <c r="C2" s="71"/>
      <c r="D2" s="71"/>
      <c r="E2" s="71"/>
      <c r="F2" s="71"/>
      <c r="G2" s="71"/>
      <c r="H2" s="72"/>
      <c r="I2" s="72"/>
      <c r="J2" s="72"/>
      <c r="K2" s="72"/>
      <c r="L2" s="72"/>
      <c r="M2" s="72"/>
      <c r="N2" s="72"/>
      <c r="O2" s="72"/>
      <c r="P2" s="72"/>
      <c r="Q2" s="72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14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1:48" ht="18.75" x14ac:dyDescent="0.3">
      <c r="A3" s="82" t="s">
        <v>335</v>
      </c>
      <c r="B3" s="217"/>
      <c r="C3" s="217"/>
      <c r="D3" s="217"/>
      <c r="E3" s="217"/>
      <c r="F3" s="217"/>
      <c r="G3" s="71"/>
      <c r="H3" s="72"/>
      <c r="I3" s="72"/>
      <c r="J3" s="172" t="s">
        <v>163</v>
      </c>
      <c r="K3" s="76"/>
      <c r="L3" s="72"/>
      <c r="M3" s="72"/>
      <c r="N3" s="72"/>
      <c r="O3" s="72"/>
      <c r="P3" s="72"/>
      <c r="Q3" s="72"/>
      <c r="T3" s="20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</row>
    <row r="4" spans="1:48" ht="15.75" x14ac:dyDescent="0.25">
      <c r="A4" s="73"/>
      <c r="B4" s="73"/>
      <c r="C4" s="73"/>
      <c r="D4" s="73"/>
      <c r="E4" s="73"/>
      <c r="F4" s="73"/>
      <c r="G4" s="70"/>
      <c r="H4" s="70"/>
      <c r="I4" s="70"/>
      <c r="J4" s="70"/>
      <c r="K4" s="70"/>
      <c r="L4" s="70"/>
      <c r="M4" s="70"/>
      <c r="N4" s="70"/>
      <c r="O4" s="70"/>
      <c r="P4" s="70"/>
      <c r="Q4" s="72"/>
      <c r="T4" s="20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</row>
    <row r="5" spans="1:48" ht="16.5" thickBot="1" x14ac:dyDescent="0.3">
      <c r="A5" s="61" t="str">
        <f>A3</f>
        <v>Friday 01/19/2024</v>
      </c>
      <c r="B5" s="220" t="s">
        <v>127</v>
      </c>
      <c r="C5" s="220" t="s">
        <v>128</v>
      </c>
      <c r="D5" s="220" t="s">
        <v>129</v>
      </c>
      <c r="E5" s="220" t="s">
        <v>130</v>
      </c>
      <c r="F5" s="220" t="s">
        <v>131</v>
      </c>
      <c r="G5" s="62" t="s">
        <v>132</v>
      </c>
      <c r="H5" s="62" t="s">
        <v>133</v>
      </c>
      <c r="I5" s="62" t="s">
        <v>134</v>
      </c>
      <c r="J5" s="62" t="s">
        <v>135</v>
      </c>
      <c r="K5" s="62" t="s">
        <v>136</v>
      </c>
      <c r="L5" s="62" t="s">
        <v>147</v>
      </c>
      <c r="M5" s="62" t="s">
        <v>172</v>
      </c>
      <c r="N5" s="62" t="s">
        <v>127</v>
      </c>
      <c r="O5" s="62" t="s">
        <v>128</v>
      </c>
      <c r="P5" s="62" t="s">
        <v>129</v>
      </c>
      <c r="Q5" s="72"/>
      <c r="T5" s="20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</row>
    <row r="6" spans="1:48" ht="15" x14ac:dyDescent="0.2">
      <c r="A6" s="63" t="s">
        <v>200</v>
      </c>
      <c r="B6" s="70"/>
      <c r="C6" s="70"/>
      <c r="D6" s="70"/>
      <c r="E6" s="70"/>
      <c r="F6" s="70"/>
      <c r="G6" s="48"/>
      <c r="H6" s="48"/>
      <c r="I6" s="48"/>
      <c r="J6" s="48"/>
      <c r="K6" s="48"/>
      <c r="L6" s="48"/>
      <c r="M6" s="48"/>
      <c r="N6" s="48"/>
      <c r="O6" s="48"/>
      <c r="P6" s="49"/>
      <c r="Q6" s="72"/>
    </row>
    <row r="7" spans="1:48" ht="15" x14ac:dyDescent="0.2">
      <c r="A7" s="64" t="s">
        <v>200</v>
      </c>
      <c r="B7" s="47" t="s">
        <v>47</v>
      </c>
      <c r="C7" s="47" t="s">
        <v>47</v>
      </c>
      <c r="D7" s="47" t="s">
        <v>47</v>
      </c>
      <c r="E7" s="47" t="s">
        <v>47</v>
      </c>
      <c r="F7" s="47" t="s">
        <v>47</v>
      </c>
      <c r="G7" s="47" t="s">
        <v>47</v>
      </c>
      <c r="H7" s="47" t="s">
        <v>47</v>
      </c>
      <c r="I7" s="47" t="s">
        <v>47</v>
      </c>
      <c r="J7" s="47" t="s">
        <v>47</v>
      </c>
      <c r="K7" s="47" t="s">
        <v>47</v>
      </c>
      <c r="L7" s="48"/>
      <c r="M7" s="48"/>
      <c r="N7" s="48"/>
      <c r="O7" s="48"/>
      <c r="P7" s="49"/>
      <c r="Q7" s="72"/>
    </row>
    <row r="8" spans="1:48" ht="15" x14ac:dyDescent="0.2">
      <c r="A8" s="64" t="s">
        <v>312</v>
      </c>
      <c r="B8" s="70"/>
      <c r="C8" s="70"/>
      <c r="D8" s="204" t="s">
        <v>8</v>
      </c>
      <c r="E8" s="20" t="s">
        <v>50</v>
      </c>
      <c r="F8" s="20" t="s">
        <v>50</v>
      </c>
      <c r="G8" s="231" t="s">
        <v>115</v>
      </c>
      <c r="H8" s="231" t="s">
        <v>115</v>
      </c>
      <c r="I8" s="231" t="s">
        <v>17</v>
      </c>
      <c r="J8" s="231" t="s">
        <v>117</v>
      </c>
      <c r="K8" s="231" t="s">
        <v>115</v>
      </c>
      <c r="L8" s="204" t="s">
        <v>8</v>
      </c>
      <c r="M8" s="204"/>
      <c r="N8" s="48"/>
      <c r="O8" s="48"/>
      <c r="P8" s="49"/>
      <c r="Q8" s="72"/>
    </row>
    <row r="9" spans="1:48" ht="15" x14ac:dyDescent="0.2">
      <c r="A9" s="64" t="s">
        <v>312</v>
      </c>
      <c r="B9" s="70"/>
      <c r="C9" s="70"/>
      <c r="D9" s="70"/>
      <c r="E9" s="253" t="s">
        <v>340</v>
      </c>
      <c r="F9" s="253" t="s">
        <v>340</v>
      </c>
      <c r="G9" s="47" t="s">
        <v>55</v>
      </c>
      <c r="H9" s="47" t="s">
        <v>55</v>
      </c>
      <c r="I9" s="47" t="s">
        <v>111</v>
      </c>
      <c r="J9" s="47" t="s">
        <v>116</v>
      </c>
      <c r="K9" s="47" t="s">
        <v>106</v>
      </c>
      <c r="L9" s="20" t="s">
        <v>26</v>
      </c>
      <c r="M9" s="20" t="s">
        <v>55</v>
      </c>
      <c r="N9" s="48"/>
      <c r="O9" s="48"/>
      <c r="P9" s="49"/>
      <c r="Q9" s="72"/>
    </row>
    <row r="10" spans="1:48" ht="15" x14ac:dyDescent="0.2">
      <c r="A10" s="65" t="s">
        <v>125</v>
      </c>
      <c r="B10" s="218"/>
      <c r="C10" s="218"/>
      <c r="D10" s="218"/>
      <c r="E10" s="218"/>
      <c r="F10" s="218"/>
      <c r="G10" s="51"/>
      <c r="H10" s="51"/>
      <c r="I10" s="46" t="s">
        <v>112</v>
      </c>
      <c r="J10" s="46" t="s">
        <v>112</v>
      </c>
      <c r="K10" s="46" t="s">
        <v>112</v>
      </c>
      <c r="L10" s="46" t="s">
        <v>112</v>
      </c>
      <c r="M10" s="53" t="s">
        <v>112</v>
      </c>
      <c r="N10" s="20" t="s">
        <v>112</v>
      </c>
      <c r="O10" s="20" t="s">
        <v>112</v>
      </c>
      <c r="P10" s="49"/>
      <c r="Q10" s="72"/>
    </row>
    <row r="11" spans="1:48" ht="15" x14ac:dyDescent="0.2">
      <c r="A11" s="65" t="s">
        <v>206</v>
      </c>
      <c r="B11" s="218"/>
      <c r="C11" s="218"/>
      <c r="D11" s="218"/>
      <c r="E11" s="218"/>
      <c r="F11" s="218"/>
      <c r="G11" s="234" t="s">
        <v>50</v>
      </c>
      <c r="H11" s="234" t="s">
        <v>50</v>
      </c>
      <c r="I11" s="46" t="s">
        <v>50</v>
      </c>
      <c r="J11" s="46" t="s">
        <v>50</v>
      </c>
      <c r="K11" s="46" t="s">
        <v>55</v>
      </c>
      <c r="L11" s="46" t="s">
        <v>55</v>
      </c>
      <c r="M11" s="53" t="s">
        <v>55</v>
      </c>
      <c r="N11" s="20" t="s">
        <v>55</v>
      </c>
      <c r="O11" s="20" t="s">
        <v>55</v>
      </c>
      <c r="P11" s="49"/>
      <c r="Q11" s="72"/>
    </row>
    <row r="12" spans="1:48" ht="15" x14ac:dyDescent="0.2">
      <c r="A12" s="68" t="s">
        <v>314</v>
      </c>
      <c r="B12" s="68"/>
      <c r="C12" s="68"/>
      <c r="D12" s="68"/>
      <c r="E12" s="204" t="s">
        <v>186</v>
      </c>
      <c r="F12" s="204" t="s">
        <v>186</v>
      </c>
      <c r="G12" s="47" t="s">
        <v>122</v>
      </c>
      <c r="H12" s="47" t="s">
        <v>122</v>
      </c>
      <c r="I12" s="47" t="s">
        <v>122</v>
      </c>
      <c r="J12" s="47" t="s">
        <v>122</v>
      </c>
      <c r="K12" s="47" t="s">
        <v>122</v>
      </c>
      <c r="L12" s="231" t="s">
        <v>122</v>
      </c>
      <c r="M12" s="231" t="s">
        <v>122</v>
      </c>
      <c r="N12" s="219"/>
      <c r="O12" s="219"/>
      <c r="P12" s="219"/>
      <c r="Q12" s="72"/>
    </row>
    <row r="13" spans="1:48" x14ac:dyDescent="0.2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</row>
    <row r="14" spans="1:48" ht="15" x14ac:dyDescent="0.2">
      <c r="A14" s="20"/>
      <c r="B14" s="20"/>
      <c r="C14" s="20"/>
      <c r="D14" s="20"/>
      <c r="E14" s="20"/>
      <c r="F14" s="20"/>
    </row>
    <row r="17" spans="8:8" x14ac:dyDescent="0.2">
      <c r="H17" s="21" t="s">
        <v>358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1"/>
  <sheetViews>
    <sheetView workbookViewId="0"/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71" t="s">
        <v>153</v>
      </c>
      <c r="B1" s="71"/>
      <c r="C1" s="70"/>
      <c r="D1" s="70"/>
      <c r="E1" s="70"/>
      <c r="F1" s="70"/>
      <c r="G1" s="70"/>
      <c r="H1" s="73" t="s">
        <v>255</v>
      </c>
      <c r="I1" s="70" t="str">
        <f>Issue</f>
        <v>2024 Show Season V1 7/22/2024</v>
      </c>
      <c r="J1" s="70"/>
      <c r="K1" s="70"/>
      <c r="L1" s="72"/>
      <c r="M1" s="72"/>
    </row>
    <row r="2" spans="1:43" ht="15.75" x14ac:dyDescent="0.25">
      <c r="A2" s="71" t="s">
        <v>150</v>
      </c>
      <c r="B2" s="71"/>
      <c r="C2" s="71"/>
      <c r="D2" s="71"/>
      <c r="E2" s="71"/>
      <c r="F2" s="71"/>
      <c r="G2" s="71"/>
      <c r="H2" s="71"/>
      <c r="I2" s="70"/>
      <c r="J2" s="70"/>
      <c r="K2" s="70"/>
      <c r="L2" s="70"/>
      <c r="M2" s="72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8.75" x14ac:dyDescent="0.3">
      <c r="A3" s="83" t="s">
        <v>336</v>
      </c>
      <c r="B3" s="71"/>
      <c r="C3" s="70"/>
      <c r="D3" s="172" t="s">
        <v>164</v>
      </c>
      <c r="E3" s="70"/>
      <c r="F3" s="70"/>
      <c r="G3" s="70"/>
      <c r="H3" s="70"/>
      <c r="I3" s="70"/>
      <c r="J3" s="70"/>
      <c r="K3" s="70"/>
      <c r="L3" s="70"/>
      <c r="M3" s="72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75" x14ac:dyDescent="0.25">
      <c r="A4" s="80"/>
      <c r="B4" s="74"/>
      <c r="C4" s="70"/>
      <c r="D4" s="70"/>
      <c r="E4" s="77"/>
      <c r="F4" s="76"/>
      <c r="G4" s="76"/>
      <c r="H4" s="70"/>
      <c r="I4" s="70"/>
      <c r="J4" s="70"/>
      <c r="K4" s="70"/>
      <c r="L4" s="70"/>
      <c r="M4" s="72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5" thickBot="1" x14ac:dyDescent="0.3">
      <c r="A5" s="69" t="str">
        <f>A3</f>
        <v>Saturday 01/20/2024</v>
      </c>
      <c r="B5" s="62" t="s">
        <v>127</v>
      </c>
      <c r="C5" s="62" t="s">
        <v>128</v>
      </c>
      <c r="D5" s="62" t="s">
        <v>129</v>
      </c>
      <c r="E5" s="62" t="s">
        <v>130</v>
      </c>
      <c r="F5" s="62" t="s">
        <v>131</v>
      </c>
      <c r="G5" s="62" t="s">
        <v>132</v>
      </c>
      <c r="H5" s="62" t="s">
        <v>133</v>
      </c>
      <c r="I5" s="62" t="s">
        <v>134</v>
      </c>
      <c r="J5" s="62" t="s">
        <v>135</v>
      </c>
      <c r="K5" s="62" t="s">
        <v>136</v>
      </c>
      <c r="L5" s="62" t="s">
        <v>147</v>
      </c>
      <c r="M5" s="72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">
      <c r="A6" s="63" t="s">
        <v>210</v>
      </c>
      <c r="B6" s="47" t="s">
        <v>45</v>
      </c>
      <c r="C6" s="47" t="s">
        <v>50</v>
      </c>
      <c r="D6" s="47" t="s">
        <v>50</v>
      </c>
      <c r="E6" s="48"/>
      <c r="F6" s="48"/>
      <c r="G6" s="48"/>
      <c r="H6" s="48"/>
      <c r="I6" s="48"/>
      <c r="J6" s="48"/>
      <c r="K6" s="48"/>
      <c r="L6" s="49"/>
      <c r="M6" s="72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">
      <c r="A7" s="64" t="s">
        <v>210</v>
      </c>
      <c r="B7" s="47" t="s">
        <v>115</v>
      </c>
      <c r="C7" s="47" t="s">
        <v>50</v>
      </c>
      <c r="D7" s="47" t="s">
        <v>50</v>
      </c>
      <c r="E7" s="48"/>
      <c r="F7" s="48"/>
      <c r="G7" s="48"/>
      <c r="H7" s="48"/>
      <c r="I7" s="48"/>
      <c r="J7" s="48"/>
      <c r="K7" s="48"/>
      <c r="L7" s="49"/>
      <c r="M7" s="72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">
      <c r="A8" s="68" t="s">
        <v>219</v>
      </c>
      <c r="B8" s="58" t="s">
        <v>111</v>
      </c>
      <c r="C8" s="241" t="s">
        <v>340</v>
      </c>
      <c r="D8" s="58" t="s">
        <v>55</v>
      </c>
      <c r="E8" s="196"/>
      <c r="F8" s="57"/>
      <c r="G8" s="57"/>
      <c r="H8" s="57"/>
      <c r="I8" s="57"/>
      <c r="J8" s="57"/>
      <c r="K8" s="57"/>
      <c r="L8" s="197"/>
      <c r="M8" s="72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4" t="s">
        <v>221</v>
      </c>
      <c r="B9" s="47" t="s">
        <v>55</v>
      </c>
      <c r="C9" s="47" t="s">
        <v>47</v>
      </c>
      <c r="D9" s="47" t="s">
        <v>117</v>
      </c>
      <c r="E9" s="56"/>
      <c r="F9" s="48"/>
      <c r="G9" s="48"/>
      <c r="H9" s="48"/>
      <c r="I9" s="48"/>
      <c r="J9" s="48"/>
      <c r="K9" s="48"/>
      <c r="L9" s="49"/>
      <c r="M9" s="72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5" t="s">
        <v>223</v>
      </c>
      <c r="B10" s="51"/>
      <c r="C10" s="51"/>
      <c r="D10" s="51"/>
      <c r="E10" s="46" t="s">
        <v>55</v>
      </c>
      <c r="F10" s="46" t="s">
        <v>55</v>
      </c>
      <c r="G10" s="46" t="s">
        <v>17</v>
      </c>
      <c r="H10" s="236" t="s">
        <v>340</v>
      </c>
      <c r="I10" s="46" t="s">
        <v>111</v>
      </c>
      <c r="J10" s="46" t="s">
        <v>106</v>
      </c>
      <c r="K10" s="46" t="s">
        <v>111</v>
      </c>
      <c r="L10" s="50"/>
      <c r="M10" s="72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5" t="s">
        <v>137</v>
      </c>
      <c r="B11" s="46" t="s">
        <v>112</v>
      </c>
      <c r="C11" s="46" t="s">
        <v>112</v>
      </c>
      <c r="D11" s="46" t="s">
        <v>112</v>
      </c>
      <c r="E11" s="46" t="s">
        <v>112</v>
      </c>
      <c r="F11" s="46" t="s">
        <v>112</v>
      </c>
      <c r="G11" s="46" t="s">
        <v>112</v>
      </c>
      <c r="H11" s="46" t="s">
        <v>116</v>
      </c>
      <c r="I11" s="46" t="s">
        <v>112</v>
      </c>
      <c r="J11" s="46" t="s">
        <v>112</v>
      </c>
      <c r="K11" s="46" t="s">
        <v>112</v>
      </c>
      <c r="L11" s="50"/>
      <c r="M11" s="72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5" t="s">
        <v>211</v>
      </c>
      <c r="B12" s="51"/>
      <c r="C12" s="51"/>
      <c r="D12" s="46" t="s">
        <v>113</v>
      </c>
      <c r="E12" s="51"/>
      <c r="F12" s="46" t="s">
        <v>113</v>
      </c>
      <c r="G12" s="51"/>
      <c r="H12" s="46" t="s">
        <v>113</v>
      </c>
      <c r="I12" s="51"/>
      <c r="J12" s="46" t="s">
        <v>113</v>
      </c>
      <c r="K12" s="51"/>
      <c r="L12" s="50"/>
      <c r="M12" s="72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">
      <c r="A13" s="65" t="s">
        <v>208</v>
      </c>
      <c r="B13" s="46" t="s">
        <v>283</v>
      </c>
      <c r="C13" s="46" t="s">
        <v>283</v>
      </c>
      <c r="D13" s="46" t="s">
        <v>111</v>
      </c>
      <c r="E13" s="46" t="s">
        <v>111</v>
      </c>
      <c r="F13" s="46" t="s">
        <v>117</v>
      </c>
      <c r="G13" s="236" t="s">
        <v>340</v>
      </c>
      <c r="H13" s="46" t="s">
        <v>111</v>
      </c>
      <c r="I13" s="236" t="s">
        <v>340</v>
      </c>
      <c r="J13" s="46" t="s">
        <v>50</v>
      </c>
      <c r="K13" s="46" t="s">
        <v>50</v>
      </c>
      <c r="L13" s="50"/>
      <c r="M13" s="72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">
      <c r="A14" s="65" t="s">
        <v>225</v>
      </c>
      <c r="B14" s="51"/>
      <c r="C14" s="51"/>
      <c r="D14" s="51"/>
      <c r="E14" s="46" t="s">
        <v>55</v>
      </c>
      <c r="F14" s="46" t="s">
        <v>55</v>
      </c>
      <c r="G14" s="46" t="s">
        <v>45</v>
      </c>
      <c r="H14" s="46" t="s">
        <v>45</v>
      </c>
      <c r="I14" s="46" t="s">
        <v>45</v>
      </c>
      <c r="J14" s="46" t="s">
        <v>55</v>
      </c>
      <c r="K14" s="46" t="s">
        <v>55</v>
      </c>
      <c r="L14" s="50"/>
      <c r="M14" s="72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">
      <c r="A15" s="64" t="s">
        <v>225</v>
      </c>
      <c r="B15" s="48"/>
      <c r="C15" s="48"/>
      <c r="D15" s="48"/>
      <c r="E15" s="47" t="s">
        <v>106</v>
      </c>
      <c r="F15" s="47" t="s">
        <v>106</v>
      </c>
      <c r="G15" s="47" t="s">
        <v>55</v>
      </c>
      <c r="H15" s="47" t="s">
        <v>8</v>
      </c>
      <c r="I15" s="47" t="s">
        <v>115</v>
      </c>
      <c r="J15" s="47" t="s">
        <v>115</v>
      </c>
      <c r="K15" s="47" t="s">
        <v>106</v>
      </c>
      <c r="L15" s="49"/>
      <c r="M15" s="72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">
      <c r="A16" s="64" t="s">
        <v>225</v>
      </c>
      <c r="B16" s="48"/>
      <c r="C16" s="48"/>
      <c r="D16" s="48"/>
      <c r="E16" s="47" t="s">
        <v>115</v>
      </c>
      <c r="F16" s="47" t="s">
        <v>117</v>
      </c>
      <c r="G16" s="47" t="s">
        <v>55</v>
      </c>
      <c r="H16" s="47" t="s">
        <v>115</v>
      </c>
      <c r="I16" s="56"/>
      <c r="J16" s="56"/>
      <c r="K16" s="48"/>
      <c r="L16" s="49"/>
      <c r="M16" s="72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14" ht="15" x14ac:dyDescent="0.2">
      <c r="A17" s="64" t="s">
        <v>225</v>
      </c>
      <c r="B17" s="48"/>
      <c r="C17" s="48"/>
      <c r="D17" s="48"/>
      <c r="E17" s="47" t="s">
        <v>122</v>
      </c>
      <c r="F17" s="47" t="s">
        <v>122</v>
      </c>
      <c r="G17" s="47" t="s">
        <v>115</v>
      </c>
      <c r="H17" s="47" t="s">
        <v>55</v>
      </c>
      <c r="I17" s="48"/>
      <c r="J17" s="48"/>
      <c r="K17" s="48"/>
      <c r="L17" s="49"/>
      <c r="M17" s="72"/>
    </row>
    <row r="18" spans="1:14" ht="15" x14ac:dyDescent="0.2">
      <c r="A18" s="65" t="s">
        <v>227</v>
      </c>
      <c r="B18" s="51"/>
      <c r="C18" s="51"/>
      <c r="D18" s="51"/>
      <c r="E18" s="236" t="s">
        <v>340</v>
      </c>
      <c r="F18" s="236" t="s">
        <v>340</v>
      </c>
      <c r="G18" s="236" t="s">
        <v>340</v>
      </c>
      <c r="H18" s="46" t="s">
        <v>26</v>
      </c>
      <c r="I18" s="236" t="s">
        <v>340</v>
      </c>
      <c r="J18" s="46" t="s">
        <v>8</v>
      </c>
      <c r="K18" s="46" t="s">
        <v>8</v>
      </c>
      <c r="L18" s="50"/>
      <c r="M18" s="72"/>
    </row>
    <row r="19" spans="1:14" ht="15" x14ac:dyDescent="0.2">
      <c r="A19" s="64" t="s">
        <v>227</v>
      </c>
      <c r="B19" s="48"/>
      <c r="C19" s="48"/>
      <c r="D19" s="48"/>
      <c r="E19" s="47" t="s">
        <v>117</v>
      </c>
      <c r="F19" s="47" t="s">
        <v>290</v>
      </c>
      <c r="G19" s="47" t="s">
        <v>290</v>
      </c>
      <c r="H19" s="47" t="s">
        <v>50</v>
      </c>
      <c r="I19" s="47" t="s">
        <v>50</v>
      </c>
      <c r="J19" s="47" t="s">
        <v>283</v>
      </c>
      <c r="K19" s="47" t="s">
        <v>283</v>
      </c>
      <c r="L19" s="49"/>
      <c r="M19" s="72"/>
      <c r="N19" s="20"/>
    </row>
    <row r="20" spans="1:14" ht="15" x14ac:dyDescent="0.2">
      <c r="A20" s="64" t="s">
        <v>227</v>
      </c>
      <c r="B20" s="48"/>
      <c r="C20" s="48"/>
      <c r="D20" s="48"/>
      <c r="E20" s="47" t="s">
        <v>47</v>
      </c>
      <c r="F20" s="47" t="s">
        <v>122</v>
      </c>
      <c r="G20" s="47" t="s">
        <v>47</v>
      </c>
      <c r="H20" s="47" t="s">
        <v>122</v>
      </c>
      <c r="I20" s="48"/>
      <c r="J20" s="48"/>
      <c r="K20" s="48"/>
      <c r="L20" s="49"/>
      <c r="M20" s="72"/>
    </row>
    <row r="21" spans="1:14" ht="15" x14ac:dyDescent="0.2">
      <c r="A21" s="64" t="s">
        <v>227</v>
      </c>
      <c r="B21" s="48"/>
      <c r="C21" s="48"/>
      <c r="D21" s="48"/>
      <c r="E21" s="47" t="s">
        <v>111</v>
      </c>
      <c r="F21" s="47" t="s">
        <v>111</v>
      </c>
      <c r="G21" s="47" t="s">
        <v>111</v>
      </c>
      <c r="H21" s="47" t="s">
        <v>111</v>
      </c>
      <c r="I21" s="48"/>
      <c r="J21" s="48"/>
      <c r="K21" s="48"/>
      <c r="L21" s="49"/>
      <c r="M21" s="72"/>
    </row>
    <row r="22" spans="1:14" ht="15" x14ac:dyDescent="0.2">
      <c r="A22" s="65" t="s">
        <v>213</v>
      </c>
      <c r="B22" s="51"/>
      <c r="C22" s="51"/>
      <c r="D22" s="51"/>
      <c r="E22" s="236" t="s">
        <v>340</v>
      </c>
      <c r="F22" s="236" t="s">
        <v>340</v>
      </c>
      <c r="G22" s="46" t="s">
        <v>117</v>
      </c>
      <c r="H22" s="46" t="s">
        <v>24</v>
      </c>
      <c r="I22" s="46" t="s">
        <v>24</v>
      </c>
      <c r="J22" s="46" t="s">
        <v>111</v>
      </c>
      <c r="K22" s="46" t="s">
        <v>283</v>
      </c>
      <c r="L22" s="50"/>
      <c r="M22" s="72"/>
    </row>
    <row r="23" spans="1:14" ht="15" x14ac:dyDescent="0.2">
      <c r="A23" s="65" t="s">
        <v>229</v>
      </c>
      <c r="B23" s="51"/>
      <c r="C23" s="51"/>
      <c r="D23" s="51"/>
      <c r="E23" s="46" t="s">
        <v>290</v>
      </c>
      <c r="F23" s="46" t="s">
        <v>115</v>
      </c>
      <c r="G23" s="46" t="s">
        <v>186</v>
      </c>
      <c r="H23" s="46" t="s">
        <v>106</v>
      </c>
      <c r="I23" s="46" t="s">
        <v>17</v>
      </c>
      <c r="J23" s="46" t="s">
        <v>17</v>
      </c>
      <c r="K23" s="242" t="s">
        <v>115</v>
      </c>
      <c r="L23" s="50"/>
      <c r="M23" s="72"/>
    </row>
    <row r="24" spans="1:14" ht="15" x14ac:dyDescent="0.2">
      <c r="A24" s="65" t="s">
        <v>230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0"/>
      <c r="M24" s="72"/>
    </row>
    <row r="25" spans="1:14" ht="15" x14ac:dyDescent="0.2">
      <c r="A25" s="65" t="s">
        <v>218</v>
      </c>
      <c r="B25" s="51"/>
      <c r="C25" s="51"/>
      <c r="D25" s="51"/>
      <c r="E25" s="46" t="s">
        <v>283</v>
      </c>
      <c r="F25" s="46" t="s">
        <v>283</v>
      </c>
      <c r="G25" s="46" t="s">
        <v>116</v>
      </c>
      <c r="H25" s="46" t="s">
        <v>55</v>
      </c>
      <c r="I25" s="46" t="s">
        <v>55</v>
      </c>
      <c r="J25" s="46" t="s">
        <v>55</v>
      </c>
      <c r="K25" s="46" t="s">
        <v>122</v>
      </c>
      <c r="L25" s="50"/>
      <c r="M25" s="72"/>
    </row>
    <row r="26" spans="1:14" ht="15" x14ac:dyDescent="0.2">
      <c r="A26" s="65" t="s">
        <v>215</v>
      </c>
      <c r="B26" s="46" t="s">
        <v>116</v>
      </c>
      <c r="C26" s="46" t="s">
        <v>116</v>
      </c>
      <c r="D26" s="46" t="s">
        <v>106</v>
      </c>
      <c r="E26" s="51"/>
      <c r="F26" s="51"/>
      <c r="G26" s="51"/>
      <c r="H26" s="51"/>
      <c r="I26" s="51"/>
      <c r="J26" s="51"/>
      <c r="K26" s="51"/>
      <c r="L26" s="50"/>
      <c r="M26" s="72"/>
    </row>
    <row r="27" spans="1:14" ht="15" x14ac:dyDescent="0.2">
      <c r="A27" s="65" t="s">
        <v>99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3" t="s">
        <v>45</v>
      </c>
      <c r="M27" s="72"/>
    </row>
    <row r="28" spans="1:14" ht="15" x14ac:dyDescent="0.2">
      <c r="A28" s="66" t="s">
        <v>99</v>
      </c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5" t="s">
        <v>45</v>
      </c>
      <c r="M28" s="72"/>
    </row>
    <row r="29" spans="1:14" ht="15" x14ac:dyDescent="0.2">
      <c r="A29" s="70" t="s">
        <v>328</v>
      </c>
      <c r="B29" s="48"/>
      <c r="C29" s="48"/>
      <c r="D29" s="48"/>
      <c r="E29" s="204" t="s">
        <v>17</v>
      </c>
      <c r="F29" s="204" t="s">
        <v>17</v>
      </c>
      <c r="G29" s="204" t="s">
        <v>47</v>
      </c>
      <c r="H29" s="204" t="s">
        <v>117</v>
      </c>
      <c r="I29" s="204" t="s">
        <v>8</v>
      </c>
      <c r="J29" s="204" t="s">
        <v>47</v>
      </c>
      <c r="K29" s="204" t="s">
        <v>47</v>
      </c>
      <c r="L29" s="51"/>
      <c r="M29" s="72"/>
    </row>
    <row r="30" spans="1:14" x14ac:dyDescent="0.2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</row>
    <row r="31" spans="1:14" ht="15" x14ac:dyDescent="0.2">
      <c r="A31" s="20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5"/>
  <sheetViews>
    <sheetView workbookViewId="0">
      <selection activeCell="F28" sqref="F28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71" t="s">
        <v>154</v>
      </c>
      <c r="B1" s="71"/>
      <c r="C1" s="71"/>
      <c r="D1" s="71"/>
      <c r="E1" s="71"/>
      <c r="F1" s="71"/>
      <c r="G1" s="71" t="s">
        <v>255</v>
      </c>
      <c r="H1" s="74" t="str">
        <f>Issue</f>
        <v>2024 Show Season V1 7/22/2024</v>
      </c>
      <c r="I1" s="70"/>
      <c r="J1" s="70"/>
      <c r="K1" s="70"/>
      <c r="L1" s="72"/>
    </row>
    <row r="2" spans="1:42" ht="15.75" x14ac:dyDescent="0.25">
      <c r="A2" s="79" t="s">
        <v>155</v>
      </c>
      <c r="B2" s="79"/>
      <c r="C2" s="79"/>
      <c r="D2" s="71"/>
      <c r="E2" s="70"/>
      <c r="F2" s="70"/>
      <c r="G2" s="70"/>
      <c r="H2" s="70"/>
      <c r="I2" s="70"/>
      <c r="J2" s="70"/>
      <c r="K2" s="70"/>
      <c r="L2" s="72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14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</row>
    <row r="3" spans="1:42" ht="18.75" x14ac:dyDescent="0.3">
      <c r="A3" s="78" t="s">
        <v>337</v>
      </c>
      <c r="B3" s="221"/>
      <c r="C3" s="221"/>
      <c r="D3" s="71"/>
      <c r="E3" s="72"/>
      <c r="F3" s="172" t="s">
        <v>165</v>
      </c>
      <c r="G3" s="70"/>
      <c r="H3" s="70"/>
      <c r="I3" s="70"/>
      <c r="J3" s="70"/>
      <c r="K3" s="70"/>
      <c r="L3" s="72"/>
      <c r="M3" s="20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</row>
    <row r="4" spans="1:42" ht="15.75" x14ac:dyDescent="0.25">
      <c r="A4" s="71"/>
      <c r="B4" s="71"/>
      <c r="C4" s="71"/>
      <c r="D4" s="70"/>
      <c r="E4" s="77"/>
      <c r="F4" s="76"/>
      <c r="G4" s="76"/>
      <c r="H4" s="70"/>
      <c r="I4" s="70"/>
      <c r="J4" s="70"/>
      <c r="K4" s="70"/>
      <c r="L4" s="72"/>
      <c r="M4" s="20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</row>
    <row r="5" spans="1:42" ht="15.75" x14ac:dyDescent="0.25">
      <c r="A5" s="71" t="str">
        <f>A3</f>
        <v>Sunday 01/21/2024</v>
      </c>
      <c r="B5" s="79" t="s">
        <v>127</v>
      </c>
      <c r="C5" s="79" t="s">
        <v>128</v>
      </c>
      <c r="D5" s="198" t="s">
        <v>129</v>
      </c>
      <c r="E5" s="198" t="s">
        <v>130</v>
      </c>
      <c r="F5" s="198" t="s">
        <v>131</v>
      </c>
      <c r="G5" s="198" t="s">
        <v>132</v>
      </c>
      <c r="H5" s="198" t="s">
        <v>133</v>
      </c>
      <c r="I5" s="198" t="s">
        <v>134</v>
      </c>
      <c r="J5" s="198" t="s">
        <v>135</v>
      </c>
      <c r="K5" s="198" t="s">
        <v>136</v>
      </c>
      <c r="L5" s="70"/>
      <c r="M5" s="20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</row>
    <row r="6" spans="1:42" ht="15" x14ac:dyDescent="0.2">
      <c r="A6" s="68" t="s">
        <v>220</v>
      </c>
      <c r="B6" s="228"/>
      <c r="C6" s="228"/>
      <c r="D6" s="58" t="s">
        <v>47</v>
      </c>
      <c r="E6" s="196"/>
      <c r="F6" s="57"/>
      <c r="G6" s="57"/>
      <c r="H6" s="57"/>
      <c r="I6" s="57"/>
      <c r="J6" s="57"/>
      <c r="K6" s="197"/>
      <c r="L6" s="81"/>
      <c r="M6" s="20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</row>
    <row r="7" spans="1:42" ht="15" x14ac:dyDescent="0.2">
      <c r="A7" s="64" t="s">
        <v>222</v>
      </c>
      <c r="B7" s="70"/>
      <c r="C7" s="70"/>
      <c r="D7" s="47" t="s">
        <v>115</v>
      </c>
      <c r="E7" s="56"/>
      <c r="F7" s="48"/>
      <c r="G7" s="48"/>
      <c r="H7" s="48"/>
      <c r="I7" s="48"/>
      <c r="J7" s="48"/>
      <c r="K7" s="49"/>
      <c r="L7" s="72"/>
      <c r="M7" s="20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</row>
    <row r="8" spans="1:42" ht="15" x14ac:dyDescent="0.2">
      <c r="A8" s="65" t="s">
        <v>224</v>
      </c>
      <c r="B8" s="218"/>
      <c r="C8" s="218"/>
      <c r="D8" s="51"/>
      <c r="E8" s="46" t="s">
        <v>26</v>
      </c>
      <c r="F8" s="46" t="s">
        <v>55</v>
      </c>
      <c r="G8" s="46" t="s">
        <v>55</v>
      </c>
      <c r="H8" s="46" t="s">
        <v>26</v>
      </c>
      <c r="I8" s="46" t="s">
        <v>115</v>
      </c>
      <c r="J8" s="46" t="s">
        <v>111</v>
      </c>
      <c r="K8" s="50"/>
      <c r="L8" s="72"/>
      <c r="M8" s="20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</row>
    <row r="9" spans="1:42" ht="15" x14ac:dyDescent="0.2">
      <c r="A9" s="65" t="s">
        <v>148</v>
      </c>
      <c r="B9" s="218"/>
      <c r="C9" s="218"/>
      <c r="D9" s="46" t="s">
        <v>8</v>
      </c>
      <c r="E9" s="46" t="s">
        <v>106</v>
      </c>
      <c r="F9" s="46" t="s">
        <v>47</v>
      </c>
      <c r="G9" s="46" t="s">
        <v>47</v>
      </c>
      <c r="H9" s="46" t="s">
        <v>17</v>
      </c>
      <c r="I9" s="46" t="s">
        <v>111</v>
      </c>
      <c r="J9" s="46" t="s">
        <v>50</v>
      </c>
      <c r="K9" s="50"/>
      <c r="L9" s="72"/>
      <c r="M9" s="20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</row>
    <row r="10" spans="1:42" ht="15" x14ac:dyDescent="0.2">
      <c r="A10" s="65" t="s">
        <v>212</v>
      </c>
      <c r="B10" s="218"/>
      <c r="C10" s="218"/>
      <c r="D10" s="46" t="s">
        <v>113</v>
      </c>
      <c r="E10" s="50"/>
      <c r="F10" s="46" t="s">
        <v>113</v>
      </c>
      <c r="G10" s="50"/>
      <c r="H10" s="46" t="s">
        <v>113</v>
      </c>
      <c r="I10" s="50"/>
      <c r="J10" s="50"/>
      <c r="K10" s="50"/>
      <c r="L10" s="72"/>
      <c r="M10" s="20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</row>
    <row r="11" spans="1:42" ht="15" x14ac:dyDescent="0.2">
      <c r="A11" s="65" t="s">
        <v>209</v>
      </c>
      <c r="B11" s="218"/>
      <c r="C11" s="218"/>
      <c r="D11" s="46" t="s">
        <v>290</v>
      </c>
      <c r="E11" s="46" t="s">
        <v>117</v>
      </c>
      <c r="F11" s="46" t="s">
        <v>115</v>
      </c>
      <c r="G11" s="46" t="s">
        <v>29</v>
      </c>
      <c r="H11" s="46" t="s">
        <v>111</v>
      </c>
      <c r="I11" s="46" t="s">
        <v>50</v>
      </c>
      <c r="J11" s="46" t="s">
        <v>122</v>
      </c>
      <c r="K11" s="50"/>
      <c r="L11" s="72"/>
      <c r="M11" s="20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</row>
    <row r="12" spans="1:42" ht="15" x14ac:dyDescent="0.2">
      <c r="A12" s="65" t="s">
        <v>226</v>
      </c>
      <c r="B12" s="218"/>
      <c r="C12" s="218"/>
      <c r="D12" s="51"/>
      <c r="E12" s="255" t="s">
        <v>340</v>
      </c>
      <c r="F12" s="46" t="s">
        <v>17</v>
      </c>
      <c r="G12" s="46" t="s">
        <v>17</v>
      </c>
      <c r="H12" s="46" t="s">
        <v>17</v>
      </c>
      <c r="I12" s="46" t="s">
        <v>117</v>
      </c>
      <c r="J12" s="50"/>
      <c r="K12" s="50"/>
      <c r="L12" s="72"/>
      <c r="M12" s="20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</row>
    <row r="13" spans="1:42" ht="15" x14ac:dyDescent="0.2">
      <c r="A13" s="64" t="s">
        <v>226</v>
      </c>
      <c r="B13" s="70"/>
      <c r="C13" s="70"/>
      <c r="D13" s="48"/>
      <c r="E13" s="47" t="s">
        <v>111</v>
      </c>
      <c r="F13" s="47" t="s">
        <v>111</v>
      </c>
      <c r="G13" s="47" t="s">
        <v>111</v>
      </c>
      <c r="H13" s="47" t="s">
        <v>111</v>
      </c>
      <c r="I13" s="47" t="s">
        <v>106</v>
      </c>
      <c r="J13" s="49"/>
      <c r="K13" s="49"/>
      <c r="L13" s="72"/>
      <c r="M13" s="20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</row>
    <row r="14" spans="1:42" ht="15" x14ac:dyDescent="0.2">
      <c r="A14" s="64" t="s">
        <v>226</v>
      </c>
      <c r="B14" s="70"/>
      <c r="C14" s="70"/>
      <c r="D14" s="48"/>
      <c r="E14" s="48"/>
      <c r="F14" s="48"/>
      <c r="G14" s="255" t="s">
        <v>340</v>
      </c>
      <c r="H14" s="47" t="s">
        <v>290</v>
      </c>
      <c r="I14" s="48"/>
      <c r="J14" s="48"/>
      <c r="K14" s="49"/>
      <c r="L14" s="72"/>
      <c r="M14" s="20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</row>
    <row r="15" spans="1:42" ht="15" x14ac:dyDescent="0.2">
      <c r="A15" s="64" t="s">
        <v>226</v>
      </c>
      <c r="B15" s="70"/>
      <c r="C15" s="70"/>
      <c r="D15" s="48"/>
      <c r="E15" s="48"/>
      <c r="F15" s="48"/>
      <c r="G15" s="47" t="s">
        <v>186</v>
      </c>
      <c r="H15" s="47" t="s">
        <v>115</v>
      </c>
      <c r="I15" s="48"/>
      <c r="J15" s="48"/>
      <c r="K15" s="49"/>
      <c r="L15" s="72"/>
      <c r="M15" s="20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</row>
    <row r="16" spans="1:42" ht="15" x14ac:dyDescent="0.2">
      <c r="A16" s="65" t="s">
        <v>228</v>
      </c>
      <c r="B16" s="218"/>
      <c r="C16" s="218"/>
      <c r="D16" s="51"/>
      <c r="E16" s="46" t="s">
        <v>117</v>
      </c>
      <c r="F16" s="46" t="s">
        <v>117</v>
      </c>
      <c r="G16" s="46" t="s">
        <v>117</v>
      </c>
      <c r="H16" s="46" t="s">
        <v>55</v>
      </c>
      <c r="I16" s="46" t="s">
        <v>55</v>
      </c>
      <c r="J16" s="50"/>
      <c r="K16" s="50"/>
      <c r="L16" s="72"/>
    </row>
    <row r="17" spans="1:14" ht="15" x14ac:dyDescent="0.2">
      <c r="A17" s="64" t="s">
        <v>228</v>
      </c>
      <c r="B17" s="70"/>
      <c r="C17" s="70"/>
      <c r="D17" s="48"/>
      <c r="E17" s="47" t="s">
        <v>122</v>
      </c>
      <c r="F17" s="47" t="s">
        <v>122</v>
      </c>
      <c r="G17" s="47" t="s">
        <v>55</v>
      </c>
      <c r="H17" s="47" t="s">
        <v>122</v>
      </c>
      <c r="I17" s="47" t="s">
        <v>8</v>
      </c>
      <c r="J17" s="49"/>
      <c r="K17" s="49"/>
      <c r="L17" s="72"/>
      <c r="N17" s="23"/>
    </row>
    <row r="18" spans="1:14" ht="15" x14ac:dyDescent="0.2">
      <c r="A18" s="64" t="s">
        <v>228</v>
      </c>
      <c r="B18" s="70"/>
      <c r="C18" s="70"/>
      <c r="D18" s="48"/>
      <c r="E18" s="48"/>
      <c r="F18" s="48"/>
      <c r="G18" s="47" t="s">
        <v>47</v>
      </c>
      <c r="H18" s="47" t="s">
        <v>47</v>
      </c>
      <c r="I18" s="48"/>
      <c r="J18" s="48"/>
      <c r="K18" s="49"/>
      <c r="L18" s="72"/>
    </row>
    <row r="19" spans="1:14" ht="15" x14ac:dyDescent="0.2">
      <c r="A19" s="64" t="s">
        <v>228</v>
      </c>
      <c r="B19" s="70"/>
      <c r="C19" s="70"/>
      <c r="D19" s="48"/>
      <c r="E19" s="48"/>
      <c r="F19" s="48"/>
      <c r="G19" s="47" t="s">
        <v>122</v>
      </c>
      <c r="H19" s="47" t="s">
        <v>283</v>
      </c>
      <c r="I19" s="48"/>
      <c r="J19" s="48"/>
      <c r="K19" s="49"/>
      <c r="L19" s="72"/>
    </row>
    <row r="20" spans="1:14" ht="15" x14ac:dyDescent="0.2">
      <c r="A20" s="65" t="s">
        <v>214</v>
      </c>
      <c r="B20" s="218"/>
      <c r="C20" s="218"/>
      <c r="D20" s="51"/>
      <c r="E20" s="46" t="s">
        <v>45</v>
      </c>
      <c r="F20" s="46" t="s">
        <v>8</v>
      </c>
      <c r="G20" s="46" t="s">
        <v>115</v>
      </c>
      <c r="H20" s="46" t="s">
        <v>116</v>
      </c>
      <c r="I20" s="46" t="s">
        <v>122</v>
      </c>
      <c r="J20" s="46" t="s">
        <v>290</v>
      </c>
      <c r="K20" s="50"/>
      <c r="L20" s="72"/>
    </row>
    <row r="21" spans="1:14" ht="15" x14ac:dyDescent="0.2">
      <c r="A21" s="65" t="s">
        <v>231</v>
      </c>
      <c r="B21" s="218"/>
      <c r="C21" s="218"/>
      <c r="D21" s="51"/>
      <c r="E21" s="46" t="s">
        <v>290</v>
      </c>
      <c r="F21" s="46" t="s">
        <v>106</v>
      </c>
      <c r="G21" s="46" t="s">
        <v>17</v>
      </c>
      <c r="H21" s="46" t="s">
        <v>8</v>
      </c>
      <c r="I21" s="46" t="s">
        <v>111</v>
      </c>
      <c r="J21" s="50"/>
      <c r="K21" s="50"/>
      <c r="L21" s="70"/>
    </row>
    <row r="22" spans="1:14" ht="15" x14ac:dyDescent="0.2">
      <c r="A22" s="65" t="s">
        <v>232</v>
      </c>
      <c r="B22" s="218"/>
      <c r="C22" s="218"/>
      <c r="D22" s="51"/>
      <c r="E22" s="51"/>
      <c r="F22" s="51"/>
      <c r="G22" s="51"/>
      <c r="H22" s="51"/>
      <c r="I22" s="51"/>
      <c r="J22" s="51"/>
      <c r="K22" s="50"/>
      <c r="L22" s="72"/>
    </row>
    <row r="23" spans="1:14" ht="15" x14ac:dyDescent="0.2">
      <c r="A23" s="65" t="s">
        <v>217</v>
      </c>
      <c r="B23" s="218"/>
      <c r="C23" s="218"/>
      <c r="D23" s="51"/>
      <c r="E23" s="265" t="s">
        <v>8</v>
      </c>
      <c r="F23" s="255" t="s">
        <v>340</v>
      </c>
      <c r="G23" s="46" t="s">
        <v>290</v>
      </c>
      <c r="H23" s="46" t="s">
        <v>55</v>
      </c>
      <c r="I23" s="46" t="s">
        <v>55</v>
      </c>
      <c r="J23" s="46" t="s">
        <v>115</v>
      </c>
      <c r="K23" s="50"/>
      <c r="L23" s="72"/>
    </row>
    <row r="24" spans="1:14" ht="15" x14ac:dyDescent="0.2">
      <c r="A24" s="65" t="s">
        <v>329</v>
      </c>
      <c r="B24" s="218"/>
      <c r="C24" s="218"/>
      <c r="D24" s="51"/>
      <c r="E24" s="46" t="s">
        <v>111</v>
      </c>
      <c r="F24" s="46" t="s">
        <v>111</v>
      </c>
      <c r="G24" s="46" t="s">
        <v>283</v>
      </c>
      <c r="H24" s="266" t="s">
        <v>115</v>
      </c>
      <c r="I24" s="46" t="s">
        <v>115</v>
      </c>
      <c r="J24" s="46" t="s">
        <v>115</v>
      </c>
      <c r="K24" s="50"/>
      <c r="L24" s="72"/>
    </row>
    <row r="25" spans="1:14" ht="15" x14ac:dyDescent="0.2">
      <c r="A25" s="65" t="s">
        <v>216</v>
      </c>
      <c r="B25" s="218"/>
      <c r="C25" s="218"/>
      <c r="D25" s="46" t="s">
        <v>117</v>
      </c>
      <c r="E25" s="51"/>
      <c r="F25" s="51"/>
      <c r="G25" s="51"/>
      <c r="H25" s="51"/>
      <c r="I25" s="51"/>
      <c r="J25" s="51"/>
      <c r="K25" s="50"/>
      <c r="L25" s="72"/>
    </row>
    <row r="26" spans="1:14" ht="15" x14ac:dyDescent="0.2">
      <c r="A26" s="65" t="s">
        <v>233</v>
      </c>
      <c r="B26" s="218"/>
      <c r="C26" s="218"/>
      <c r="D26" s="51"/>
      <c r="E26" s="51"/>
      <c r="F26" s="51"/>
      <c r="G26" s="51"/>
      <c r="H26" s="51"/>
      <c r="I26" s="51"/>
      <c r="J26" s="51"/>
      <c r="K26" s="53" t="s">
        <v>29</v>
      </c>
      <c r="L26" s="72"/>
    </row>
    <row r="27" spans="1:14" ht="15" x14ac:dyDescent="0.2">
      <c r="A27" s="64" t="s">
        <v>233</v>
      </c>
      <c r="B27" s="70"/>
      <c r="C27" s="70"/>
      <c r="D27" s="48"/>
      <c r="E27" s="48"/>
      <c r="F27" s="48"/>
      <c r="I27" s="48"/>
      <c r="J27" s="48"/>
      <c r="K27" s="54" t="s">
        <v>29</v>
      </c>
      <c r="L27" s="72"/>
    </row>
    <row r="28" spans="1:14" ht="15" x14ac:dyDescent="0.2">
      <c r="A28" s="64" t="s">
        <v>233</v>
      </c>
      <c r="B28" s="70"/>
      <c r="C28" s="70"/>
      <c r="D28" s="56"/>
      <c r="E28" s="56"/>
      <c r="F28" s="56"/>
      <c r="G28" s="56"/>
      <c r="H28" s="56"/>
      <c r="I28" s="56"/>
      <c r="J28" s="56"/>
      <c r="K28" s="54" t="s">
        <v>29</v>
      </c>
      <c r="L28" s="72"/>
    </row>
    <row r="29" spans="1:14" ht="15" x14ac:dyDescent="0.2">
      <c r="A29" s="64" t="s">
        <v>233</v>
      </c>
      <c r="B29" s="70"/>
      <c r="C29" s="70"/>
      <c r="D29" s="56"/>
      <c r="E29" s="56"/>
      <c r="F29" s="56"/>
      <c r="G29" s="56"/>
      <c r="H29" s="56"/>
      <c r="I29" s="56"/>
      <c r="J29" s="56"/>
      <c r="K29" s="54" t="s">
        <v>29</v>
      </c>
      <c r="L29" s="72"/>
    </row>
    <row r="30" spans="1:14" ht="15" x14ac:dyDescent="0.2">
      <c r="A30" s="64" t="s">
        <v>233</v>
      </c>
      <c r="B30" s="70"/>
      <c r="C30" s="70"/>
      <c r="D30" s="56"/>
      <c r="E30" s="56"/>
      <c r="F30" s="56"/>
      <c r="G30" s="56"/>
      <c r="H30" s="56"/>
      <c r="I30" s="56"/>
      <c r="J30" s="56"/>
      <c r="K30" s="54" t="s">
        <v>29</v>
      </c>
      <c r="L30" s="72"/>
    </row>
    <row r="31" spans="1:14" ht="15" x14ac:dyDescent="0.2">
      <c r="A31" s="66" t="s">
        <v>233</v>
      </c>
      <c r="B31" s="222"/>
      <c r="C31" s="222"/>
      <c r="D31" s="52"/>
      <c r="E31" s="52"/>
      <c r="F31" s="52"/>
      <c r="G31" s="52"/>
      <c r="H31" s="52"/>
      <c r="I31" s="52"/>
      <c r="J31" s="52"/>
      <c r="K31" s="55" t="s">
        <v>29</v>
      </c>
      <c r="L31" s="72"/>
    </row>
    <row r="32" spans="1:14" x14ac:dyDescent="0.2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</row>
    <row r="33" spans="1:12" ht="15" x14ac:dyDescent="0.2">
      <c r="A33" s="20"/>
      <c r="B33" s="20"/>
      <c r="C33" s="20"/>
    </row>
    <row r="35" spans="1:12" ht="15" x14ac:dyDescent="0.2">
      <c r="L35" s="20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10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21" t="s">
        <v>331</v>
      </c>
    </row>
    <row r="2" spans="1:26" ht="15.75" x14ac:dyDescent="0.25">
      <c r="A2" s="31" t="s">
        <v>174</v>
      </c>
      <c r="B2" s="25"/>
      <c r="C2" s="89" t="s">
        <v>340</v>
      </c>
      <c r="D2" s="26"/>
    </row>
    <row r="3" spans="1:26" x14ac:dyDescent="0.2">
      <c r="A3" s="31" t="s">
        <v>149</v>
      </c>
      <c r="B3" s="25"/>
      <c r="C3" s="60" t="str">
        <f>VLOOKUP(ClubSumSymbol,ClubList,2,FALSE)</f>
        <v>North Texas Railroad Modelers</v>
      </c>
      <c r="D3" s="26"/>
    </row>
    <row r="4" spans="1:26" x14ac:dyDescent="0.2">
      <c r="A4" t="s">
        <v>273</v>
      </c>
      <c r="C4" s="3" t="str">
        <f>VLOOKUP(ClubSumSymbol,ClubList,7,FALSE)</f>
        <v>Brian Lingle</v>
      </c>
    </row>
    <row r="5" spans="1:26" x14ac:dyDescent="0.2">
      <c r="A5" t="s">
        <v>274</v>
      </c>
      <c r="B5" s="84" t="str">
        <f>VLOOKUP(ClubSumSymbol,ClubList,8,FALSE)</f>
        <v>Assign times in mornong to allow meeting open house hours, manages magazine adds.</v>
      </c>
      <c r="C5" s="3"/>
    </row>
    <row r="6" spans="1:26" ht="15.75" x14ac:dyDescent="0.25">
      <c r="H6" s="91" t="s">
        <v>255</v>
      </c>
      <c r="I6" s="195" t="str">
        <f>Issue</f>
        <v>2024 Show Season V1 7/22/2024</v>
      </c>
    </row>
    <row r="7" spans="1:26" x14ac:dyDescent="0.2">
      <c r="B7" s="88" t="s">
        <v>182</v>
      </c>
      <c r="C7" s="88" t="s">
        <v>256</v>
      </c>
      <c r="D7" s="88" t="s">
        <v>183</v>
      </c>
      <c r="E7" s="88" t="s">
        <v>257</v>
      </c>
      <c r="F7" s="88" t="s">
        <v>139</v>
      </c>
    </row>
    <row r="8" spans="1:26" x14ac:dyDescent="0.2">
      <c r="A8" s="84" t="s">
        <v>181</v>
      </c>
      <c r="B8" s="85">
        <f>SUMIF(HTSPreshowTaskClubs,C2,HTSPreshowTaskHours)</f>
        <v>2</v>
      </c>
      <c r="C8" s="85" t="e">
        <f>COUNTIF(#REF!,"BNRR")</f>
        <v>#REF!</v>
      </c>
      <c r="D8" s="85">
        <f>SUMIF(DATPreshowTaskClubs,C2,DATPreshowTaskHours)</f>
        <v>2</v>
      </c>
      <c r="E8" s="85" t="e">
        <f>COUNTIF(#REF!,"BNRR")</f>
        <v>#REF!</v>
      </c>
      <c r="F8" s="85" t="e">
        <f>SUM(B8:E8)</f>
        <v>#REF!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</row>
    <row r="9" spans="1:26" x14ac:dyDescent="0.2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</row>
    <row r="10" spans="1:26" x14ac:dyDescent="0.2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</row>
    <row r="11" spans="1:26" x14ac:dyDescent="0.2">
      <c r="A11" s="86"/>
      <c r="B11" s="86"/>
      <c r="C11" s="86"/>
      <c r="D11" s="86"/>
      <c r="E11" s="87" t="s">
        <v>307</v>
      </c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</row>
    <row r="12" spans="1:26" x14ac:dyDescent="0.2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</row>
    <row r="13" spans="1:26" ht="13.5" thickBot="1" x14ac:dyDescent="0.25">
      <c r="A13" s="90" t="s">
        <v>254</v>
      </c>
      <c r="B13" s="90" t="s">
        <v>205</v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</row>
    <row r="14" spans="1:26" x14ac:dyDescent="0.2">
      <c r="A14" s="229" t="s">
        <v>12</v>
      </c>
      <c r="B14" s="229">
        <v>2</v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</row>
    <row r="15" spans="1:26" x14ac:dyDescent="0.2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</row>
    <row r="16" spans="1:26" ht="13.5" thickBot="1" x14ac:dyDescent="0.25">
      <c r="A16" s="90" t="s">
        <v>332</v>
      </c>
      <c r="B16" s="90" t="s">
        <v>127</v>
      </c>
      <c r="C16" s="90" t="s">
        <v>128</v>
      </c>
      <c r="D16" s="90" t="s">
        <v>129</v>
      </c>
      <c r="E16" s="90" t="s">
        <v>130</v>
      </c>
      <c r="F16" s="90" t="s">
        <v>131</v>
      </c>
      <c r="G16" s="90" t="s">
        <v>132</v>
      </c>
      <c r="H16" s="90" t="s">
        <v>133</v>
      </c>
      <c r="I16" s="90" t="s">
        <v>134</v>
      </c>
      <c r="J16" s="90" t="s">
        <v>135</v>
      </c>
      <c r="K16" s="90" t="s">
        <v>136</v>
      </c>
      <c r="L16" s="90" t="s">
        <v>147</v>
      </c>
      <c r="M16" s="90" t="s">
        <v>172</v>
      </c>
      <c r="N16" s="90" t="s">
        <v>127</v>
      </c>
      <c r="O16" s="90" t="s">
        <v>128</v>
      </c>
      <c r="P16" s="90" t="s">
        <v>129</v>
      </c>
      <c r="Q16" s="86"/>
      <c r="R16" s="86"/>
      <c r="S16" s="86"/>
      <c r="T16" s="86"/>
      <c r="U16" s="86"/>
      <c r="V16" s="86"/>
      <c r="W16" s="86"/>
      <c r="X16" s="86"/>
      <c r="Y16" s="86"/>
      <c r="Z16" s="86"/>
    </row>
    <row r="17" spans="1:26" x14ac:dyDescent="0.2">
      <c r="A17" s="229" t="s">
        <v>312</v>
      </c>
      <c r="B17" s="229" t="s">
        <v>338</v>
      </c>
      <c r="C17" s="229" t="s">
        <v>338</v>
      </c>
      <c r="D17" s="229" t="s">
        <v>338</v>
      </c>
      <c r="E17" s="229" t="s">
        <v>340</v>
      </c>
      <c r="F17" s="229" t="s">
        <v>340</v>
      </c>
      <c r="G17" s="229" t="s">
        <v>338</v>
      </c>
      <c r="H17" s="229" t="s">
        <v>338</v>
      </c>
      <c r="I17" s="229" t="s">
        <v>338</v>
      </c>
      <c r="J17" s="229" t="s">
        <v>338</v>
      </c>
      <c r="K17" s="229" t="s">
        <v>338</v>
      </c>
      <c r="L17" s="229" t="s">
        <v>338</v>
      </c>
      <c r="M17" s="229" t="s">
        <v>338</v>
      </c>
      <c r="N17" s="229" t="s">
        <v>338</v>
      </c>
      <c r="O17" s="229" t="s">
        <v>338</v>
      </c>
      <c r="P17" s="229" t="s">
        <v>338</v>
      </c>
      <c r="Q17" s="86"/>
      <c r="R17" s="86"/>
      <c r="S17" s="86"/>
      <c r="T17" s="86"/>
      <c r="U17" s="86"/>
      <c r="V17" s="86"/>
      <c r="W17" s="86"/>
      <c r="X17" s="86"/>
      <c r="Y17" s="86"/>
      <c r="Z17" s="86"/>
    </row>
    <row r="18" spans="1:26" x14ac:dyDescent="0.2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</row>
    <row r="19" spans="1:26" x14ac:dyDescent="0.2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</row>
    <row r="20" spans="1:26" x14ac:dyDescent="0.2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</row>
    <row r="21" spans="1:26" x14ac:dyDescent="0.2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</row>
    <row r="22" spans="1:26" x14ac:dyDescent="0.2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</row>
    <row r="23" spans="1:26" x14ac:dyDescent="0.2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</row>
    <row r="24" spans="1:26" x14ac:dyDescent="0.2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</row>
    <row r="25" spans="1:26" x14ac:dyDescent="0.2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</row>
    <row r="26" spans="1:26" x14ac:dyDescent="0.2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</row>
    <row r="27" spans="1:26" x14ac:dyDescent="0.2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</row>
    <row r="28" spans="1:26" x14ac:dyDescent="0.2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</row>
    <row r="29" spans="1:26" x14ac:dyDescent="0.2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</row>
    <row r="30" spans="1:26" x14ac:dyDescent="0.2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</row>
    <row r="31" spans="1:26" x14ac:dyDescent="0.2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</row>
    <row r="32" spans="1:26" x14ac:dyDescent="0.2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</row>
    <row r="33" spans="1:26" x14ac:dyDescent="0.2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</row>
    <row r="34" spans="1:26" x14ac:dyDescent="0.2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</row>
    <row r="35" spans="1:26" x14ac:dyDescent="0.2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</row>
    <row r="36" spans="1:26" x14ac:dyDescent="0.2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</row>
    <row r="37" spans="1:26" x14ac:dyDescent="0.2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</row>
    <row r="38" spans="1:26" x14ac:dyDescent="0.2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</row>
    <row r="39" spans="1:26" x14ac:dyDescent="0.2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</row>
    <row r="40" spans="1:26" x14ac:dyDescent="0.2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</row>
    <row r="41" spans="1:26" x14ac:dyDescent="0.2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</row>
    <row r="42" spans="1:26" x14ac:dyDescent="0.2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</row>
    <row r="43" spans="1:26" x14ac:dyDescent="0.2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</row>
    <row r="44" spans="1:26" x14ac:dyDescent="0.2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</row>
    <row r="45" spans="1:26" x14ac:dyDescent="0.2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</row>
    <row r="46" spans="1:26" x14ac:dyDescent="0.2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</row>
    <row r="47" spans="1:26" x14ac:dyDescent="0.2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</row>
    <row r="48" spans="1:26" x14ac:dyDescent="0.2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</row>
    <row r="49" spans="1:26" x14ac:dyDescent="0.2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</row>
    <row r="50" spans="1:26" x14ac:dyDescent="0.2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</row>
    <row r="51" spans="1:26" x14ac:dyDescent="0.2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</row>
    <row r="52" spans="1:26" x14ac:dyDescent="0.2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</row>
    <row r="53" spans="1:26" x14ac:dyDescent="0.2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86"/>
      <c r="Z53" s="86"/>
    </row>
    <row r="54" spans="1:26" x14ac:dyDescent="0.2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  <c r="X54" s="86"/>
      <c r="Y54" s="86"/>
      <c r="Z54" s="86"/>
    </row>
    <row r="55" spans="1:26" x14ac:dyDescent="0.2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86"/>
      <c r="Z55" s="86"/>
    </row>
    <row r="56" spans="1:26" x14ac:dyDescent="0.2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</row>
    <row r="57" spans="1:26" x14ac:dyDescent="0.2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</row>
    <row r="58" spans="1:26" x14ac:dyDescent="0.2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</row>
    <row r="59" spans="1:26" x14ac:dyDescent="0.2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</row>
    <row r="60" spans="1:26" x14ac:dyDescent="0.2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</row>
    <row r="61" spans="1:26" x14ac:dyDescent="0.2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</row>
    <row r="62" spans="1:26" x14ac:dyDescent="0.2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</row>
    <row r="63" spans="1:26" x14ac:dyDescent="0.2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</row>
    <row r="64" spans="1:26" x14ac:dyDescent="0.2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</row>
    <row r="65" spans="1:26" x14ac:dyDescent="0.2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</row>
    <row r="66" spans="1:26" x14ac:dyDescent="0.2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</row>
    <row r="67" spans="1:26" x14ac:dyDescent="0.2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</row>
    <row r="68" spans="1:26" x14ac:dyDescent="0.2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</row>
    <row r="69" spans="1:26" x14ac:dyDescent="0.2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</row>
    <row r="70" spans="1:26" x14ac:dyDescent="0.2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</row>
    <row r="71" spans="1:26" x14ac:dyDescent="0.2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</row>
    <row r="72" spans="1:26" x14ac:dyDescent="0.2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</row>
    <row r="73" spans="1:26" x14ac:dyDescent="0.2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6"/>
      <c r="Y73" s="86"/>
      <c r="Z73" s="86"/>
    </row>
    <row r="74" spans="1:26" x14ac:dyDescent="0.2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6"/>
      <c r="Y74" s="86"/>
      <c r="Z74" s="86"/>
    </row>
    <row r="75" spans="1:26" x14ac:dyDescent="0.2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6"/>
      <c r="Y75" s="86"/>
      <c r="Z75" s="86"/>
    </row>
    <row r="76" spans="1:26" x14ac:dyDescent="0.2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</row>
    <row r="77" spans="1:26" x14ac:dyDescent="0.2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6"/>
      <c r="Y77" s="86"/>
      <c r="Z77" s="86"/>
    </row>
    <row r="78" spans="1:26" x14ac:dyDescent="0.2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</row>
    <row r="79" spans="1:26" x14ac:dyDescent="0.2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  <c r="Y79" s="86"/>
      <c r="Z79" s="86"/>
    </row>
    <row r="80" spans="1:26" x14ac:dyDescent="0.2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</row>
    <row r="81" spans="1:26" x14ac:dyDescent="0.2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/>
      <c r="Y81" s="86"/>
      <c r="Z81" s="86"/>
    </row>
    <row r="82" spans="1:26" x14ac:dyDescent="0.2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/>
      <c r="Y82" s="86"/>
      <c r="Z82" s="86"/>
    </row>
    <row r="83" spans="1:26" x14ac:dyDescent="0.2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/>
      <c r="Y83" s="86"/>
      <c r="Z83" s="86"/>
    </row>
    <row r="84" spans="1:26" x14ac:dyDescent="0.2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/>
      <c r="Y84" s="86"/>
      <c r="Z84" s="86"/>
    </row>
    <row r="85" spans="1:26" x14ac:dyDescent="0.2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/>
      <c r="Y85" s="86"/>
      <c r="Z85" s="86"/>
    </row>
    <row r="86" spans="1:26" x14ac:dyDescent="0.2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/>
      <c r="Y86" s="86"/>
      <c r="Z86" s="86"/>
    </row>
    <row r="87" spans="1:26" x14ac:dyDescent="0.2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/>
      <c r="Y87" s="86"/>
      <c r="Z87" s="86"/>
    </row>
    <row r="88" spans="1:26" x14ac:dyDescent="0.2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/>
      <c r="Y88" s="86"/>
      <c r="Z88" s="86"/>
    </row>
    <row r="89" spans="1:26" x14ac:dyDescent="0.2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/>
      <c r="Y89" s="86"/>
      <c r="Z89" s="86"/>
    </row>
    <row r="90" spans="1:26" x14ac:dyDescent="0.2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/>
      <c r="Y90" s="86"/>
      <c r="Z90" s="86"/>
    </row>
    <row r="91" spans="1:26" x14ac:dyDescent="0.2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/>
      <c r="Y91" s="86"/>
      <c r="Z91" s="86"/>
    </row>
    <row r="92" spans="1:26" x14ac:dyDescent="0.2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/>
      <c r="Y92" s="86"/>
      <c r="Z92" s="86"/>
    </row>
    <row r="93" spans="1:26" x14ac:dyDescent="0.2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/>
      <c r="Y93" s="86"/>
      <c r="Z93" s="86"/>
    </row>
    <row r="94" spans="1:26" x14ac:dyDescent="0.2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</row>
    <row r="95" spans="1:26" x14ac:dyDescent="0.2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</row>
    <row r="96" spans="1:26" x14ac:dyDescent="0.2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</row>
    <row r="97" spans="1:26" x14ac:dyDescent="0.2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</row>
    <row r="98" spans="1:26" x14ac:dyDescent="0.2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</row>
    <row r="99" spans="1:26" x14ac:dyDescent="0.2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</row>
    <row r="100" spans="1:26" x14ac:dyDescent="0.2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/>
      <c r="Y100" s="86"/>
      <c r="Z100" s="86"/>
    </row>
    <row r="101" spans="1:26" x14ac:dyDescent="0.2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/>
      <c r="Y101" s="86"/>
      <c r="Z101" s="86"/>
    </row>
    <row r="102" spans="1:26" x14ac:dyDescent="0.2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/>
      <c r="Y102" s="86"/>
      <c r="Z102" s="86"/>
    </row>
    <row r="103" spans="1:26" x14ac:dyDescent="0.2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/>
      <c r="Y103" s="86"/>
      <c r="Z103" s="86"/>
    </row>
    <row r="104" spans="1:26" x14ac:dyDescent="0.2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/>
      <c r="Y104" s="86"/>
      <c r="Z104" s="86"/>
    </row>
    <row r="105" spans="1:26" x14ac:dyDescent="0.2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/>
      <c r="Y105" s="86"/>
      <c r="Z105" s="86"/>
    </row>
    <row r="106" spans="1:26" x14ac:dyDescent="0.2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/>
      <c r="Y106" s="86"/>
      <c r="Z106" s="86"/>
    </row>
    <row r="107" spans="1:26" x14ac:dyDescent="0.2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</row>
    <row r="108" spans="1:26" x14ac:dyDescent="0.2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/>
      <c r="Y108" s="86"/>
      <c r="Z108" s="86"/>
    </row>
    <row r="109" spans="1:26" x14ac:dyDescent="0.2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/>
      <c r="Y109" s="86"/>
      <c r="Z109" s="86"/>
    </row>
    <row r="110" spans="1:26" x14ac:dyDescent="0.2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/>
      <c r="Y110" s="86"/>
      <c r="Z110" s="86"/>
    </row>
    <row r="111" spans="1:26" x14ac:dyDescent="0.2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</row>
    <row r="112" spans="1:26" x14ac:dyDescent="0.2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</row>
    <row r="113" spans="1:26" x14ac:dyDescent="0.2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x14ac:dyDescent="0.2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x14ac:dyDescent="0.2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</row>
    <row r="116" spans="1:26" x14ac:dyDescent="0.2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 x14ac:dyDescent="0.2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 x14ac:dyDescent="0.2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x14ac:dyDescent="0.2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x14ac:dyDescent="0.2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x14ac:dyDescent="0.2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</row>
    <row r="122" spans="1:26" x14ac:dyDescent="0.2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 x14ac:dyDescent="0.2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</row>
    <row r="124" spans="1:26" x14ac:dyDescent="0.2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</row>
    <row r="125" spans="1:26" x14ac:dyDescent="0.2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</row>
    <row r="126" spans="1:26" x14ac:dyDescent="0.2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</row>
    <row r="127" spans="1:26" x14ac:dyDescent="0.2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</row>
    <row r="128" spans="1:26" x14ac:dyDescent="0.2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</row>
    <row r="129" spans="1:26" x14ac:dyDescent="0.2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</row>
    <row r="130" spans="1:26" x14ac:dyDescent="0.2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</row>
    <row r="131" spans="1:26" x14ac:dyDescent="0.2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</row>
    <row r="132" spans="1:26" x14ac:dyDescent="0.2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</row>
    <row r="133" spans="1:26" x14ac:dyDescent="0.2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</row>
    <row r="134" spans="1:26" x14ac:dyDescent="0.2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</row>
    <row r="135" spans="1:26" x14ac:dyDescent="0.2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</row>
    <row r="136" spans="1:26" x14ac:dyDescent="0.2">
      <c r="A136" s="86"/>
      <c r="B136" s="86"/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</row>
    <row r="137" spans="1:26" x14ac:dyDescent="0.2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</row>
    <row r="138" spans="1:26" x14ac:dyDescent="0.2">
      <c r="A138" s="86"/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</row>
    <row r="139" spans="1:26" x14ac:dyDescent="0.2">
      <c r="A139" s="86"/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</row>
    <row r="140" spans="1:26" x14ac:dyDescent="0.2">
      <c r="A140" s="86"/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</row>
    <row r="141" spans="1:26" x14ac:dyDescent="0.2">
      <c r="A141" s="86"/>
      <c r="B141" s="86"/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</row>
    <row r="142" spans="1:26" x14ac:dyDescent="0.2">
      <c r="A142" s="86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</row>
    <row r="143" spans="1:26" x14ac:dyDescent="0.2">
      <c r="A143" s="86"/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</row>
    <row r="144" spans="1:26" x14ac:dyDescent="0.2">
      <c r="A144" s="86"/>
      <c r="B144" s="86"/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</row>
    <row r="145" spans="1:26" x14ac:dyDescent="0.2">
      <c r="A145" s="86"/>
      <c r="B145" s="86"/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</row>
    <row r="146" spans="1:26" x14ac:dyDescent="0.2">
      <c r="A146" s="86"/>
      <c r="B146" s="86"/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</row>
    <row r="147" spans="1:26" x14ac:dyDescent="0.2">
      <c r="A147" s="86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</row>
    <row r="148" spans="1:26" x14ac:dyDescent="0.2">
      <c r="A148" s="86"/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</row>
    <row r="149" spans="1:26" x14ac:dyDescent="0.2">
      <c r="A149" s="86"/>
      <c r="B149" s="86"/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</row>
    <row r="150" spans="1:26" x14ac:dyDescent="0.2">
      <c r="A150" s="86"/>
      <c r="B150" s="86"/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</row>
    <row r="151" spans="1:26" x14ac:dyDescent="0.2">
      <c r="A151" s="86"/>
      <c r="B151" s="86"/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</row>
    <row r="152" spans="1:26" x14ac:dyDescent="0.2">
      <c r="A152" s="86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</row>
    <row r="153" spans="1:26" x14ac:dyDescent="0.2">
      <c r="A153" s="86"/>
      <c r="B153" s="86"/>
      <c r="C153" s="86"/>
      <c r="D153" s="86"/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</row>
    <row r="154" spans="1:26" x14ac:dyDescent="0.2">
      <c r="A154" s="86"/>
      <c r="B154" s="86"/>
      <c r="C154" s="86"/>
      <c r="D154" s="86"/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</row>
    <row r="155" spans="1:26" x14ac:dyDescent="0.2">
      <c r="A155" s="86"/>
      <c r="B155" s="86"/>
      <c r="C155" s="86"/>
      <c r="D155" s="86"/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</row>
    <row r="156" spans="1:26" x14ac:dyDescent="0.2">
      <c r="A156" s="86"/>
      <c r="B156" s="86"/>
      <c r="C156" s="86"/>
      <c r="D156" s="86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</row>
    <row r="157" spans="1:26" x14ac:dyDescent="0.2">
      <c r="A157" s="86"/>
      <c r="B157" s="86"/>
      <c r="C157" s="86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</row>
    <row r="158" spans="1:26" x14ac:dyDescent="0.2">
      <c r="A158" s="86"/>
      <c r="B158" s="86"/>
      <c r="C158" s="86"/>
      <c r="D158" s="86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</row>
    <row r="159" spans="1:26" x14ac:dyDescent="0.2">
      <c r="A159" s="86"/>
      <c r="B159" s="86"/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</row>
    <row r="160" spans="1:26" x14ac:dyDescent="0.2">
      <c r="A160" s="86"/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</row>
    <row r="161" spans="1:26" x14ac:dyDescent="0.2">
      <c r="A161" s="86"/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</row>
    <row r="162" spans="1:26" x14ac:dyDescent="0.2">
      <c r="A162" s="86"/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</row>
    <row r="163" spans="1:26" x14ac:dyDescent="0.2">
      <c r="A163" s="86"/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</row>
    <row r="164" spans="1:26" x14ac:dyDescent="0.2">
      <c r="A164" s="86"/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</row>
    <row r="165" spans="1:26" x14ac:dyDescent="0.2">
      <c r="A165" s="86"/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</row>
    <row r="166" spans="1:26" x14ac:dyDescent="0.2">
      <c r="A166" s="86"/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</row>
    <row r="167" spans="1:26" x14ac:dyDescent="0.2">
      <c r="A167" s="86"/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</row>
    <row r="168" spans="1:26" x14ac:dyDescent="0.2">
      <c r="A168" s="86"/>
      <c r="B168" s="86"/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</row>
    <row r="169" spans="1:26" x14ac:dyDescent="0.2">
      <c r="A169" s="86"/>
      <c r="B169" s="86"/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</row>
    <row r="170" spans="1:26" x14ac:dyDescent="0.2">
      <c r="A170" s="86"/>
      <c r="B170" s="86"/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</row>
    <row r="171" spans="1:26" x14ac:dyDescent="0.2">
      <c r="A171" s="86"/>
      <c r="B171" s="86"/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</row>
    <row r="172" spans="1:26" x14ac:dyDescent="0.2">
      <c r="A172" s="86"/>
      <c r="B172" s="86"/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</row>
    <row r="173" spans="1:26" x14ac:dyDescent="0.2">
      <c r="A173" s="86"/>
      <c r="B173" s="86"/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</row>
    <row r="174" spans="1:26" x14ac:dyDescent="0.2">
      <c r="A174" s="86"/>
      <c r="B174" s="86"/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</row>
    <row r="175" spans="1:26" x14ac:dyDescent="0.2">
      <c r="A175" s="86"/>
      <c r="B175" s="86"/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</row>
    <row r="176" spans="1:26" x14ac:dyDescent="0.2">
      <c r="A176" s="86"/>
      <c r="B176" s="86"/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</row>
    <row r="177" spans="1:26" x14ac:dyDescent="0.2">
      <c r="A177" s="86"/>
      <c r="B177" s="86"/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</row>
    <row r="178" spans="1:26" x14ac:dyDescent="0.2">
      <c r="A178" s="86"/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</row>
    <row r="179" spans="1:26" x14ac:dyDescent="0.2">
      <c r="A179" s="86"/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</row>
    <row r="180" spans="1:26" x14ac:dyDescent="0.2">
      <c r="A180" s="86"/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</row>
    <row r="181" spans="1:26" x14ac:dyDescent="0.2">
      <c r="A181" s="86"/>
      <c r="B181" s="86"/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</row>
    <row r="182" spans="1:26" x14ac:dyDescent="0.2">
      <c r="A182" s="86"/>
      <c r="B182" s="86"/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</row>
    <row r="183" spans="1:26" x14ac:dyDescent="0.2">
      <c r="A183" s="86"/>
      <c r="B183" s="86"/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</row>
    <row r="184" spans="1:26" x14ac:dyDescent="0.2">
      <c r="A184" s="86"/>
      <c r="B184" s="86"/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</row>
    <row r="185" spans="1:26" x14ac:dyDescent="0.2">
      <c r="A185" s="86"/>
      <c r="B185" s="86"/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</row>
    <row r="186" spans="1:26" x14ac:dyDescent="0.2">
      <c r="A186" s="86"/>
      <c r="B186" s="86"/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</row>
    <row r="187" spans="1:26" x14ac:dyDescent="0.2">
      <c r="A187" s="86"/>
      <c r="B187" s="86"/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</row>
    <row r="188" spans="1:26" x14ac:dyDescent="0.2">
      <c r="A188" s="86"/>
      <c r="B188" s="86"/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</row>
    <row r="189" spans="1:26" x14ac:dyDescent="0.2">
      <c r="A189" s="86"/>
      <c r="B189" s="86"/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</row>
    <row r="190" spans="1:26" x14ac:dyDescent="0.2">
      <c r="A190" s="86"/>
      <c r="B190" s="86"/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</row>
    <row r="191" spans="1:26" x14ac:dyDescent="0.2">
      <c r="A191" s="86"/>
      <c r="B191" s="86"/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</row>
    <row r="192" spans="1:26" x14ac:dyDescent="0.2">
      <c r="A192" s="86"/>
      <c r="B192" s="86"/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</row>
    <row r="193" spans="1:26" x14ac:dyDescent="0.2">
      <c r="A193" s="86"/>
      <c r="B193" s="86"/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</row>
    <row r="194" spans="1:26" x14ac:dyDescent="0.2">
      <c r="A194" s="86"/>
      <c r="B194" s="86"/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</row>
    <row r="195" spans="1:26" x14ac:dyDescent="0.2">
      <c r="A195" s="86"/>
      <c r="B195" s="86"/>
      <c r="C195" s="86"/>
      <c r="D195" s="86"/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</row>
    <row r="196" spans="1:26" x14ac:dyDescent="0.2">
      <c r="A196" s="86"/>
      <c r="B196" s="86"/>
      <c r="C196" s="86"/>
      <c r="D196" s="86"/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</row>
    <row r="197" spans="1:26" x14ac:dyDescent="0.2">
      <c r="A197" s="86"/>
      <c r="B197" s="86"/>
      <c r="C197" s="86"/>
      <c r="D197" s="86"/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</row>
    <row r="198" spans="1:26" x14ac:dyDescent="0.2">
      <c r="A198" s="86"/>
      <c r="B198" s="86"/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</row>
    <row r="199" spans="1:26" x14ac:dyDescent="0.2">
      <c r="A199" s="86"/>
      <c r="B199" s="86"/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</row>
    <row r="200" spans="1:26" x14ac:dyDescent="0.2">
      <c r="A200" s="86"/>
      <c r="B200" s="86"/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</row>
    <row r="201" spans="1:26" x14ac:dyDescent="0.2">
      <c r="A201" s="86"/>
      <c r="B201" s="86"/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</row>
    <row r="202" spans="1:26" x14ac:dyDescent="0.2">
      <c r="A202" s="86"/>
      <c r="B202" s="86"/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</row>
    <row r="203" spans="1:26" x14ac:dyDescent="0.2">
      <c r="A203" s="86"/>
      <c r="B203" s="86"/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</row>
    <row r="204" spans="1:26" x14ac:dyDescent="0.2">
      <c r="A204" s="86"/>
      <c r="B204" s="86"/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</row>
    <row r="205" spans="1:26" x14ac:dyDescent="0.2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</row>
    <row r="206" spans="1:26" x14ac:dyDescent="0.2">
      <c r="A206" s="86"/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</row>
    <row r="207" spans="1:26" x14ac:dyDescent="0.2">
      <c r="A207" s="86"/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</row>
    <row r="208" spans="1:26" x14ac:dyDescent="0.2">
      <c r="A208" s="86"/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</row>
    <row r="209" spans="1:26" x14ac:dyDescent="0.2">
      <c r="A209" s="86"/>
      <c r="B209" s="86"/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</row>
    <row r="210" spans="1:26" x14ac:dyDescent="0.2">
      <c r="A210" s="86"/>
      <c r="B210" s="86"/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</row>
    <row r="211" spans="1:26" x14ac:dyDescent="0.2">
      <c r="A211" s="86"/>
      <c r="B211" s="86"/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</row>
    <row r="212" spans="1:26" x14ac:dyDescent="0.2">
      <c r="A212" s="86"/>
      <c r="B212" s="86"/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</row>
    <row r="213" spans="1:26" x14ac:dyDescent="0.2">
      <c r="A213" s="86"/>
      <c r="B213" s="86"/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</row>
    <row r="214" spans="1:26" x14ac:dyDescent="0.2">
      <c r="A214" s="86"/>
      <c r="B214" s="86"/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</row>
    <row r="215" spans="1:26" x14ac:dyDescent="0.2">
      <c r="A215" s="86"/>
      <c r="B215" s="86"/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</row>
    <row r="216" spans="1:26" x14ac:dyDescent="0.2">
      <c r="A216" s="86"/>
      <c r="B216" s="86"/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</row>
    <row r="217" spans="1:26" x14ac:dyDescent="0.2">
      <c r="A217" s="86"/>
      <c r="B217" s="86"/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</row>
    <row r="218" spans="1:26" x14ac:dyDescent="0.2">
      <c r="A218" s="86"/>
      <c r="B218" s="86"/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</row>
    <row r="219" spans="1:26" x14ac:dyDescent="0.2">
      <c r="A219" s="86"/>
      <c r="B219" s="86"/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</row>
    <row r="220" spans="1:26" x14ac:dyDescent="0.2">
      <c r="A220" s="86"/>
      <c r="B220" s="86"/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</row>
    <row r="221" spans="1:26" x14ac:dyDescent="0.2">
      <c r="A221" s="86"/>
      <c r="B221" s="86"/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</row>
    <row r="222" spans="1:26" x14ac:dyDescent="0.2">
      <c r="A222" s="86"/>
      <c r="B222" s="86"/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</row>
    <row r="223" spans="1:26" x14ac:dyDescent="0.2">
      <c r="A223" s="86"/>
      <c r="B223" s="86"/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</row>
    <row r="224" spans="1:26" x14ac:dyDescent="0.2">
      <c r="A224" s="86"/>
      <c r="B224" s="86"/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</row>
    <row r="225" spans="1:26" x14ac:dyDescent="0.2">
      <c r="A225" s="86"/>
      <c r="B225" s="86"/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</row>
    <row r="226" spans="1:26" x14ac:dyDescent="0.2">
      <c r="A226" s="86"/>
      <c r="B226" s="86"/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</row>
    <row r="227" spans="1:26" x14ac:dyDescent="0.2">
      <c r="A227" s="86"/>
      <c r="B227" s="86"/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</row>
    <row r="228" spans="1:26" x14ac:dyDescent="0.2">
      <c r="A228" s="86"/>
      <c r="B228" s="86"/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</row>
    <row r="229" spans="1:26" x14ac:dyDescent="0.2">
      <c r="A229" s="86"/>
      <c r="B229" s="86"/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</row>
    <row r="230" spans="1:26" x14ac:dyDescent="0.2">
      <c r="A230" s="86"/>
      <c r="B230" s="86"/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</row>
    <row r="231" spans="1:26" x14ac:dyDescent="0.2">
      <c r="A231" s="86"/>
      <c r="B231" s="86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</row>
    <row r="232" spans="1:26" x14ac:dyDescent="0.2">
      <c r="A232" s="86"/>
      <c r="B232" s="86"/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</row>
    <row r="233" spans="1:26" x14ac:dyDescent="0.2">
      <c r="A233" s="86"/>
      <c r="B233" s="86"/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</row>
    <row r="234" spans="1:26" x14ac:dyDescent="0.2">
      <c r="A234" s="86"/>
      <c r="B234" s="86"/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</row>
    <row r="235" spans="1:26" x14ac:dyDescent="0.2">
      <c r="A235" s="86"/>
      <c r="B235" s="86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</row>
    <row r="236" spans="1:26" x14ac:dyDescent="0.2">
      <c r="A236" s="86"/>
      <c r="B236" s="86"/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</row>
    <row r="237" spans="1:26" x14ac:dyDescent="0.2">
      <c r="A237" s="86"/>
      <c r="B237" s="86"/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</row>
    <row r="238" spans="1:26" x14ac:dyDescent="0.2">
      <c r="A238" s="86"/>
      <c r="B238" s="86"/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</row>
    <row r="239" spans="1:26" x14ac:dyDescent="0.2">
      <c r="A239" s="86"/>
      <c r="B239" s="86"/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</row>
    <row r="240" spans="1:26" x14ac:dyDescent="0.2">
      <c r="A240" s="86"/>
      <c r="B240" s="86"/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</row>
    <row r="241" spans="1:26" x14ac:dyDescent="0.2">
      <c r="A241" s="86"/>
      <c r="B241" s="86"/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</row>
    <row r="242" spans="1:26" x14ac:dyDescent="0.2">
      <c r="A242" s="86"/>
      <c r="B242" s="86"/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</row>
    <row r="243" spans="1:26" x14ac:dyDescent="0.2">
      <c r="A243" s="86"/>
      <c r="B243" s="86"/>
      <c r="C243" s="86"/>
      <c r="D243" s="86"/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</row>
    <row r="244" spans="1:26" x14ac:dyDescent="0.2">
      <c r="A244" s="86"/>
      <c r="B244" s="86"/>
      <c r="C244" s="86"/>
      <c r="D244" s="86"/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</row>
    <row r="245" spans="1:26" x14ac:dyDescent="0.2">
      <c r="A245" s="86"/>
      <c r="B245" s="86"/>
      <c r="C245" s="86"/>
      <c r="D245" s="86"/>
      <c r="E245" s="86"/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</row>
    <row r="246" spans="1:26" x14ac:dyDescent="0.2">
      <c r="A246" s="86"/>
      <c r="B246" s="86"/>
      <c r="C246" s="86"/>
      <c r="D246" s="86"/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</row>
    <row r="247" spans="1:26" x14ac:dyDescent="0.2">
      <c r="A247" s="86"/>
      <c r="B247" s="86"/>
      <c r="C247" s="86"/>
      <c r="D247" s="86"/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</row>
    <row r="248" spans="1:26" x14ac:dyDescent="0.2">
      <c r="A248" s="86"/>
      <c r="B248" s="86"/>
      <c r="C248" s="86"/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</row>
    <row r="249" spans="1:26" x14ac:dyDescent="0.2">
      <c r="A249" s="86"/>
      <c r="B249" s="86"/>
      <c r="C249" s="86"/>
      <c r="D249" s="86"/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</row>
    <row r="250" spans="1:26" x14ac:dyDescent="0.2">
      <c r="A250" s="86"/>
      <c r="B250" s="86"/>
      <c r="C250" s="86"/>
      <c r="D250" s="86"/>
      <c r="E250" s="86"/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</row>
    <row r="251" spans="1:26" x14ac:dyDescent="0.2">
      <c r="A251" s="86"/>
      <c r="B251" s="86"/>
      <c r="C251" s="86"/>
      <c r="D251" s="86"/>
      <c r="E251" s="86"/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</row>
    <row r="252" spans="1:26" x14ac:dyDescent="0.2">
      <c r="A252" s="86"/>
      <c r="B252" s="86"/>
      <c r="C252" s="86"/>
      <c r="D252" s="86"/>
      <c r="E252" s="86"/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</row>
    <row r="253" spans="1:26" x14ac:dyDescent="0.2">
      <c r="A253" s="86"/>
      <c r="B253" s="86"/>
      <c r="C253" s="86"/>
      <c r="D253" s="86"/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</row>
    <row r="254" spans="1:26" x14ac:dyDescent="0.2">
      <c r="A254" s="86"/>
      <c r="B254" s="86"/>
      <c r="C254" s="86"/>
      <c r="D254" s="86"/>
      <c r="E254" s="86"/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</row>
    <row r="255" spans="1:26" x14ac:dyDescent="0.2">
      <c r="A255" s="86"/>
      <c r="B255" s="86"/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</row>
    <row r="256" spans="1:26" x14ac:dyDescent="0.2">
      <c r="A256" s="86"/>
      <c r="B256" s="86"/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</row>
    <row r="257" spans="1:26" x14ac:dyDescent="0.2">
      <c r="A257" s="86"/>
      <c r="B257" s="86"/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</row>
    <row r="258" spans="1:26" x14ac:dyDescent="0.2">
      <c r="A258" s="86"/>
      <c r="B258" s="86"/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</row>
    <row r="259" spans="1:26" x14ac:dyDescent="0.2">
      <c r="A259" s="86"/>
      <c r="B259" s="86"/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</row>
    <row r="260" spans="1:26" x14ac:dyDescent="0.2">
      <c r="A260" s="86"/>
      <c r="B260" s="86"/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</row>
    <row r="261" spans="1:26" x14ac:dyDescent="0.2">
      <c r="A261" s="86"/>
      <c r="B261" s="86"/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</row>
    <row r="262" spans="1:26" x14ac:dyDescent="0.2">
      <c r="A262" s="86"/>
      <c r="B262" s="86"/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</row>
    <row r="263" spans="1:26" x14ac:dyDescent="0.2">
      <c r="A263" s="86"/>
      <c r="B263" s="86"/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</row>
    <row r="264" spans="1:26" x14ac:dyDescent="0.2">
      <c r="A264" s="86"/>
      <c r="B264" s="86"/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</row>
    <row r="265" spans="1:26" x14ac:dyDescent="0.2">
      <c r="A265" s="86"/>
      <c r="B265" s="86"/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</row>
    <row r="266" spans="1:26" x14ac:dyDescent="0.2">
      <c r="A266" s="86"/>
      <c r="B266" s="86"/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</row>
    <row r="267" spans="1:26" x14ac:dyDescent="0.2">
      <c r="A267" s="86"/>
      <c r="B267" s="86"/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</row>
    <row r="268" spans="1:26" x14ac:dyDescent="0.2">
      <c r="A268" s="86"/>
      <c r="B268" s="86"/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</row>
    <row r="269" spans="1:26" x14ac:dyDescent="0.2">
      <c r="A269" s="86"/>
      <c r="B269" s="86"/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</row>
    <row r="270" spans="1:26" x14ac:dyDescent="0.2">
      <c r="A270" s="86"/>
      <c r="B270" s="86"/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</row>
    <row r="271" spans="1:26" x14ac:dyDescent="0.2">
      <c r="A271" s="86"/>
      <c r="B271" s="86"/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</row>
    <row r="272" spans="1:26" x14ac:dyDescent="0.2">
      <c r="A272" s="86"/>
      <c r="B272" s="86"/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</row>
    <row r="273" spans="1:26" x14ac:dyDescent="0.2">
      <c r="A273" s="86"/>
      <c r="B273" s="86"/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</row>
    <row r="274" spans="1:26" x14ac:dyDescent="0.2">
      <c r="A274" s="86"/>
      <c r="B274" s="86"/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</row>
    <row r="275" spans="1:26" x14ac:dyDescent="0.2">
      <c r="A275" s="86"/>
      <c r="B275" s="86"/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</row>
    <row r="276" spans="1:26" x14ac:dyDescent="0.2">
      <c r="A276" s="86"/>
      <c r="B276" s="86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</row>
    <row r="277" spans="1:26" x14ac:dyDescent="0.2">
      <c r="A277" s="86"/>
      <c r="B277" s="86"/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</row>
    <row r="278" spans="1:26" x14ac:dyDescent="0.2">
      <c r="A278" s="86"/>
      <c r="B278" s="86"/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</row>
    <row r="279" spans="1:26" x14ac:dyDescent="0.2">
      <c r="A279" s="86"/>
      <c r="B279" s="86"/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</row>
    <row r="280" spans="1:26" x14ac:dyDescent="0.2">
      <c r="A280" s="86"/>
      <c r="B280" s="86"/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</row>
    <row r="281" spans="1:26" x14ac:dyDescent="0.2">
      <c r="A281" s="86"/>
      <c r="B281" s="86"/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</row>
    <row r="282" spans="1:26" x14ac:dyDescent="0.2">
      <c r="A282" s="86"/>
      <c r="B282" s="86"/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</row>
    <row r="283" spans="1:26" x14ac:dyDescent="0.2">
      <c r="A283" s="86"/>
      <c r="B283" s="86"/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</row>
    <row r="284" spans="1:26" x14ac:dyDescent="0.2">
      <c r="A284" s="86"/>
      <c r="B284" s="86"/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</row>
    <row r="285" spans="1:26" x14ac:dyDescent="0.2">
      <c r="A285" s="86"/>
      <c r="B285" s="86"/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</row>
    <row r="286" spans="1:26" x14ac:dyDescent="0.2">
      <c r="A286" s="86"/>
      <c r="B286" s="86"/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</row>
    <row r="287" spans="1:26" x14ac:dyDescent="0.2">
      <c r="A287" s="86"/>
      <c r="B287" s="86"/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</row>
    <row r="288" spans="1:26" x14ac:dyDescent="0.2">
      <c r="A288" s="86"/>
      <c r="B288" s="86"/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</row>
    <row r="289" spans="1:26" x14ac:dyDescent="0.2">
      <c r="A289" s="86"/>
      <c r="B289" s="86"/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</row>
    <row r="290" spans="1:26" x14ac:dyDescent="0.2">
      <c r="A290" s="86"/>
      <c r="B290" s="86"/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</row>
    <row r="291" spans="1:26" x14ac:dyDescent="0.2">
      <c r="A291" s="86"/>
      <c r="B291" s="86"/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</row>
    <row r="292" spans="1:26" x14ac:dyDescent="0.2">
      <c r="A292" s="86"/>
      <c r="B292" s="86"/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</row>
    <row r="293" spans="1:26" x14ac:dyDescent="0.2">
      <c r="A293" s="86"/>
      <c r="B293" s="86"/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</row>
    <row r="294" spans="1:26" x14ac:dyDescent="0.2">
      <c r="A294" s="86"/>
      <c r="B294" s="86"/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</row>
    <row r="295" spans="1:26" x14ac:dyDescent="0.2">
      <c r="A295" s="86"/>
      <c r="B295" s="86"/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</row>
    <row r="296" spans="1:26" x14ac:dyDescent="0.2">
      <c r="A296" s="86"/>
      <c r="B296" s="86"/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</row>
    <row r="297" spans="1:26" x14ac:dyDescent="0.2">
      <c r="A297" s="86"/>
      <c r="B297" s="86"/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</row>
    <row r="298" spans="1:26" x14ac:dyDescent="0.2">
      <c r="A298" s="86"/>
      <c r="B298" s="86"/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</row>
    <row r="299" spans="1:26" x14ac:dyDescent="0.2">
      <c r="A299" s="86"/>
      <c r="B299" s="86"/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</row>
    <row r="300" spans="1:26" x14ac:dyDescent="0.2">
      <c r="A300" s="86"/>
      <c r="B300" s="86"/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</row>
    <row r="301" spans="1:26" x14ac:dyDescent="0.2">
      <c r="A301" s="86"/>
      <c r="B301" s="86"/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</row>
    <row r="302" spans="1:26" x14ac:dyDescent="0.2">
      <c r="A302" s="86"/>
      <c r="B302" s="86"/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</row>
    <row r="303" spans="1:26" x14ac:dyDescent="0.2">
      <c r="A303" s="86"/>
      <c r="B303" s="86"/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</row>
    <row r="304" spans="1:26" x14ac:dyDescent="0.2">
      <c r="A304" s="86"/>
      <c r="B304" s="86"/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</row>
    <row r="305" spans="1:26" x14ac:dyDescent="0.2">
      <c r="A305" s="86"/>
      <c r="B305" s="86"/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</row>
    <row r="306" spans="1:26" x14ac:dyDescent="0.2">
      <c r="A306" s="86"/>
      <c r="B306" s="86"/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</row>
    <row r="307" spans="1:26" x14ac:dyDescent="0.2">
      <c r="A307" s="86"/>
      <c r="B307" s="86"/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</row>
    <row r="308" spans="1:26" x14ac:dyDescent="0.2">
      <c r="A308" s="86"/>
      <c r="B308" s="86"/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</row>
    <row r="309" spans="1:26" x14ac:dyDescent="0.2">
      <c r="A309" s="86"/>
      <c r="B309" s="86"/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</row>
    <row r="310" spans="1:26" x14ac:dyDescent="0.2">
      <c r="A310" s="86"/>
      <c r="B310" s="86"/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</row>
    <row r="311" spans="1:26" x14ac:dyDescent="0.2">
      <c r="A311" s="86"/>
      <c r="B311" s="86"/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</row>
    <row r="312" spans="1:26" x14ac:dyDescent="0.2">
      <c r="A312" s="86"/>
      <c r="B312" s="86"/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</row>
    <row r="313" spans="1:26" x14ac:dyDescent="0.2">
      <c r="A313" s="86"/>
      <c r="B313" s="86"/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</row>
    <row r="314" spans="1:26" x14ac:dyDescent="0.2">
      <c r="A314" s="86"/>
      <c r="B314" s="86"/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</row>
    <row r="315" spans="1:26" x14ac:dyDescent="0.2">
      <c r="A315" s="86"/>
      <c r="B315" s="86"/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</row>
    <row r="316" spans="1:26" x14ac:dyDescent="0.2">
      <c r="A316" s="86"/>
      <c r="B316" s="86"/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</row>
    <row r="317" spans="1:26" x14ac:dyDescent="0.2">
      <c r="A317" s="86"/>
      <c r="B317" s="86"/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</row>
    <row r="318" spans="1:26" x14ac:dyDescent="0.2">
      <c r="A318" s="86"/>
      <c r="B318" s="86"/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</row>
    <row r="319" spans="1:26" x14ac:dyDescent="0.2">
      <c r="A319" s="86"/>
      <c r="B319" s="86"/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</row>
    <row r="320" spans="1:26" x14ac:dyDescent="0.2">
      <c r="A320" s="86"/>
      <c r="B320" s="86"/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</row>
    <row r="321" spans="1:26" x14ac:dyDescent="0.2">
      <c r="A321" s="86"/>
      <c r="B321" s="86"/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</row>
    <row r="322" spans="1:26" x14ac:dyDescent="0.2">
      <c r="A322" s="86"/>
      <c r="B322" s="86"/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</row>
    <row r="323" spans="1:26" x14ac:dyDescent="0.2">
      <c r="A323" s="86"/>
      <c r="B323" s="86"/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</row>
    <row r="324" spans="1:26" x14ac:dyDescent="0.2">
      <c r="A324" s="86"/>
      <c r="B324" s="86"/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</row>
    <row r="325" spans="1:26" x14ac:dyDescent="0.2">
      <c r="A325" s="86"/>
      <c r="B325" s="86"/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</row>
    <row r="326" spans="1:26" x14ac:dyDescent="0.2">
      <c r="A326" s="86"/>
      <c r="B326" s="86"/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</row>
    <row r="327" spans="1:26" x14ac:dyDescent="0.2">
      <c r="A327" s="86"/>
      <c r="B327" s="86"/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</row>
    <row r="328" spans="1:26" x14ac:dyDescent="0.2">
      <c r="A328" s="86"/>
      <c r="B328" s="86"/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</row>
    <row r="329" spans="1:26" x14ac:dyDescent="0.2">
      <c r="A329" s="86"/>
      <c r="B329" s="86"/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</row>
    <row r="330" spans="1:26" x14ac:dyDescent="0.2">
      <c r="A330" s="86"/>
      <c r="B330" s="86"/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</row>
    <row r="331" spans="1:26" x14ac:dyDescent="0.2">
      <c r="A331" s="86"/>
      <c r="B331" s="86"/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</row>
    <row r="332" spans="1:26" x14ac:dyDescent="0.2">
      <c r="A332" s="86"/>
      <c r="B332" s="86"/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</row>
    <row r="333" spans="1:26" x14ac:dyDescent="0.2">
      <c r="A333" s="86"/>
      <c r="B333" s="86"/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</row>
    <row r="334" spans="1:26" x14ac:dyDescent="0.2">
      <c r="A334" s="86"/>
      <c r="B334" s="86"/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</row>
    <row r="335" spans="1:26" x14ac:dyDescent="0.2">
      <c r="A335" s="86"/>
      <c r="B335" s="86"/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</row>
    <row r="336" spans="1:26" x14ac:dyDescent="0.2">
      <c r="A336" s="86"/>
      <c r="B336" s="86"/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</row>
    <row r="337" spans="1:26" x14ac:dyDescent="0.2">
      <c r="A337" s="86"/>
      <c r="B337" s="86"/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</row>
    <row r="338" spans="1:26" x14ac:dyDescent="0.2">
      <c r="A338" s="86"/>
      <c r="B338" s="86"/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</row>
    <row r="339" spans="1:26" x14ac:dyDescent="0.2">
      <c r="A339" s="86"/>
      <c r="B339" s="86"/>
      <c r="C339" s="86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</row>
    <row r="340" spans="1:26" x14ac:dyDescent="0.2">
      <c r="A340" s="86"/>
      <c r="B340" s="86"/>
      <c r="C340" s="86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</row>
    <row r="341" spans="1:26" x14ac:dyDescent="0.2">
      <c r="A341" s="86"/>
      <c r="B341" s="86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</row>
    <row r="342" spans="1:26" x14ac:dyDescent="0.2">
      <c r="A342" s="86"/>
      <c r="B342" s="86"/>
      <c r="C342" s="86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</row>
    <row r="343" spans="1:26" x14ac:dyDescent="0.2">
      <c r="A343" s="86"/>
      <c r="B343" s="86"/>
      <c r="C343" s="86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</row>
    <row r="344" spans="1:26" x14ac:dyDescent="0.2">
      <c r="A344" s="86"/>
      <c r="B344" s="86"/>
      <c r="C344" s="86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</row>
    <row r="345" spans="1:26" x14ac:dyDescent="0.2">
      <c r="A345" s="86"/>
      <c r="B345" s="86"/>
      <c r="C345" s="86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</row>
    <row r="346" spans="1:26" x14ac:dyDescent="0.2">
      <c r="A346" s="86"/>
      <c r="B346" s="86"/>
      <c r="C346" s="86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</row>
    <row r="347" spans="1:26" x14ac:dyDescent="0.2">
      <c r="A347" s="86"/>
      <c r="B347" s="86"/>
      <c r="C347" s="86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</row>
    <row r="348" spans="1:26" x14ac:dyDescent="0.2">
      <c r="A348" s="86"/>
      <c r="B348" s="86"/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</row>
    <row r="349" spans="1:26" x14ac:dyDescent="0.2">
      <c r="A349" s="86"/>
      <c r="B349" s="86"/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</row>
    <row r="350" spans="1:26" x14ac:dyDescent="0.2">
      <c r="A350" s="86"/>
      <c r="B350" s="86"/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</row>
    <row r="351" spans="1:26" x14ac:dyDescent="0.2">
      <c r="A351" s="86"/>
      <c r="B351" s="86"/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</row>
    <row r="352" spans="1:26" x14ac:dyDescent="0.2">
      <c r="A352" s="86"/>
      <c r="B352" s="86"/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</row>
    <row r="353" spans="1:26" x14ac:dyDescent="0.2">
      <c r="A353" s="86"/>
      <c r="B353" s="86"/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</row>
    <row r="354" spans="1:26" x14ac:dyDescent="0.2">
      <c r="A354" s="86"/>
      <c r="B354" s="86"/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</row>
    <row r="355" spans="1:26" x14ac:dyDescent="0.2">
      <c r="A355" s="86"/>
      <c r="B355" s="86"/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</row>
    <row r="356" spans="1:26" x14ac:dyDescent="0.2">
      <c r="A356" s="86"/>
      <c r="B356" s="86"/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</row>
    <row r="357" spans="1:26" x14ac:dyDescent="0.2">
      <c r="A357" s="86"/>
      <c r="B357" s="86"/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</row>
    <row r="358" spans="1:26" x14ac:dyDescent="0.2">
      <c r="A358" s="86"/>
      <c r="B358" s="86"/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</row>
    <row r="359" spans="1:26" x14ac:dyDescent="0.2">
      <c r="A359" s="86"/>
      <c r="B359" s="86"/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</row>
    <row r="360" spans="1:26" x14ac:dyDescent="0.2">
      <c r="A360" s="86"/>
      <c r="B360" s="86"/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</row>
    <row r="361" spans="1:26" x14ac:dyDescent="0.2">
      <c r="A361" s="86"/>
      <c r="B361" s="86"/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</row>
    <row r="362" spans="1:26" x14ac:dyDescent="0.2">
      <c r="A362" s="86"/>
      <c r="B362" s="86"/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</row>
    <row r="363" spans="1:26" x14ac:dyDescent="0.2">
      <c r="A363" s="86"/>
      <c r="B363" s="86"/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</row>
    <row r="364" spans="1:26" x14ac:dyDescent="0.2">
      <c r="A364" s="86"/>
      <c r="B364" s="86"/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</row>
    <row r="365" spans="1:26" x14ac:dyDescent="0.2">
      <c r="A365" s="86"/>
      <c r="B365" s="86"/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</row>
    <row r="366" spans="1:26" x14ac:dyDescent="0.2">
      <c r="A366" s="86"/>
      <c r="B366" s="86"/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</row>
    <row r="367" spans="1:26" x14ac:dyDescent="0.2">
      <c r="A367" s="86"/>
      <c r="B367" s="86"/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</row>
    <row r="368" spans="1:26" x14ac:dyDescent="0.2">
      <c r="A368" s="86"/>
      <c r="B368" s="86"/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</row>
    <row r="369" spans="1:26" x14ac:dyDescent="0.2">
      <c r="A369" s="86"/>
      <c r="B369" s="86"/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</row>
    <row r="370" spans="1:26" x14ac:dyDescent="0.2">
      <c r="A370" s="86"/>
      <c r="B370" s="86"/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</row>
    <row r="371" spans="1:26" x14ac:dyDescent="0.2">
      <c r="A371" s="86"/>
      <c r="B371" s="86"/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</row>
    <row r="372" spans="1:26" x14ac:dyDescent="0.2">
      <c r="A372" s="86"/>
      <c r="B372" s="86"/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</row>
    <row r="373" spans="1:26" x14ac:dyDescent="0.2">
      <c r="A373" s="86"/>
      <c r="B373" s="86"/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</row>
    <row r="374" spans="1:26" x14ac:dyDescent="0.2">
      <c r="A374" s="86"/>
      <c r="B374" s="86"/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</row>
    <row r="375" spans="1:26" x14ac:dyDescent="0.2">
      <c r="A375" s="86"/>
      <c r="B375" s="86"/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</row>
    <row r="376" spans="1:26" x14ac:dyDescent="0.2">
      <c r="A376" s="86"/>
      <c r="B376" s="86"/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</row>
    <row r="377" spans="1:26" x14ac:dyDescent="0.2">
      <c r="A377" s="86"/>
      <c r="B377" s="86"/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</row>
    <row r="378" spans="1:26" x14ac:dyDescent="0.2">
      <c r="A378" s="86"/>
      <c r="B378" s="86"/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</row>
    <row r="379" spans="1:26" x14ac:dyDescent="0.2">
      <c r="A379" s="86"/>
      <c r="B379" s="86"/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</row>
    <row r="380" spans="1:26" x14ac:dyDescent="0.2">
      <c r="A380" s="86"/>
      <c r="B380" s="86"/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</row>
    <row r="381" spans="1:26" x14ac:dyDescent="0.2">
      <c r="A381" s="86"/>
      <c r="B381" s="86"/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</row>
    <row r="382" spans="1:26" x14ac:dyDescent="0.2">
      <c r="A382" s="86"/>
      <c r="B382" s="86"/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</row>
    <row r="383" spans="1:26" x14ac:dyDescent="0.2">
      <c r="A383" s="86"/>
      <c r="B383" s="86"/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</row>
    <row r="384" spans="1:26" x14ac:dyDescent="0.2">
      <c r="A384" s="86"/>
      <c r="B384" s="86"/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</row>
    <row r="385" spans="1:26" x14ac:dyDescent="0.2">
      <c r="A385" s="86"/>
      <c r="B385" s="86"/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</row>
    <row r="386" spans="1:26" x14ac:dyDescent="0.2">
      <c r="A386" s="86"/>
      <c r="B386" s="86"/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</row>
    <row r="387" spans="1:26" x14ac:dyDescent="0.2">
      <c r="A387" s="86"/>
      <c r="B387" s="86"/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</row>
    <row r="388" spans="1:26" x14ac:dyDescent="0.2">
      <c r="A388" s="86"/>
      <c r="B388" s="86"/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</row>
    <row r="389" spans="1:26" x14ac:dyDescent="0.2">
      <c r="A389" s="86"/>
      <c r="B389" s="86"/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</row>
    <row r="390" spans="1:26" x14ac:dyDescent="0.2">
      <c r="A390" s="86"/>
      <c r="B390" s="86"/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</row>
    <row r="391" spans="1:26" x14ac:dyDescent="0.2">
      <c r="A391" s="86"/>
      <c r="B391" s="86"/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</row>
    <row r="392" spans="1:26" x14ac:dyDescent="0.2">
      <c r="A392" s="86"/>
      <c r="B392" s="86"/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</row>
    <row r="393" spans="1:26" x14ac:dyDescent="0.2">
      <c r="A393" s="86"/>
      <c r="B393" s="86"/>
      <c r="C393" s="86"/>
      <c r="D393" s="86"/>
      <c r="E393" s="86"/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</row>
    <row r="394" spans="1:26" x14ac:dyDescent="0.2">
      <c r="A394" s="86"/>
      <c r="B394" s="86"/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</row>
    <row r="395" spans="1:26" x14ac:dyDescent="0.2">
      <c r="A395" s="86"/>
      <c r="B395" s="86"/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</row>
    <row r="396" spans="1:26" x14ac:dyDescent="0.2">
      <c r="A396" s="86"/>
      <c r="B396" s="86"/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</row>
    <row r="397" spans="1:26" x14ac:dyDescent="0.2">
      <c r="A397" s="86"/>
      <c r="B397" s="86"/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</row>
    <row r="398" spans="1:26" x14ac:dyDescent="0.2">
      <c r="A398" s="86"/>
      <c r="B398" s="86"/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</row>
    <row r="399" spans="1:26" x14ac:dyDescent="0.2">
      <c r="A399" s="86"/>
      <c r="B399" s="86"/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</row>
    <row r="400" spans="1:26" x14ac:dyDescent="0.2">
      <c r="A400" s="86"/>
      <c r="B400" s="86"/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</row>
    <row r="401" spans="1:26" x14ac:dyDescent="0.2">
      <c r="A401" s="86"/>
      <c r="B401" s="86"/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</row>
    <row r="402" spans="1:26" x14ac:dyDescent="0.2">
      <c r="A402" s="86"/>
      <c r="B402" s="86"/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</row>
    <row r="403" spans="1:26" x14ac:dyDescent="0.2">
      <c r="A403" s="86"/>
      <c r="B403" s="86"/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</row>
    <row r="404" spans="1:26" x14ac:dyDescent="0.2">
      <c r="A404" s="86"/>
      <c r="B404" s="86"/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</row>
    <row r="405" spans="1:26" x14ac:dyDescent="0.2">
      <c r="A405" s="86"/>
      <c r="B405" s="86"/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</row>
    <row r="406" spans="1:26" x14ac:dyDescent="0.2">
      <c r="A406" s="86"/>
      <c r="B406" s="86"/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</row>
    <row r="407" spans="1:26" x14ac:dyDescent="0.2">
      <c r="A407" s="86"/>
      <c r="B407" s="86"/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</row>
    <row r="408" spans="1:26" x14ac:dyDescent="0.2">
      <c r="A408" s="86"/>
      <c r="B408" s="86"/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</row>
    <row r="409" spans="1:26" x14ac:dyDescent="0.2">
      <c r="A409" s="86"/>
      <c r="B409" s="86"/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</row>
    <row r="410" spans="1:26" x14ac:dyDescent="0.2">
      <c r="A410" s="86"/>
      <c r="B410" s="86"/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</row>
    <row r="411" spans="1:26" x14ac:dyDescent="0.2">
      <c r="A411" s="86"/>
      <c r="B411" s="86"/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</row>
    <row r="412" spans="1:26" x14ac:dyDescent="0.2">
      <c r="A412" s="86"/>
      <c r="B412" s="86"/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</row>
    <row r="413" spans="1:26" x14ac:dyDescent="0.2">
      <c r="A413" s="86"/>
      <c r="B413" s="86"/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</row>
    <row r="414" spans="1:26" x14ac:dyDescent="0.2">
      <c r="A414" s="86"/>
      <c r="B414" s="86"/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</row>
    <row r="415" spans="1:26" x14ac:dyDescent="0.2">
      <c r="A415" s="86"/>
      <c r="B415" s="86"/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</row>
    <row r="416" spans="1:26" x14ac:dyDescent="0.2">
      <c r="A416" s="86"/>
      <c r="B416" s="86"/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</row>
    <row r="417" spans="1:26" x14ac:dyDescent="0.2">
      <c r="A417" s="86"/>
      <c r="B417" s="86"/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</row>
    <row r="418" spans="1:26" x14ac:dyDescent="0.2">
      <c r="A418" s="86"/>
      <c r="B418" s="86"/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</row>
    <row r="419" spans="1:26" x14ac:dyDescent="0.2">
      <c r="A419" s="86"/>
      <c r="B419" s="86"/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</row>
    <row r="420" spans="1:26" x14ac:dyDescent="0.2">
      <c r="A420" s="86"/>
      <c r="B420" s="86"/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</row>
    <row r="421" spans="1:26" x14ac:dyDescent="0.2">
      <c r="A421" s="86"/>
      <c r="B421" s="86"/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</row>
    <row r="422" spans="1:26" x14ac:dyDescent="0.2">
      <c r="A422" s="86"/>
      <c r="B422" s="86"/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</row>
    <row r="423" spans="1:26" x14ac:dyDescent="0.2">
      <c r="A423" s="86"/>
      <c r="B423" s="86"/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</row>
    <row r="424" spans="1:26" x14ac:dyDescent="0.2">
      <c r="A424" s="86"/>
      <c r="B424" s="86"/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</row>
    <row r="425" spans="1:26" x14ac:dyDescent="0.2">
      <c r="A425" s="86"/>
      <c r="B425" s="86"/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</row>
    <row r="426" spans="1:26" x14ac:dyDescent="0.2">
      <c r="A426" s="86"/>
      <c r="B426" s="86"/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</row>
    <row r="427" spans="1:26" x14ac:dyDescent="0.2">
      <c r="A427" s="86"/>
      <c r="B427" s="86"/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</row>
    <row r="428" spans="1:26" x14ac:dyDescent="0.2">
      <c r="A428" s="86"/>
      <c r="B428" s="86"/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</row>
    <row r="429" spans="1:26" x14ac:dyDescent="0.2">
      <c r="A429" s="86"/>
      <c r="B429" s="86"/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</row>
    <row r="430" spans="1:26" x14ac:dyDescent="0.2">
      <c r="A430" s="86"/>
      <c r="B430" s="86"/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</row>
    <row r="431" spans="1:26" x14ac:dyDescent="0.2">
      <c r="A431" s="86"/>
      <c r="B431" s="86"/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</row>
    <row r="432" spans="1:26" x14ac:dyDescent="0.2">
      <c r="A432" s="86"/>
      <c r="B432" s="86"/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</row>
    <row r="433" spans="1:26" x14ac:dyDescent="0.2">
      <c r="A433" s="86"/>
      <c r="B433" s="86"/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</row>
    <row r="434" spans="1:26" x14ac:dyDescent="0.2">
      <c r="A434" s="86"/>
      <c r="B434" s="86"/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</row>
    <row r="435" spans="1:26" x14ac:dyDescent="0.2">
      <c r="A435" s="86"/>
      <c r="B435" s="86"/>
      <c r="C435" s="86"/>
      <c r="D435" s="86"/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</row>
    <row r="436" spans="1:26" x14ac:dyDescent="0.2">
      <c r="A436" s="86"/>
      <c r="B436" s="86"/>
      <c r="C436" s="86"/>
      <c r="D436" s="86"/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</row>
    <row r="437" spans="1:26" x14ac:dyDescent="0.2">
      <c r="A437" s="86"/>
      <c r="B437" s="86"/>
      <c r="C437" s="86"/>
      <c r="D437" s="86"/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</row>
    <row r="438" spans="1:26" x14ac:dyDescent="0.2">
      <c r="A438" s="86"/>
      <c r="B438" s="86"/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</row>
    <row r="439" spans="1:26" x14ac:dyDescent="0.2">
      <c r="A439" s="86"/>
      <c r="B439" s="86"/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</row>
    <row r="440" spans="1:26" x14ac:dyDescent="0.2">
      <c r="A440" s="86"/>
      <c r="B440" s="86"/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</row>
    <row r="441" spans="1:26" x14ac:dyDescent="0.2">
      <c r="A441" s="86"/>
      <c r="B441" s="86"/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</row>
    <row r="442" spans="1:26" x14ac:dyDescent="0.2">
      <c r="A442" s="86"/>
      <c r="B442" s="86"/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</row>
    <row r="443" spans="1:26" x14ac:dyDescent="0.2">
      <c r="A443" s="86"/>
      <c r="B443" s="86"/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</row>
    <row r="444" spans="1:26" x14ac:dyDescent="0.2">
      <c r="A444" s="86"/>
      <c r="B444" s="86"/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</row>
    <row r="445" spans="1:26" x14ac:dyDescent="0.2">
      <c r="A445" s="86"/>
      <c r="B445" s="86"/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</row>
    <row r="446" spans="1:26" x14ac:dyDescent="0.2">
      <c r="A446" s="86"/>
      <c r="B446" s="86"/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</row>
    <row r="447" spans="1:26" x14ac:dyDescent="0.2">
      <c r="A447" s="86"/>
      <c r="B447" s="86"/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</row>
    <row r="448" spans="1:26" x14ac:dyDescent="0.2">
      <c r="A448" s="86"/>
      <c r="B448" s="86"/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</row>
    <row r="449" spans="1:26" x14ac:dyDescent="0.2">
      <c r="A449" s="86"/>
      <c r="B449" s="86"/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</row>
    <row r="450" spans="1:26" x14ac:dyDescent="0.2">
      <c r="A450" s="86"/>
      <c r="B450" s="86"/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</row>
    <row r="451" spans="1:26" x14ac:dyDescent="0.2">
      <c r="A451" s="86"/>
      <c r="B451" s="86"/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</row>
    <row r="452" spans="1:26" x14ac:dyDescent="0.2">
      <c r="A452" s="86"/>
      <c r="B452" s="86"/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</row>
    <row r="453" spans="1:26" x14ac:dyDescent="0.2">
      <c r="A453" s="86"/>
      <c r="B453" s="86"/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</row>
    <row r="454" spans="1:26" x14ac:dyDescent="0.2">
      <c r="A454" s="86"/>
      <c r="B454" s="86"/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</row>
    <row r="455" spans="1:26" x14ac:dyDescent="0.2">
      <c r="A455" s="86"/>
      <c r="B455" s="86"/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</row>
    <row r="456" spans="1:26" x14ac:dyDescent="0.2">
      <c r="A456" s="86"/>
      <c r="B456" s="86"/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</row>
    <row r="457" spans="1:26" x14ac:dyDescent="0.2">
      <c r="A457" s="86"/>
      <c r="B457" s="86"/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</row>
    <row r="458" spans="1:26" x14ac:dyDescent="0.2">
      <c r="A458" s="86"/>
      <c r="B458" s="86"/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</row>
    <row r="459" spans="1:26" x14ac:dyDescent="0.2">
      <c r="A459" s="86"/>
      <c r="B459" s="86"/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</row>
    <row r="460" spans="1:26" x14ac:dyDescent="0.2">
      <c r="A460" s="86"/>
      <c r="B460" s="86"/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</row>
    <row r="461" spans="1:26" x14ac:dyDescent="0.2">
      <c r="A461" s="86"/>
      <c r="B461" s="86"/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</row>
    <row r="462" spans="1:26" x14ac:dyDescent="0.2">
      <c r="A462" s="86"/>
      <c r="B462" s="86"/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</row>
    <row r="463" spans="1:26" x14ac:dyDescent="0.2">
      <c r="A463" s="86"/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</row>
    <row r="464" spans="1:26" x14ac:dyDescent="0.2">
      <c r="A464" s="86"/>
      <c r="B464" s="86"/>
      <c r="C464" s="86"/>
      <c r="D464" s="86"/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</row>
    <row r="465" spans="1:26" x14ac:dyDescent="0.2">
      <c r="A465" s="86"/>
      <c r="B465" s="86"/>
      <c r="C465" s="86"/>
      <c r="D465" s="86"/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</row>
    <row r="466" spans="1:26" x14ac:dyDescent="0.2">
      <c r="A466" s="86"/>
      <c r="B466" s="86"/>
      <c r="C466" s="86"/>
      <c r="D466" s="86"/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</row>
    <row r="467" spans="1:26" x14ac:dyDescent="0.2">
      <c r="A467" s="86"/>
      <c r="B467" s="86"/>
      <c r="C467" s="86"/>
      <c r="D467" s="86"/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</row>
    <row r="468" spans="1:26" x14ac:dyDescent="0.2">
      <c r="A468" s="86"/>
      <c r="B468" s="86"/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</row>
    <row r="469" spans="1:26" x14ac:dyDescent="0.2">
      <c r="A469" s="86"/>
      <c r="B469" s="86"/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</row>
    <row r="470" spans="1:26" x14ac:dyDescent="0.2">
      <c r="A470" s="86"/>
      <c r="B470" s="86"/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</row>
    <row r="471" spans="1:26" x14ac:dyDescent="0.2">
      <c r="A471" s="86"/>
      <c r="B471" s="86"/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</row>
    <row r="472" spans="1:26" x14ac:dyDescent="0.2">
      <c r="A472" s="86"/>
      <c r="B472" s="86"/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</row>
    <row r="473" spans="1:26" x14ac:dyDescent="0.2">
      <c r="A473" s="86"/>
      <c r="B473" s="86"/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</row>
    <row r="474" spans="1:26" x14ac:dyDescent="0.2">
      <c r="A474" s="86"/>
      <c r="B474" s="86"/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</row>
    <row r="475" spans="1:26" x14ac:dyDescent="0.2">
      <c r="A475" s="86"/>
      <c r="B475" s="86"/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</row>
    <row r="476" spans="1:26" x14ac:dyDescent="0.2">
      <c r="A476" s="86"/>
      <c r="B476" s="86"/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</row>
    <row r="477" spans="1:26" x14ac:dyDescent="0.2">
      <c r="A477" s="86"/>
      <c r="B477" s="86"/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</row>
    <row r="478" spans="1:26" x14ac:dyDescent="0.2">
      <c r="A478" s="86"/>
      <c r="B478" s="86"/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</row>
    <row r="479" spans="1:26" x14ac:dyDescent="0.2">
      <c r="A479" s="86"/>
      <c r="B479" s="86"/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</row>
    <row r="480" spans="1:26" x14ac:dyDescent="0.2">
      <c r="A480" s="86"/>
      <c r="B480" s="86"/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</row>
    <row r="481" spans="1:26" x14ac:dyDescent="0.2">
      <c r="A481" s="86"/>
      <c r="B481" s="86"/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</row>
    <row r="482" spans="1:26" x14ac:dyDescent="0.2">
      <c r="A482" s="86"/>
      <c r="B482" s="86"/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</row>
    <row r="483" spans="1:26" x14ac:dyDescent="0.2">
      <c r="A483" s="86"/>
      <c r="B483" s="86"/>
      <c r="C483" s="86"/>
      <c r="D483" s="86"/>
      <c r="E483" s="86"/>
      <c r="F483" s="86"/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</row>
    <row r="484" spans="1:26" x14ac:dyDescent="0.2">
      <c r="A484" s="86"/>
      <c r="B484" s="86"/>
      <c r="C484" s="86"/>
      <c r="D484" s="86"/>
      <c r="E484" s="86"/>
      <c r="F484" s="86"/>
      <c r="G484" s="86"/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</row>
    <row r="485" spans="1:26" x14ac:dyDescent="0.2">
      <c r="A485" s="86"/>
      <c r="B485" s="86"/>
      <c r="C485" s="86"/>
      <c r="D485" s="86"/>
      <c r="E485" s="86"/>
      <c r="F485" s="86"/>
      <c r="G485" s="86"/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</row>
    <row r="486" spans="1:26" x14ac:dyDescent="0.2">
      <c r="A486" s="86"/>
      <c r="B486" s="86"/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</row>
    <row r="487" spans="1:26" x14ac:dyDescent="0.2">
      <c r="A487" s="86"/>
      <c r="B487" s="86"/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</row>
    <row r="488" spans="1:26" x14ac:dyDescent="0.2">
      <c r="A488" s="86"/>
      <c r="B488" s="86"/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</row>
    <row r="489" spans="1:26" x14ac:dyDescent="0.2">
      <c r="A489" s="86"/>
      <c r="B489" s="86"/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</row>
    <row r="490" spans="1:26" x14ac:dyDescent="0.2">
      <c r="A490" s="86"/>
      <c r="B490" s="86"/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</row>
    <row r="491" spans="1:26" x14ac:dyDescent="0.2">
      <c r="A491" s="86"/>
      <c r="B491" s="86"/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</row>
    <row r="492" spans="1:26" x14ac:dyDescent="0.2">
      <c r="A492" s="86"/>
      <c r="B492" s="86"/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</row>
    <row r="493" spans="1:26" x14ac:dyDescent="0.2">
      <c r="A493" s="86"/>
      <c r="B493" s="86"/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</row>
    <row r="494" spans="1:26" x14ac:dyDescent="0.2">
      <c r="A494" s="86"/>
      <c r="B494" s="86"/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</row>
    <row r="495" spans="1:26" x14ac:dyDescent="0.2">
      <c r="A495" s="86"/>
      <c r="B495" s="86"/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</row>
    <row r="496" spans="1:26" x14ac:dyDescent="0.2">
      <c r="A496" s="86"/>
      <c r="B496" s="86"/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</row>
    <row r="497" spans="1:26" x14ac:dyDescent="0.2">
      <c r="A497" s="86"/>
      <c r="B497" s="86"/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</row>
    <row r="498" spans="1:26" x14ac:dyDescent="0.2">
      <c r="A498" s="86"/>
      <c r="B498" s="86"/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</row>
    <row r="499" spans="1:26" x14ac:dyDescent="0.2">
      <c r="A499" s="86"/>
      <c r="B499" s="86"/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</row>
    <row r="500" spans="1:26" x14ac:dyDescent="0.2">
      <c r="A500" s="86"/>
      <c r="B500" s="86"/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</row>
    <row r="501" spans="1:26" x14ac:dyDescent="0.2">
      <c r="A501" s="86"/>
      <c r="B501" s="86"/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</row>
    <row r="502" spans="1:26" x14ac:dyDescent="0.2">
      <c r="A502" s="86"/>
      <c r="B502" s="86"/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</row>
    <row r="503" spans="1:26" x14ac:dyDescent="0.2">
      <c r="A503" s="86"/>
      <c r="B503" s="86"/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</row>
    <row r="504" spans="1:26" x14ac:dyDescent="0.2">
      <c r="A504" s="86"/>
      <c r="B504" s="86"/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</row>
    <row r="505" spans="1:26" x14ac:dyDescent="0.2">
      <c r="A505" s="86"/>
      <c r="B505" s="86"/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</row>
    <row r="506" spans="1:26" x14ac:dyDescent="0.2">
      <c r="A506" s="86"/>
      <c r="B506" s="86"/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</row>
    <row r="507" spans="1:26" x14ac:dyDescent="0.2">
      <c r="A507" s="86"/>
      <c r="B507" s="86"/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</row>
    <row r="508" spans="1:26" x14ac:dyDescent="0.2">
      <c r="A508" s="86"/>
      <c r="B508" s="86"/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</row>
    <row r="509" spans="1:26" x14ac:dyDescent="0.2">
      <c r="A509" s="86"/>
      <c r="B509" s="86"/>
      <c r="C509" s="86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</row>
    <row r="510" spans="1:26" x14ac:dyDescent="0.2">
      <c r="A510" s="86"/>
      <c r="B510" s="86"/>
      <c r="C510" s="86"/>
      <c r="D510" s="86"/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</row>
    <row r="511" spans="1:26" x14ac:dyDescent="0.2">
      <c r="A511" s="86"/>
      <c r="B511" s="86"/>
      <c r="C511" s="86"/>
      <c r="D511" s="86"/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</row>
    <row r="512" spans="1:26" x14ac:dyDescent="0.2">
      <c r="A512" s="86"/>
      <c r="B512" s="86"/>
      <c r="C512" s="86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</row>
    <row r="513" spans="1:26" x14ac:dyDescent="0.2">
      <c r="A513" s="86"/>
      <c r="B513" s="86"/>
      <c r="C513" s="86"/>
      <c r="D513" s="86"/>
      <c r="E513" s="86"/>
      <c r="F513" s="86"/>
      <c r="G513" s="86"/>
      <c r="H513" s="86"/>
      <c r="I513" s="86"/>
      <c r="J513" s="86"/>
      <c r="K513" s="86"/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</row>
    <row r="514" spans="1:26" x14ac:dyDescent="0.2">
      <c r="A514" s="86"/>
      <c r="B514" s="86"/>
      <c r="C514" s="86"/>
      <c r="D514" s="86"/>
      <c r="E514" s="86"/>
      <c r="F514" s="86"/>
      <c r="G514" s="86"/>
      <c r="H514" s="86"/>
      <c r="I514" s="86"/>
      <c r="J514" s="86"/>
      <c r="K514" s="86"/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</row>
    <row r="515" spans="1:26" x14ac:dyDescent="0.2">
      <c r="A515" s="86"/>
      <c r="B515" s="86"/>
      <c r="C515" s="86"/>
      <c r="D515" s="86"/>
      <c r="E515" s="86"/>
      <c r="F515" s="86"/>
      <c r="G515" s="86"/>
      <c r="H515" s="86"/>
      <c r="I515" s="86"/>
      <c r="J515" s="86"/>
      <c r="K515" s="86"/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</row>
    <row r="516" spans="1:26" x14ac:dyDescent="0.2">
      <c r="A516" s="86"/>
      <c r="B516" s="86"/>
      <c r="C516" s="86"/>
      <c r="D516" s="86"/>
      <c r="E516" s="86"/>
      <c r="F516" s="86"/>
      <c r="G516" s="86"/>
      <c r="H516" s="86"/>
      <c r="I516" s="86"/>
      <c r="J516" s="86"/>
      <c r="K516" s="86"/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</row>
    <row r="517" spans="1:26" x14ac:dyDescent="0.2">
      <c r="A517" s="86"/>
      <c r="B517" s="86"/>
      <c r="C517" s="86"/>
      <c r="D517" s="86"/>
      <c r="E517" s="86"/>
      <c r="F517" s="86"/>
      <c r="G517" s="86"/>
      <c r="H517" s="86"/>
      <c r="I517" s="86"/>
      <c r="J517" s="86"/>
      <c r="K517" s="86"/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</row>
    <row r="518" spans="1:26" x14ac:dyDescent="0.2">
      <c r="A518" s="86"/>
      <c r="B518" s="86"/>
      <c r="C518" s="86"/>
      <c r="D518" s="86"/>
      <c r="E518" s="86"/>
      <c r="F518" s="86"/>
      <c r="G518" s="86"/>
      <c r="H518" s="86"/>
      <c r="I518" s="86"/>
      <c r="J518" s="86"/>
      <c r="K518" s="86"/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</row>
    <row r="519" spans="1:26" x14ac:dyDescent="0.2">
      <c r="A519" s="86"/>
      <c r="B519" s="86"/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</row>
    <row r="520" spans="1:26" x14ac:dyDescent="0.2">
      <c r="A520" s="86"/>
      <c r="B520" s="86"/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</row>
    <row r="521" spans="1:26" x14ac:dyDescent="0.2">
      <c r="A521" s="86"/>
      <c r="B521" s="86"/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</row>
    <row r="522" spans="1:26" x14ac:dyDescent="0.2">
      <c r="A522" s="86"/>
      <c r="B522" s="86"/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</row>
    <row r="523" spans="1:26" x14ac:dyDescent="0.2">
      <c r="A523" s="86"/>
      <c r="B523" s="86"/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</row>
    <row r="524" spans="1:26" x14ac:dyDescent="0.2">
      <c r="A524" s="86"/>
      <c r="B524" s="86"/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</row>
    <row r="525" spans="1:26" x14ac:dyDescent="0.2">
      <c r="A525" s="86"/>
      <c r="B525" s="86"/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</row>
    <row r="526" spans="1:26" x14ac:dyDescent="0.2">
      <c r="A526" s="86"/>
      <c r="B526" s="86"/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</row>
    <row r="527" spans="1:26" x14ac:dyDescent="0.2">
      <c r="A527" s="86"/>
      <c r="B527" s="86"/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</row>
    <row r="528" spans="1:26" x14ac:dyDescent="0.2">
      <c r="A528" s="86"/>
      <c r="B528" s="86"/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</row>
    <row r="529" spans="1:26" x14ac:dyDescent="0.2">
      <c r="A529" s="86"/>
      <c r="B529" s="86"/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</row>
    <row r="530" spans="1:26" x14ac:dyDescent="0.2">
      <c r="A530" s="86"/>
      <c r="B530" s="86"/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</row>
    <row r="531" spans="1:26" x14ac:dyDescent="0.2">
      <c r="A531" s="86"/>
      <c r="B531" s="86"/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</row>
    <row r="532" spans="1:26" x14ac:dyDescent="0.2">
      <c r="A532" s="86"/>
      <c r="B532" s="86"/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</row>
    <row r="533" spans="1:26" x14ac:dyDescent="0.2">
      <c r="A533" s="86"/>
      <c r="B533" s="86"/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</row>
    <row r="534" spans="1:26" x14ac:dyDescent="0.2">
      <c r="A534" s="86"/>
      <c r="B534" s="86"/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</row>
    <row r="535" spans="1:26" x14ac:dyDescent="0.2">
      <c r="A535" s="86"/>
      <c r="B535" s="86"/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</row>
    <row r="536" spans="1:26" x14ac:dyDescent="0.2">
      <c r="A536" s="86"/>
      <c r="B536" s="86"/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</row>
    <row r="537" spans="1:26" x14ac:dyDescent="0.2">
      <c r="A537" s="86"/>
      <c r="B537" s="86"/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</row>
    <row r="538" spans="1:26" x14ac:dyDescent="0.2">
      <c r="A538" s="86"/>
      <c r="B538" s="86"/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</row>
    <row r="539" spans="1:26" x14ac:dyDescent="0.2">
      <c r="A539" s="86"/>
      <c r="B539" s="86"/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</row>
    <row r="540" spans="1:26" x14ac:dyDescent="0.2">
      <c r="A540" s="86"/>
      <c r="B540" s="86"/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</row>
    <row r="541" spans="1:26" x14ac:dyDescent="0.2">
      <c r="A541" s="86"/>
      <c r="B541" s="86"/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</row>
    <row r="542" spans="1:26" x14ac:dyDescent="0.2">
      <c r="A542" s="86"/>
      <c r="B542" s="86"/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</row>
    <row r="543" spans="1:26" x14ac:dyDescent="0.2">
      <c r="A543" s="86"/>
      <c r="B543" s="86"/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</row>
    <row r="544" spans="1:26" x14ac:dyDescent="0.2">
      <c r="A544" s="86"/>
      <c r="B544" s="86"/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</row>
    <row r="545" spans="1:26" x14ac:dyDescent="0.2">
      <c r="A545" s="86"/>
      <c r="B545" s="86"/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</row>
    <row r="546" spans="1:26" x14ac:dyDescent="0.2">
      <c r="A546" s="86"/>
      <c r="B546" s="86"/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</row>
    <row r="547" spans="1:26" x14ac:dyDescent="0.2">
      <c r="A547" s="86"/>
      <c r="B547" s="86"/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</row>
    <row r="548" spans="1:26" x14ac:dyDescent="0.2">
      <c r="A548" s="86"/>
      <c r="B548" s="86"/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</row>
    <row r="549" spans="1:26" x14ac:dyDescent="0.2">
      <c r="A549" s="86"/>
      <c r="B549" s="86"/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</row>
    <row r="550" spans="1:26" x14ac:dyDescent="0.2">
      <c r="A550" s="86"/>
      <c r="B550" s="86"/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</row>
    <row r="551" spans="1:26" x14ac:dyDescent="0.2">
      <c r="A551" s="86"/>
      <c r="B551" s="86"/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</row>
    <row r="552" spans="1:26" x14ac:dyDescent="0.2">
      <c r="A552" s="86"/>
      <c r="B552" s="86"/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</row>
    <row r="553" spans="1:26" x14ac:dyDescent="0.2">
      <c r="A553" s="86"/>
      <c r="B553" s="86"/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</row>
    <row r="554" spans="1:26" x14ac:dyDescent="0.2">
      <c r="A554" s="86"/>
      <c r="B554" s="86"/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</row>
    <row r="555" spans="1:26" x14ac:dyDescent="0.2">
      <c r="A555" s="86"/>
      <c r="B555" s="86"/>
      <c r="C555" s="86"/>
      <c r="D555" s="86"/>
      <c r="E555" s="86"/>
      <c r="F555" s="86"/>
      <c r="G555" s="86"/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</row>
    <row r="556" spans="1:26" x14ac:dyDescent="0.2">
      <c r="A556" s="86"/>
      <c r="B556" s="86"/>
      <c r="C556" s="86"/>
      <c r="D556" s="86"/>
      <c r="E556" s="86"/>
      <c r="F556" s="86"/>
      <c r="G556" s="86"/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</row>
    <row r="557" spans="1:26" x14ac:dyDescent="0.2">
      <c r="A557" s="86"/>
      <c r="B557" s="86"/>
      <c r="C557" s="86"/>
      <c r="D557" s="86"/>
      <c r="E557" s="86"/>
      <c r="F557" s="86"/>
      <c r="G557" s="86"/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</row>
    <row r="558" spans="1:26" x14ac:dyDescent="0.2">
      <c r="A558" s="86"/>
      <c r="B558" s="86"/>
      <c r="C558" s="86"/>
      <c r="D558" s="86"/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</row>
    <row r="559" spans="1:26" x14ac:dyDescent="0.2">
      <c r="A559" s="86"/>
      <c r="B559" s="86"/>
      <c r="C559" s="86"/>
      <c r="D559" s="86"/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</row>
    <row r="560" spans="1:26" x14ac:dyDescent="0.2">
      <c r="A560" s="86"/>
      <c r="B560" s="86"/>
      <c r="C560" s="86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</row>
    <row r="561" spans="1:26" x14ac:dyDescent="0.2">
      <c r="A561" s="86"/>
      <c r="B561" s="86"/>
      <c r="C561" s="86"/>
      <c r="D561" s="86"/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</row>
    <row r="562" spans="1:26" x14ac:dyDescent="0.2">
      <c r="A562" s="86"/>
      <c r="B562" s="86"/>
      <c r="C562" s="86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</row>
    <row r="563" spans="1:26" x14ac:dyDescent="0.2">
      <c r="A563" s="86"/>
      <c r="B563" s="86"/>
      <c r="C563" s="86"/>
      <c r="D563" s="86"/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</row>
    <row r="564" spans="1:26" x14ac:dyDescent="0.2">
      <c r="A564" s="86"/>
      <c r="B564" s="86"/>
      <c r="C564" s="86"/>
      <c r="D564" s="86"/>
      <c r="E564" s="86"/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</row>
    <row r="565" spans="1:26" x14ac:dyDescent="0.2">
      <c r="A565" s="86"/>
      <c r="B565" s="86"/>
      <c r="C565" s="86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</row>
    <row r="566" spans="1:26" x14ac:dyDescent="0.2">
      <c r="A566" s="86"/>
      <c r="B566" s="86"/>
      <c r="C566" s="86"/>
      <c r="D566" s="86"/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</row>
    <row r="567" spans="1:26" x14ac:dyDescent="0.2">
      <c r="A567" s="86"/>
      <c r="B567" s="86"/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</row>
    <row r="568" spans="1:26" x14ac:dyDescent="0.2">
      <c r="A568" s="86"/>
      <c r="B568" s="86"/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</row>
    <row r="569" spans="1:26" x14ac:dyDescent="0.2">
      <c r="A569" s="86"/>
      <c r="B569" s="86"/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</row>
    <row r="570" spans="1:26" x14ac:dyDescent="0.2">
      <c r="A570" s="86"/>
      <c r="B570" s="86"/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</row>
    <row r="571" spans="1:26" x14ac:dyDescent="0.2">
      <c r="A571" s="86"/>
      <c r="B571" s="86"/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</row>
    <row r="572" spans="1:26" x14ac:dyDescent="0.2">
      <c r="A572" s="86"/>
      <c r="B572" s="86"/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</row>
    <row r="573" spans="1:26" x14ac:dyDescent="0.2">
      <c r="A573" s="86"/>
      <c r="B573" s="86"/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</row>
    <row r="574" spans="1:26" x14ac:dyDescent="0.2">
      <c r="A574" s="86"/>
      <c r="B574" s="86"/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</row>
    <row r="575" spans="1:26" x14ac:dyDescent="0.2">
      <c r="A575" s="86"/>
      <c r="B575" s="86"/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</row>
    <row r="576" spans="1:26" x14ac:dyDescent="0.2">
      <c r="A576" s="86"/>
      <c r="B576" s="86"/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</row>
    <row r="577" spans="1:26" x14ac:dyDescent="0.2">
      <c r="A577" s="86"/>
      <c r="B577" s="86"/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</row>
    <row r="578" spans="1:26" x14ac:dyDescent="0.2">
      <c r="A578" s="86"/>
      <c r="B578" s="86"/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</row>
    <row r="579" spans="1:26" x14ac:dyDescent="0.2">
      <c r="A579" s="86"/>
      <c r="B579" s="86"/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</row>
    <row r="580" spans="1:26" x14ac:dyDescent="0.2">
      <c r="A580" s="86"/>
      <c r="B580" s="86"/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</row>
    <row r="581" spans="1:26" x14ac:dyDescent="0.2">
      <c r="A581" s="86"/>
      <c r="B581" s="86"/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</row>
    <row r="582" spans="1:26" x14ac:dyDescent="0.2">
      <c r="A582" s="86"/>
      <c r="B582" s="86"/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</row>
    <row r="583" spans="1:26" x14ac:dyDescent="0.2">
      <c r="A583" s="86"/>
      <c r="B583" s="86"/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</row>
    <row r="584" spans="1:26" x14ac:dyDescent="0.2">
      <c r="A584" s="86"/>
      <c r="B584" s="86"/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</row>
    <row r="585" spans="1:26" x14ac:dyDescent="0.2">
      <c r="A585" s="86"/>
      <c r="B585" s="86"/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</row>
    <row r="586" spans="1:26" x14ac:dyDescent="0.2">
      <c r="A586" s="86"/>
      <c r="B586" s="86"/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</row>
    <row r="587" spans="1:26" x14ac:dyDescent="0.2">
      <c r="A587" s="86"/>
      <c r="B587" s="86"/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</row>
    <row r="588" spans="1:26" x14ac:dyDescent="0.2">
      <c r="A588" s="86"/>
      <c r="B588" s="86"/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</row>
    <row r="589" spans="1:26" x14ac:dyDescent="0.2">
      <c r="A589" s="86"/>
      <c r="B589" s="86"/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</row>
    <row r="590" spans="1:26" x14ac:dyDescent="0.2">
      <c r="A590" s="86"/>
      <c r="B590" s="86"/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</row>
    <row r="591" spans="1:26" x14ac:dyDescent="0.2">
      <c r="A591" s="86"/>
      <c r="B591" s="86"/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</row>
    <row r="592" spans="1:26" x14ac:dyDescent="0.2">
      <c r="A592" s="86"/>
      <c r="B592" s="86"/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</row>
    <row r="593" spans="1:26" x14ac:dyDescent="0.2">
      <c r="A593" s="86"/>
      <c r="B593" s="86"/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</row>
    <row r="594" spans="1:26" x14ac:dyDescent="0.2">
      <c r="A594" s="86"/>
      <c r="B594" s="86"/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</row>
    <row r="595" spans="1:26" x14ac:dyDescent="0.2">
      <c r="A595" s="86"/>
      <c r="B595" s="86"/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</row>
    <row r="596" spans="1:26" x14ac:dyDescent="0.2">
      <c r="A596" s="86"/>
      <c r="B596" s="86"/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</row>
    <row r="597" spans="1:26" x14ac:dyDescent="0.2">
      <c r="A597" s="86"/>
      <c r="B597" s="86"/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</row>
    <row r="598" spans="1:26" x14ac:dyDescent="0.2">
      <c r="A598" s="86"/>
      <c r="B598" s="86"/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</row>
    <row r="599" spans="1:26" x14ac:dyDescent="0.2">
      <c r="A599" s="86"/>
      <c r="B599" s="86"/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</row>
    <row r="600" spans="1:26" x14ac:dyDescent="0.2">
      <c r="A600" s="86"/>
      <c r="B600" s="86"/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</row>
    <row r="601" spans="1:26" x14ac:dyDescent="0.2">
      <c r="A601" s="86"/>
      <c r="B601" s="86"/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</row>
    <row r="602" spans="1:26" x14ac:dyDescent="0.2">
      <c r="A602" s="86"/>
      <c r="B602" s="86"/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</row>
  </sheetData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4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91" customWidth="1"/>
    <col min="2" max="2" width="7.85546875" style="91" customWidth="1"/>
    <col min="3" max="3" width="35.7109375" style="94" customWidth="1"/>
    <col min="4" max="4" width="4.28515625" style="91" customWidth="1"/>
    <col min="5" max="6" width="11.42578125" style="91" customWidth="1"/>
    <col min="7" max="7" width="20" style="91" customWidth="1"/>
    <col min="8" max="8" width="11.42578125" style="91" customWidth="1"/>
    <col min="9" max="9" width="4.28515625" style="91" customWidth="1"/>
    <col min="10" max="16384" width="9.140625" style="91"/>
  </cols>
  <sheetData>
    <row r="1" spans="1:26" s="20" customFormat="1" ht="15" x14ac:dyDescent="0.2">
      <c r="A1" s="20" t="s">
        <v>255</v>
      </c>
      <c r="B1" s="20" t="str">
        <f>Issue</f>
        <v>2024 Show Season V1 7/22/2024</v>
      </c>
      <c r="C1" s="95"/>
    </row>
    <row r="2" spans="1:26" x14ac:dyDescent="0.25">
      <c r="H2" s="180"/>
      <c r="I2"/>
    </row>
    <row r="3" spans="1:26" ht="19.5" customHeight="1" x14ac:dyDescent="0.4">
      <c r="B3" s="214"/>
      <c r="C3" s="212" t="s">
        <v>310</v>
      </c>
      <c r="D3" s="213"/>
      <c r="E3" s="99" t="e">
        <f>VLOOKUP(SelShowDay,ShowDates,3,FALSE)</f>
        <v>#N/A</v>
      </c>
      <c r="F3" s="98"/>
      <c r="G3" s="98"/>
      <c r="H3" s="206" t="s">
        <v>127</v>
      </c>
      <c r="I3" s="100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76"/>
      <c r="C5" s="95" t="s">
        <v>184</v>
      </c>
      <c r="F5" s="20" t="s">
        <v>185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97">
        <v>114</v>
      </c>
      <c r="B6" s="84" t="s">
        <v>127</v>
      </c>
      <c r="C6" s="84" t="s">
        <v>128</v>
      </c>
      <c r="D6" s="84" t="s">
        <v>129</v>
      </c>
      <c r="E6" s="84" t="s">
        <v>130</v>
      </c>
      <c r="F6" s="84" t="s">
        <v>131</v>
      </c>
      <c r="G6" s="84" t="s">
        <v>132</v>
      </c>
      <c r="H6" s="84" t="s">
        <v>133</v>
      </c>
      <c r="I6" s="84" t="s">
        <v>134</v>
      </c>
      <c r="J6" s="84" t="s">
        <v>135</v>
      </c>
      <c r="K6" s="84" t="s">
        <v>136</v>
      </c>
      <c r="L6" s="84" t="s">
        <v>147</v>
      </c>
      <c r="M6" s="84" t="s">
        <v>172</v>
      </c>
      <c r="N6" s="84" t="s">
        <v>127</v>
      </c>
      <c r="O6" s="84" t="s">
        <v>128</v>
      </c>
      <c r="P6" s="84" t="s">
        <v>129</v>
      </c>
      <c r="Q6" s="84" t="s">
        <v>173</v>
      </c>
      <c r="R6" s="84"/>
      <c r="S6" s="84"/>
      <c r="T6" s="84"/>
      <c r="U6" s="84"/>
      <c r="V6" s="84"/>
      <c r="W6" s="84"/>
      <c r="X6" s="84"/>
      <c r="Y6" s="84"/>
      <c r="Z6" s="84"/>
    </row>
    <row r="7" spans="1:26" x14ac:dyDescent="0.25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x14ac:dyDescent="0.25">
      <c r="A8" s="92" t="s">
        <v>200</v>
      </c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x14ac:dyDescent="0.25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ht="16.5" thickBot="1" x14ac:dyDescent="0.3">
      <c r="A10" s="92"/>
      <c r="B10" s="92" t="s">
        <v>132</v>
      </c>
      <c r="C10" s="96" t="s">
        <v>47</v>
      </c>
      <c r="D10" s="93"/>
      <c r="E10" s="93"/>
      <c r="F10" s="93"/>
      <c r="G10" s="93"/>
      <c r="H10" s="93"/>
      <c r="I10" s="93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x14ac:dyDescent="0.25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ht="16.5" thickBot="1" x14ac:dyDescent="0.3">
      <c r="A12" s="92"/>
      <c r="B12" s="92" t="s">
        <v>133</v>
      </c>
      <c r="C12" s="96" t="s">
        <v>47</v>
      </c>
      <c r="D12" s="93"/>
      <c r="E12" s="93"/>
      <c r="F12" s="93"/>
      <c r="G12" s="93"/>
      <c r="H12" s="93"/>
      <c r="I12" s="93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x14ac:dyDescent="0.25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ht="16.5" thickBot="1" x14ac:dyDescent="0.3">
      <c r="A14" s="92"/>
      <c r="B14" s="92" t="s">
        <v>134</v>
      </c>
      <c r="C14" s="96" t="s">
        <v>47</v>
      </c>
      <c r="D14" s="93"/>
      <c r="E14" s="93"/>
      <c r="F14" s="93"/>
      <c r="G14" s="93"/>
      <c r="H14" s="93"/>
      <c r="I14" s="93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x14ac:dyDescent="0.25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ht="16.5" thickBot="1" x14ac:dyDescent="0.3">
      <c r="A16" s="92"/>
      <c r="B16" s="92" t="s">
        <v>135</v>
      </c>
      <c r="C16" s="96" t="s">
        <v>47</v>
      </c>
      <c r="D16" s="93"/>
      <c r="E16" s="93"/>
      <c r="F16" s="93"/>
      <c r="G16" s="93"/>
      <c r="H16" s="93"/>
      <c r="I16" s="93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x14ac:dyDescent="0.25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ht="16.5" thickBot="1" x14ac:dyDescent="0.3">
      <c r="A18" s="92"/>
      <c r="B18" s="92" t="s">
        <v>136</v>
      </c>
      <c r="C18" s="96" t="s">
        <v>47</v>
      </c>
      <c r="D18" s="93"/>
      <c r="E18" s="93"/>
      <c r="F18" s="93"/>
      <c r="G18" s="93"/>
      <c r="H18" s="93"/>
      <c r="I18" s="93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x14ac:dyDescent="0.25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x14ac:dyDescent="0.25">
      <c r="A20" s="92" t="s">
        <v>314</v>
      </c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x14ac:dyDescent="0.25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ht="16.5" thickBot="1" x14ac:dyDescent="0.3">
      <c r="A22" s="92"/>
      <c r="B22" s="92" t="s">
        <v>130</v>
      </c>
      <c r="C22" s="96" t="s">
        <v>290</v>
      </c>
      <c r="D22" s="93"/>
      <c r="E22" s="93"/>
      <c r="F22" s="93"/>
      <c r="G22" s="93"/>
      <c r="H22" s="93"/>
      <c r="I22" s="93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x14ac:dyDescent="0.25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ht="16.5" thickBot="1" x14ac:dyDescent="0.3">
      <c r="A24" s="92"/>
      <c r="B24" s="92" t="s">
        <v>131</v>
      </c>
      <c r="C24" s="96" t="s">
        <v>290</v>
      </c>
      <c r="D24" s="93"/>
      <c r="E24" s="93"/>
      <c r="F24" s="93"/>
      <c r="G24" s="93"/>
      <c r="H24" s="93"/>
      <c r="I24" s="93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x14ac:dyDescent="0.25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ht="16.5" thickBot="1" x14ac:dyDescent="0.3">
      <c r="A26" s="92"/>
      <c r="B26" s="92" t="s">
        <v>132</v>
      </c>
      <c r="C26" s="96" t="s">
        <v>29</v>
      </c>
      <c r="D26" s="93"/>
      <c r="E26" s="93"/>
      <c r="F26" s="93"/>
      <c r="G26" s="93"/>
      <c r="H26" s="93"/>
      <c r="I26" s="93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x14ac:dyDescent="0.25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ht="16.5" thickBot="1" x14ac:dyDescent="0.3">
      <c r="A28" s="92"/>
      <c r="B28" s="92" t="s">
        <v>133</v>
      </c>
      <c r="C28" s="96" t="s">
        <v>29</v>
      </c>
      <c r="D28" s="93"/>
      <c r="E28" s="93"/>
      <c r="F28" s="93"/>
      <c r="G28" s="93"/>
      <c r="H28" s="93"/>
      <c r="I28" s="93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x14ac:dyDescent="0.25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ht="16.5" thickBot="1" x14ac:dyDescent="0.3">
      <c r="A30" s="92"/>
      <c r="B30" s="92" t="s">
        <v>134</v>
      </c>
      <c r="C30" s="96" t="s">
        <v>29</v>
      </c>
      <c r="D30" s="93"/>
      <c r="E30" s="93"/>
      <c r="F30" s="93"/>
      <c r="G30" s="93"/>
      <c r="H30" s="93"/>
      <c r="I30" s="93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x14ac:dyDescent="0.25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ht="16.5" thickBot="1" x14ac:dyDescent="0.3">
      <c r="A32" s="92"/>
      <c r="B32" s="92" t="s">
        <v>135</v>
      </c>
      <c r="C32" s="96" t="s">
        <v>29</v>
      </c>
      <c r="D32" s="93"/>
      <c r="E32" s="93"/>
      <c r="F32" s="93"/>
      <c r="G32" s="93"/>
      <c r="H32" s="93"/>
      <c r="I32" s="93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x14ac:dyDescent="0.25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ht="16.5" thickBot="1" x14ac:dyDescent="0.3">
      <c r="A34" s="92"/>
      <c r="B34" s="92" t="s">
        <v>136</v>
      </c>
      <c r="C34" s="96" t="s">
        <v>29</v>
      </c>
      <c r="D34" s="93"/>
      <c r="E34" s="93"/>
      <c r="F34" s="93"/>
      <c r="G34" s="93"/>
      <c r="H34" s="93"/>
      <c r="I34" s="93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x14ac:dyDescent="0.25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ht="16.5" thickBot="1" x14ac:dyDescent="0.3">
      <c r="A36" s="92"/>
      <c r="B36" s="92" t="s">
        <v>147</v>
      </c>
      <c r="C36" s="96" t="s">
        <v>29</v>
      </c>
      <c r="D36" s="93"/>
      <c r="E36" s="93"/>
      <c r="F36" s="93"/>
      <c r="G36" s="93"/>
      <c r="H36" s="93"/>
      <c r="I36" s="93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x14ac:dyDescent="0.25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ht="16.5" thickBot="1" x14ac:dyDescent="0.3">
      <c r="A38" s="92"/>
      <c r="B38" s="92" t="s">
        <v>172</v>
      </c>
      <c r="C38" s="96" t="s">
        <v>29</v>
      </c>
      <c r="D38" s="93"/>
      <c r="E38" s="93"/>
      <c r="F38" s="93"/>
      <c r="G38" s="93"/>
      <c r="H38" s="93"/>
      <c r="I38" s="93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x14ac:dyDescent="0.25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x14ac:dyDescent="0.25">
      <c r="A40" s="92" t="s">
        <v>312</v>
      </c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x14ac:dyDescent="0.25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ht="16.5" thickBot="1" x14ac:dyDescent="0.3">
      <c r="A42" s="92"/>
      <c r="B42" s="92" t="s">
        <v>130</v>
      </c>
      <c r="C42" s="96" t="s">
        <v>50</v>
      </c>
      <c r="D42" s="93"/>
      <c r="E42" s="93"/>
      <c r="F42" s="93"/>
      <c r="G42" s="93"/>
      <c r="H42" s="93"/>
      <c r="I42" s="93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x14ac:dyDescent="0.25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ht="16.5" thickBot="1" x14ac:dyDescent="0.3">
      <c r="A44" s="92"/>
      <c r="B44" s="92" t="s">
        <v>131</v>
      </c>
      <c r="C44" s="96" t="s">
        <v>50</v>
      </c>
      <c r="D44" s="93"/>
      <c r="E44" s="93"/>
      <c r="F44" s="93"/>
      <c r="G44" s="93"/>
      <c r="H44" s="93"/>
      <c r="I44" s="93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x14ac:dyDescent="0.25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ht="16.5" thickBot="1" x14ac:dyDescent="0.3">
      <c r="A46" s="92"/>
      <c r="B46" s="92" t="s">
        <v>132</v>
      </c>
      <c r="C46" s="96" t="s">
        <v>117</v>
      </c>
      <c r="D46" s="93"/>
      <c r="E46" s="93"/>
      <c r="F46" s="93"/>
      <c r="G46" s="93"/>
      <c r="H46" s="93"/>
      <c r="I46" s="93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x14ac:dyDescent="0.25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ht="16.5" thickBot="1" x14ac:dyDescent="0.3">
      <c r="A48" s="92"/>
      <c r="B48" s="92" t="s">
        <v>133</v>
      </c>
      <c r="C48" s="96" t="s">
        <v>115</v>
      </c>
      <c r="D48" s="93"/>
      <c r="E48" s="93"/>
      <c r="F48" s="93"/>
      <c r="G48" s="93"/>
      <c r="H48" s="93"/>
      <c r="I48" s="93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x14ac:dyDescent="0.25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ht="16.5" thickBot="1" x14ac:dyDescent="0.3">
      <c r="A50" s="92"/>
      <c r="B50" s="92" t="s">
        <v>134</v>
      </c>
      <c r="C50" s="96" t="s">
        <v>24</v>
      </c>
      <c r="D50" s="93"/>
      <c r="E50" s="93"/>
      <c r="F50" s="93"/>
      <c r="G50" s="93"/>
      <c r="H50" s="93"/>
      <c r="I50" s="93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x14ac:dyDescent="0.25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ht="16.5" thickBot="1" x14ac:dyDescent="0.3">
      <c r="A52" s="92"/>
      <c r="B52" s="92" t="s">
        <v>135</v>
      </c>
      <c r="C52" s="96" t="s">
        <v>117</v>
      </c>
      <c r="D52" s="93"/>
      <c r="E52" s="93"/>
      <c r="F52" s="93"/>
      <c r="G52" s="93"/>
      <c r="H52" s="93"/>
      <c r="I52" s="93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x14ac:dyDescent="0.25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ht="16.5" thickBot="1" x14ac:dyDescent="0.3">
      <c r="A54" s="92"/>
      <c r="B54" s="92" t="s">
        <v>136</v>
      </c>
      <c r="C54" s="96" t="s">
        <v>115</v>
      </c>
      <c r="D54" s="93"/>
      <c r="E54" s="93"/>
      <c r="F54" s="93"/>
      <c r="G54" s="93"/>
      <c r="H54" s="93"/>
      <c r="I54" s="93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ht="16.5" thickBot="1" x14ac:dyDescent="0.3">
      <c r="A56" s="92"/>
      <c r="B56" s="92" t="s">
        <v>147</v>
      </c>
      <c r="C56" s="96" t="s">
        <v>106</v>
      </c>
      <c r="D56" s="93"/>
      <c r="E56" s="93"/>
      <c r="F56" s="93"/>
      <c r="G56" s="93"/>
      <c r="H56" s="93"/>
      <c r="I56" s="93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x14ac:dyDescent="0.25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ht="16.5" thickBot="1" x14ac:dyDescent="0.3">
      <c r="A58" s="92"/>
      <c r="B58" s="92" t="s">
        <v>172</v>
      </c>
      <c r="C58" s="96" t="s">
        <v>115</v>
      </c>
      <c r="D58" s="93"/>
      <c r="E58" s="93"/>
      <c r="F58" s="93"/>
      <c r="G58" s="93"/>
      <c r="H58" s="93"/>
      <c r="I58" s="93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x14ac:dyDescent="0.25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ht="16.5" thickBot="1" x14ac:dyDescent="0.3">
      <c r="A60" s="92"/>
      <c r="B60" s="92" t="s">
        <v>130</v>
      </c>
      <c r="C60" s="96" t="s">
        <v>340</v>
      </c>
      <c r="D60" s="93"/>
      <c r="E60" s="93"/>
      <c r="F60" s="93"/>
      <c r="G60" s="93"/>
      <c r="H60" s="93"/>
      <c r="I60" s="93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x14ac:dyDescent="0.25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ht="16.5" thickBot="1" x14ac:dyDescent="0.3">
      <c r="A62" s="92"/>
      <c r="B62" s="92" t="s">
        <v>131</v>
      </c>
      <c r="C62" s="96" t="s">
        <v>340</v>
      </c>
      <c r="D62" s="93"/>
      <c r="E62" s="93"/>
      <c r="F62" s="93"/>
      <c r="G62" s="93"/>
      <c r="H62" s="93"/>
      <c r="I62" s="93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x14ac:dyDescent="0.25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ht="16.5" thickBot="1" x14ac:dyDescent="0.3">
      <c r="A64" s="92"/>
      <c r="B64" s="92" t="s">
        <v>132</v>
      </c>
      <c r="C64" s="96" t="s">
        <v>55</v>
      </c>
      <c r="D64" s="93"/>
      <c r="E64" s="93"/>
      <c r="F64" s="93"/>
      <c r="G64" s="93"/>
      <c r="H64" s="93"/>
      <c r="I64" s="93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x14ac:dyDescent="0.25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ht="16.5" thickBot="1" x14ac:dyDescent="0.3">
      <c r="A66" s="92"/>
      <c r="B66" s="92" t="s">
        <v>133</v>
      </c>
      <c r="C66" s="96" t="s">
        <v>55</v>
      </c>
      <c r="D66" s="93"/>
      <c r="E66" s="93"/>
      <c r="F66" s="93"/>
      <c r="G66" s="93"/>
      <c r="H66" s="93"/>
      <c r="I66" s="93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x14ac:dyDescent="0.25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ht="16.5" thickBot="1" x14ac:dyDescent="0.3">
      <c r="A68" s="92"/>
      <c r="B68" s="92" t="s">
        <v>134</v>
      </c>
      <c r="C68" s="96" t="s">
        <v>116</v>
      </c>
      <c r="D68" s="93"/>
      <c r="E68" s="93"/>
      <c r="F68" s="93"/>
      <c r="G68" s="93"/>
      <c r="H68" s="93"/>
      <c r="I68" s="93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x14ac:dyDescent="0.25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ht="16.5" thickBot="1" x14ac:dyDescent="0.3">
      <c r="A70" s="92"/>
      <c r="B70" s="92" t="s">
        <v>135</v>
      </c>
      <c r="C70" s="96" t="s">
        <v>24</v>
      </c>
      <c r="D70" s="93"/>
      <c r="E70" s="93"/>
      <c r="F70" s="93"/>
      <c r="G70" s="93"/>
      <c r="H70" s="93"/>
      <c r="I70" s="93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x14ac:dyDescent="0.25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ht="16.5" thickBot="1" x14ac:dyDescent="0.3">
      <c r="A72" s="92"/>
      <c r="B72" s="92" t="s">
        <v>136</v>
      </c>
      <c r="C72" s="96" t="s">
        <v>106</v>
      </c>
      <c r="D72" s="93"/>
      <c r="E72" s="93"/>
      <c r="F72" s="93"/>
      <c r="G72" s="93"/>
      <c r="H72" s="93"/>
      <c r="I72" s="93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x14ac:dyDescent="0.25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ht="16.5" thickBot="1" x14ac:dyDescent="0.3">
      <c r="A74" s="92"/>
      <c r="B74" s="92" t="s">
        <v>147</v>
      </c>
      <c r="C74" s="96" t="s">
        <v>26</v>
      </c>
      <c r="D74" s="93"/>
      <c r="E74" s="93"/>
      <c r="F74" s="93"/>
      <c r="G74" s="93"/>
      <c r="H74" s="93"/>
      <c r="I74" s="93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x14ac:dyDescent="0.25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ht="16.5" thickBot="1" x14ac:dyDescent="0.3">
      <c r="A76" s="92"/>
      <c r="B76" s="92" t="s">
        <v>172</v>
      </c>
      <c r="C76" s="96" t="s">
        <v>106</v>
      </c>
      <c r="D76" s="93"/>
      <c r="E76" s="93"/>
      <c r="F76" s="93"/>
      <c r="G76" s="93"/>
      <c r="H76" s="93"/>
      <c r="I76" s="93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x14ac:dyDescent="0.25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x14ac:dyDescent="0.25">
      <c r="A78" s="92" t="s">
        <v>125</v>
      </c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x14ac:dyDescent="0.25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ht="16.5" thickBot="1" x14ac:dyDescent="0.3">
      <c r="A80" s="92"/>
      <c r="B80" s="92" t="s">
        <v>134</v>
      </c>
      <c r="C80" s="96" t="s">
        <v>112</v>
      </c>
      <c r="D80" s="93"/>
      <c r="E80" s="93"/>
      <c r="F80" s="93"/>
      <c r="G80" s="93"/>
      <c r="H80" s="93"/>
      <c r="I80" s="93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x14ac:dyDescent="0.25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ht="16.5" thickBot="1" x14ac:dyDescent="0.3">
      <c r="A82" s="92"/>
      <c r="B82" s="92" t="s">
        <v>135</v>
      </c>
      <c r="C82" s="96" t="s">
        <v>112</v>
      </c>
      <c r="D82" s="93"/>
      <c r="E82" s="93"/>
      <c r="F82" s="93"/>
      <c r="G82" s="93"/>
      <c r="H82" s="93"/>
      <c r="I82" s="93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x14ac:dyDescent="0.25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ht="16.5" thickBot="1" x14ac:dyDescent="0.3">
      <c r="A84" s="92"/>
      <c r="B84" s="92" t="s">
        <v>136</v>
      </c>
      <c r="C84" s="96" t="s">
        <v>112</v>
      </c>
      <c r="D84" s="93"/>
      <c r="E84" s="93"/>
      <c r="F84" s="93"/>
      <c r="G84" s="93"/>
      <c r="H84" s="93"/>
      <c r="I84" s="93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x14ac:dyDescent="0.25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ht="16.5" thickBot="1" x14ac:dyDescent="0.3">
      <c r="A86" s="92"/>
      <c r="B86" s="92" t="s">
        <v>147</v>
      </c>
      <c r="C86" s="96" t="s">
        <v>112</v>
      </c>
      <c r="D86" s="93"/>
      <c r="E86" s="93"/>
      <c r="F86" s="93"/>
      <c r="G86" s="93"/>
      <c r="H86" s="93"/>
      <c r="I86" s="93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x14ac:dyDescent="0.25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ht="16.5" thickBot="1" x14ac:dyDescent="0.3">
      <c r="A88" s="92"/>
      <c r="B88" s="92" t="s">
        <v>172</v>
      </c>
      <c r="C88" s="96" t="s">
        <v>112</v>
      </c>
      <c r="D88" s="93"/>
      <c r="E88" s="93"/>
      <c r="F88" s="93"/>
      <c r="G88" s="93"/>
      <c r="H88" s="93"/>
      <c r="I88" s="93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x14ac:dyDescent="0.25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ht="16.5" thickBot="1" x14ac:dyDescent="0.3">
      <c r="A90" s="92"/>
      <c r="B90" s="92" t="s">
        <v>127</v>
      </c>
      <c r="C90" s="96" t="s">
        <v>112</v>
      </c>
      <c r="D90" s="93"/>
      <c r="E90" s="93"/>
      <c r="F90" s="93"/>
      <c r="G90" s="93"/>
      <c r="H90" s="93"/>
      <c r="I90" s="93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x14ac:dyDescent="0.25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ht="16.5" thickBot="1" x14ac:dyDescent="0.3">
      <c r="A92" s="92"/>
      <c r="B92" s="92" t="s">
        <v>128</v>
      </c>
      <c r="C92" s="96" t="s">
        <v>112</v>
      </c>
      <c r="D92" s="93"/>
      <c r="E92" s="93"/>
      <c r="F92" s="93"/>
      <c r="G92" s="93"/>
      <c r="H92" s="93"/>
      <c r="I92" s="93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x14ac:dyDescent="0.25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x14ac:dyDescent="0.25">
      <c r="A94" s="92" t="s">
        <v>206</v>
      </c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x14ac:dyDescent="0.25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ht="16.5" thickBot="1" x14ac:dyDescent="0.3">
      <c r="A96" s="92"/>
      <c r="B96" s="92" t="s">
        <v>132</v>
      </c>
      <c r="C96" s="96" t="s">
        <v>50</v>
      </c>
      <c r="D96" s="93"/>
      <c r="E96" s="93"/>
      <c r="F96" s="93"/>
      <c r="G96" s="93"/>
      <c r="H96" s="93"/>
      <c r="I96" s="93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</row>
    <row r="97" spans="1:26" x14ac:dyDescent="0.25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</row>
    <row r="98" spans="1:26" ht="16.5" thickBot="1" x14ac:dyDescent="0.3">
      <c r="A98" s="92"/>
      <c r="B98" s="92" t="s">
        <v>133</v>
      </c>
      <c r="C98" s="96" t="s">
        <v>50</v>
      </c>
      <c r="D98" s="93"/>
      <c r="E98" s="93"/>
      <c r="F98" s="93"/>
      <c r="G98" s="93"/>
      <c r="H98" s="93"/>
      <c r="I98" s="93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</row>
    <row r="99" spans="1:26" x14ac:dyDescent="0.25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ht="16.5" thickBot="1" x14ac:dyDescent="0.3">
      <c r="A100" s="92"/>
      <c r="B100" s="92" t="s">
        <v>134</v>
      </c>
      <c r="C100" s="96" t="s">
        <v>50</v>
      </c>
      <c r="D100" s="93"/>
      <c r="E100" s="93"/>
      <c r="F100" s="93"/>
      <c r="G100" s="93"/>
      <c r="H100" s="93"/>
      <c r="I100" s="93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x14ac:dyDescent="0.25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ht="16.5" thickBot="1" x14ac:dyDescent="0.3">
      <c r="A102" s="92"/>
      <c r="B102" s="92" t="s">
        <v>135</v>
      </c>
      <c r="C102" s="96" t="s">
        <v>50</v>
      </c>
      <c r="D102" s="93"/>
      <c r="E102" s="93"/>
      <c r="F102" s="93"/>
      <c r="G102" s="93"/>
      <c r="H102" s="93"/>
      <c r="I102" s="93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x14ac:dyDescent="0.25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ht="16.5" thickBot="1" x14ac:dyDescent="0.3">
      <c r="A104" s="92"/>
      <c r="B104" s="92" t="s">
        <v>136</v>
      </c>
      <c r="C104" s="96" t="s">
        <v>55</v>
      </c>
      <c r="D104" s="93"/>
      <c r="E104" s="93"/>
      <c r="F104" s="93"/>
      <c r="G104" s="93"/>
      <c r="H104" s="93"/>
      <c r="I104" s="93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x14ac:dyDescent="0.25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ht="16.5" thickBot="1" x14ac:dyDescent="0.3">
      <c r="A106" s="92"/>
      <c r="B106" s="92" t="s">
        <v>147</v>
      </c>
      <c r="C106" s="96" t="s">
        <v>55</v>
      </c>
      <c r="D106" s="93"/>
      <c r="E106" s="93"/>
      <c r="F106" s="93"/>
      <c r="G106" s="93"/>
      <c r="H106" s="93"/>
      <c r="I106" s="93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x14ac:dyDescent="0.25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ht="16.5" thickBot="1" x14ac:dyDescent="0.3">
      <c r="A108" s="92"/>
      <c r="B108" s="92" t="s">
        <v>172</v>
      </c>
      <c r="C108" s="96" t="s">
        <v>55</v>
      </c>
      <c r="D108" s="93"/>
      <c r="E108" s="93"/>
      <c r="F108" s="93"/>
      <c r="G108" s="93"/>
      <c r="H108" s="93"/>
      <c r="I108" s="93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x14ac:dyDescent="0.25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ht="16.5" thickBot="1" x14ac:dyDescent="0.3">
      <c r="A110" s="92"/>
      <c r="B110" s="92" t="s">
        <v>127</v>
      </c>
      <c r="C110" s="96" t="s">
        <v>55</v>
      </c>
      <c r="D110" s="93"/>
      <c r="E110" s="93"/>
      <c r="F110" s="93"/>
      <c r="G110" s="93"/>
      <c r="H110" s="93"/>
      <c r="I110" s="93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x14ac:dyDescent="0.25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ht="16.5" thickBot="1" x14ac:dyDescent="0.3">
      <c r="A112" s="92"/>
      <c r="B112" s="92" t="s">
        <v>128</v>
      </c>
      <c r="C112" s="96" t="s">
        <v>55</v>
      </c>
      <c r="D112" s="93"/>
      <c r="E112" s="93"/>
      <c r="F112" s="93"/>
      <c r="G112" s="93"/>
      <c r="H112" s="93"/>
      <c r="I112" s="93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x14ac:dyDescent="0.25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x14ac:dyDescent="0.25">
      <c r="A114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x14ac:dyDescent="0.25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x14ac:dyDescent="0.25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x14ac:dyDescent="0.25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x14ac:dyDescent="0.25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x14ac:dyDescent="0.25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x14ac:dyDescent="0.25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x14ac:dyDescent="0.25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x14ac:dyDescent="0.25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x14ac:dyDescent="0.25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x14ac:dyDescent="0.25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x14ac:dyDescent="0.25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x14ac:dyDescent="0.25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x14ac:dyDescent="0.25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x14ac:dyDescent="0.25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x14ac:dyDescent="0.25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x14ac:dyDescent="0.25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x14ac:dyDescent="0.25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x14ac:dyDescent="0.25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x14ac:dyDescent="0.25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x14ac:dyDescent="0.25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x14ac:dyDescent="0.25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x14ac:dyDescent="0.25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x14ac:dyDescent="0.25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x14ac:dyDescent="0.25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x14ac:dyDescent="0.25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x14ac:dyDescent="0.25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x14ac:dyDescent="0.25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x14ac:dyDescent="0.25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x14ac:dyDescent="0.25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x14ac:dyDescent="0.25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x14ac:dyDescent="0.25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x14ac:dyDescent="0.25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x14ac:dyDescent="0.25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x14ac:dyDescent="0.25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x14ac:dyDescent="0.25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x14ac:dyDescent="0.25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x14ac:dyDescent="0.25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x14ac:dyDescent="0.25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x14ac:dyDescent="0.25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x14ac:dyDescent="0.25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x14ac:dyDescent="0.25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x14ac:dyDescent="0.25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x14ac:dyDescent="0.25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x14ac:dyDescent="0.25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x14ac:dyDescent="0.25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x14ac:dyDescent="0.25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x14ac:dyDescent="0.25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x14ac:dyDescent="0.25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x14ac:dyDescent="0.25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x14ac:dyDescent="0.25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x14ac:dyDescent="0.25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x14ac:dyDescent="0.25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x14ac:dyDescent="0.25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x14ac:dyDescent="0.25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x14ac:dyDescent="0.25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x14ac:dyDescent="0.25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x14ac:dyDescent="0.25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x14ac:dyDescent="0.25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x14ac:dyDescent="0.25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x14ac:dyDescent="0.25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x14ac:dyDescent="0.25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x14ac:dyDescent="0.25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x14ac:dyDescent="0.25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x14ac:dyDescent="0.25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x14ac:dyDescent="0.25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x14ac:dyDescent="0.25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x14ac:dyDescent="0.25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x14ac:dyDescent="0.25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x14ac:dyDescent="0.25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x14ac:dyDescent="0.25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x14ac:dyDescent="0.25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x14ac:dyDescent="0.25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x14ac:dyDescent="0.25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x14ac:dyDescent="0.25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x14ac:dyDescent="0.25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x14ac:dyDescent="0.25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x14ac:dyDescent="0.25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x14ac:dyDescent="0.25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x14ac:dyDescent="0.25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x14ac:dyDescent="0.25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x14ac:dyDescent="0.25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</row>
    <row r="196" spans="1:26" x14ac:dyDescent="0.25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</row>
    <row r="197" spans="1:26" x14ac:dyDescent="0.25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</row>
    <row r="198" spans="1:26" x14ac:dyDescent="0.25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</row>
    <row r="199" spans="1:26" x14ac:dyDescent="0.25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</row>
    <row r="200" spans="1:26" x14ac:dyDescent="0.25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</row>
    <row r="201" spans="1:26" x14ac:dyDescent="0.25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</row>
    <row r="202" spans="1:26" x14ac:dyDescent="0.25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</row>
    <row r="203" spans="1:26" x14ac:dyDescent="0.25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</row>
    <row r="204" spans="1:26" x14ac:dyDescent="0.25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</row>
    <row r="205" spans="1:26" x14ac:dyDescent="0.25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</row>
    <row r="206" spans="1:26" x14ac:dyDescent="0.25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</row>
    <row r="207" spans="1:26" x14ac:dyDescent="0.25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</row>
    <row r="208" spans="1:26" x14ac:dyDescent="0.25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</row>
    <row r="209" spans="1:26" x14ac:dyDescent="0.25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</row>
    <row r="210" spans="1:26" x14ac:dyDescent="0.25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</row>
    <row r="211" spans="1:26" x14ac:dyDescent="0.25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</row>
    <row r="212" spans="1:26" x14ac:dyDescent="0.25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</row>
    <row r="213" spans="1:26" x14ac:dyDescent="0.25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</row>
    <row r="214" spans="1:26" x14ac:dyDescent="0.25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</row>
    <row r="215" spans="1:26" x14ac:dyDescent="0.25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</row>
    <row r="216" spans="1:26" x14ac:dyDescent="0.25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</row>
    <row r="217" spans="1:26" x14ac:dyDescent="0.25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</row>
    <row r="218" spans="1:26" x14ac:dyDescent="0.25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</row>
    <row r="219" spans="1:26" x14ac:dyDescent="0.25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</row>
    <row r="220" spans="1:26" x14ac:dyDescent="0.25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</row>
    <row r="221" spans="1:26" x14ac:dyDescent="0.25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</row>
    <row r="222" spans="1:26" x14ac:dyDescent="0.25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</row>
    <row r="223" spans="1:26" x14ac:dyDescent="0.25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</row>
    <row r="224" spans="1:26" x14ac:dyDescent="0.25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</row>
    <row r="225" spans="1:26" x14ac:dyDescent="0.25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</row>
    <row r="226" spans="1:26" x14ac:dyDescent="0.25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</row>
    <row r="227" spans="1:26" x14ac:dyDescent="0.25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</row>
    <row r="228" spans="1:26" x14ac:dyDescent="0.25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</row>
    <row r="229" spans="1:26" x14ac:dyDescent="0.2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</row>
    <row r="230" spans="1:26" x14ac:dyDescent="0.2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</row>
    <row r="231" spans="1:26" x14ac:dyDescent="0.2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</row>
    <row r="232" spans="1:26" x14ac:dyDescent="0.2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</row>
    <row r="233" spans="1:26" x14ac:dyDescent="0.2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</row>
    <row r="234" spans="1:26" x14ac:dyDescent="0.2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</row>
    <row r="235" spans="1:26" x14ac:dyDescent="0.2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</row>
    <row r="236" spans="1:26" x14ac:dyDescent="0.2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</row>
    <row r="237" spans="1:26" x14ac:dyDescent="0.2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</row>
    <row r="238" spans="1:26" x14ac:dyDescent="0.2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</row>
    <row r="239" spans="1:26" x14ac:dyDescent="0.2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</row>
    <row r="240" spans="1:26" x14ac:dyDescent="0.2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</row>
    <row r="241" spans="1:26" x14ac:dyDescent="0.2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</row>
    <row r="242" spans="1:26" x14ac:dyDescent="0.2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</row>
    <row r="243" spans="1:26" x14ac:dyDescent="0.2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</row>
    <row r="244" spans="1:26" x14ac:dyDescent="0.2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</row>
    <row r="245" spans="1:26" x14ac:dyDescent="0.2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</row>
    <row r="246" spans="1:26" x14ac:dyDescent="0.2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</row>
    <row r="247" spans="1:26" x14ac:dyDescent="0.2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</row>
    <row r="248" spans="1:26" x14ac:dyDescent="0.2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</row>
    <row r="249" spans="1:26" x14ac:dyDescent="0.2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</row>
    <row r="250" spans="1:26" x14ac:dyDescent="0.2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</row>
    <row r="251" spans="1:26" x14ac:dyDescent="0.2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</row>
    <row r="252" spans="1:26" x14ac:dyDescent="0.2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</row>
    <row r="253" spans="1:26" x14ac:dyDescent="0.2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</row>
    <row r="254" spans="1:26" x14ac:dyDescent="0.2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</row>
    <row r="255" spans="1:26" x14ac:dyDescent="0.2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</row>
    <row r="256" spans="1:26" x14ac:dyDescent="0.2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</row>
    <row r="257" spans="1:26" x14ac:dyDescent="0.2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</row>
    <row r="258" spans="1:26" x14ac:dyDescent="0.2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</row>
    <row r="259" spans="1:26" x14ac:dyDescent="0.2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</row>
    <row r="260" spans="1:26" x14ac:dyDescent="0.2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</row>
    <row r="261" spans="1:26" x14ac:dyDescent="0.2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</row>
    <row r="262" spans="1:26" x14ac:dyDescent="0.2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</row>
    <row r="263" spans="1:26" x14ac:dyDescent="0.2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</row>
    <row r="264" spans="1:26" x14ac:dyDescent="0.2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</row>
    <row r="265" spans="1:26" x14ac:dyDescent="0.2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</row>
    <row r="266" spans="1:26" x14ac:dyDescent="0.2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</row>
    <row r="267" spans="1:26" x14ac:dyDescent="0.2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</row>
    <row r="268" spans="1:26" x14ac:dyDescent="0.2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</row>
    <row r="269" spans="1:26" x14ac:dyDescent="0.2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</row>
    <row r="270" spans="1:26" x14ac:dyDescent="0.2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</row>
    <row r="271" spans="1:26" x14ac:dyDescent="0.2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</row>
    <row r="272" spans="1:26" x14ac:dyDescent="0.2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</row>
    <row r="273" spans="1:26" x14ac:dyDescent="0.2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</row>
    <row r="274" spans="1:26" x14ac:dyDescent="0.2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</row>
    <row r="275" spans="1:26" x14ac:dyDescent="0.2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</row>
    <row r="276" spans="1:26" x14ac:dyDescent="0.2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</row>
    <row r="277" spans="1:26" x14ac:dyDescent="0.2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</row>
    <row r="278" spans="1:26" x14ac:dyDescent="0.2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</row>
    <row r="279" spans="1:26" x14ac:dyDescent="0.2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</row>
    <row r="280" spans="1:26" x14ac:dyDescent="0.2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</row>
    <row r="281" spans="1:26" x14ac:dyDescent="0.2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</row>
    <row r="282" spans="1:26" x14ac:dyDescent="0.2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</row>
    <row r="283" spans="1:26" x14ac:dyDescent="0.2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</row>
    <row r="284" spans="1:26" x14ac:dyDescent="0.2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</row>
    <row r="285" spans="1:26" x14ac:dyDescent="0.2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</row>
    <row r="286" spans="1:26" x14ac:dyDescent="0.2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</row>
    <row r="287" spans="1:26" x14ac:dyDescent="0.2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</row>
    <row r="288" spans="1:26" x14ac:dyDescent="0.2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</row>
    <row r="289" spans="1:26" x14ac:dyDescent="0.2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</row>
    <row r="290" spans="1:26" x14ac:dyDescent="0.2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</row>
    <row r="291" spans="1:26" x14ac:dyDescent="0.2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</row>
    <row r="292" spans="1:26" x14ac:dyDescent="0.2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</row>
    <row r="293" spans="1:26" x14ac:dyDescent="0.2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</row>
    <row r="294" spans="1:26" x14ac:dyDescent="0.2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</row>
    <row r="295" spans="1:26" x14ac:dyDescent="0.2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</row>
    <row r="296" spans="1:26" x14ac:dyDescent="0.2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</row>
    <row r="297" spans="1:26" x14ac:dyDescent="0.2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</row>
    <row r="298" spans="1:26" x14ac:dyDescent="0.2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</row>
    <row r="299" spans="1:26" x14ac:dyDescent="0.2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</row>
    <row r="300" spans="1:26" x14ac:dyDescent="0.2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</row>
    <row r="301" spans="1:26" x14ac:dyDescent="0.2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</row>
    <row r="302" spans="1:26" x14ac:dyDescent="0.2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</row>
    <row r="303" spans="1:26" x14ac:dyDescent="0.2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</row>
    <row r="304" spans="1:26" x14ac:dyDescent="0.2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</row>
    <row r="305" spans="1:26" x14ac:dyDescent="0.2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</row>
    <row r="306" spans="1:26" x14ac:dyDescent="0.2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</row>
    <row r="307" spans="1:26" x14ac:dyDescent="0.2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</row>
    <row r="308" spans="1:26" x14ac:dyDescent="0.2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</row>
    <row r="309" spans="1:26" x14ac:dyDescent="0.2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</row>
    <row r="310" spans="1:26" x14ac:dyDescent="0.2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</row>
    <row r="311" spans="1:26" x14ac:dyDescent="0.2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</row>
    <row r="312" spans="1:26" x14ac:dyDescent="0.2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</row>
    <row r="313" spans="1:26" x14ac:dyDescent="0.2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</row>
    <row r="314" spans="1:26" x14ac:dyDescent="0.2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</row>
    <row r="315" spans="1:26" x14ac:dyDescent="0.2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</row>
    <row r="316" spans="1:26" x14ac:dyDescent="0.2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</row>
    <row r="317" spans="1:26" x14ac:dyDescent="0.2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</row>
    <row r="318" spans="1:26" x14ac:dyDescent="0.2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</row>
    <row r="319" spans="1:26" x14ac:dyDescent="0.2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</row>
    <row r="320" spans="1:26" x14ac:dyDescent="0.2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</row>
    <row r="321" spans="1:26" x14ac:dyDescent="0.2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</row>
    <row r="322" spans="1:26" x14ac:dyDescent="0.2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</row>
    <row r="323" spans="1:26" x14ac:dyDescent="0.2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</row>
    <row r="324" spans="1:26" x14ac:dyDescent="0.2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</row>
    <row r="325" spans="1:26" x14ac:dyDescent="0.2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</row>
    <row r="326" spans="1:26" x14ac:dyDescent="0.2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</row>
    <row r="327" spans="1:26" x14ac:dyDescent="0.2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</row>
    <row r="328" spans="1:26" x14ac:dyDescent="0.2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</row>
    <row r="329" spans="1:26" x14ac:dyDescent="0.2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</row>
    <row r="330" spans="1:26" x14ac:dyDescent="0.2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</row>
    <row r="331" spans="1:26" x14ac:dyDescent="0.2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</row>
    <row r="332" spans="1:26" x14ac:dyDescent="0.2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</row>
    <row r="333" spans="1:26" x14ac:dyDescent="0.2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</row>
    <row r="334" spans="1:26" x14ac:dyDescent="0.2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</row>
    <row r="335" spans="1:26" x14ac:dyDescent="0.2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</row>
    <row r="336" spans="1:26" x14ac:dyDescent="0.2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</row>
    <row r="337" spans="1:26" x14ac:dyDescent="0.2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</row>
    <row r="338" spans="1:26" x14ac:dyDescent="0.2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</row>
    <row r="339" spans="1:26" x14ac:dyDescent="0.2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</row>
    <row r="340" spans="1:26" x14ac:dyDescent="0.2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</row>
    <row r="341" spans="1:26" x14ac:dyDescent="0.2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</row>
    <row r="342" spans="1:26" x14ac:dyDescent="0.2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</row>
    <row r="343" spans="1:26" x14ac:dyDescent="0.2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</row>
    <row r="344" spans="1:26" x14ac:dyDescent="0.2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</row>
    <row r="345" spans="1:26" x14ac:dyDescent="0.2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</row>
    <row r="346" spans="1:26" x14ac:dyDescent="0.2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</row>
    <row r="347" spans="1:26" x14ac:dyDescent="0.2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</row>
    <row r="348" spans="1:26" x14ac:dyDescent="0.2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</row>
    <row r="349" spans="1:26" x14ac:dyDescent="0.2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</row>
    <row r="350" spans="1:26" x14ac:dyDescent="0.2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</row>
    <row r="351" spans="1:26" x14ac:dyDescent="0.2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</row>
    <row r="352" spans="1:26" x14ac:dyDescent="0.2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</row>
    <row r="353" spans="1:26" x14ac:dyDescent="0.2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</row>
    <row r="354" spans="1:26" x14ac:dyDescent="0.2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</row>
    <row r="355" spans="1:26" x14ac:dyDescent="0.2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</row>
    <row r="356" spans="1:26" x14ac:dyDescent="0.2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</row>
    <row r="357" spans="1:26" x14ac:dyDescent="0.2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</row>
    <row r="358" spans="1:26" x14ac:dyDescent="0.2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</row>
    <row r="359" spans="1:26" x14ac:dyDescent="0.2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</row>
    <row r="360" spans="1:26" x14ac:dyDescent="0.2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</row>
    <row r="361" spans="1:26" x14ac:dyDescent="0.2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</row>
    <row r="362" spans="1:26" x14ac:dyDescent="0.2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</row>
    <row r="363" spans="1:26" x14ac:dyDescent="0.2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</row>
    <row r="364" spans="1:26" x14ac:dyDescent="0.2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</row>
    <row r="365" spans="1:26" x14ac:dyDescent="0.2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</row>
    <row r="366" spans="1:26" x14ac:dyDescent="0.2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</row>
    <row r="367" spans="1:26" x14ac:dyDescent="0.2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</row>
    <row r="368" spans="1:26" x14ac:dyDescent="0.2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</row>
    <row r="369" spans="1:26" x14ac:dyDescent="0.2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</row>
    <row r="370" spans="1:26" x14ac:dyDescent="0.2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</row>
    <row r="371" spans="1:26" x14ac:dyDescent="0.2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</row>
    <row r="372" spans="1:26" x14ac:dyDescent="0.2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</row>
    <row r="373" spans="1:26" x14ac:dyDescent="0.2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</row>
    <row r="374" spans="1:26" x14ac:dyDescent="0.2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</row>
    <row r="375" spans="1:26" x14ac:dyDescent="0.2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</row>
    <row r="376" spans="1:26" x14ac:dyDescent="0.2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</row>
    <row r="377" spans="1:26" x14ac:dyDescent="0.2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</row>
    <row r="378" spans="1:26" x14ac:dyDescent="0.2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</row>
    <row r="379" spans="1:26" x14ac:dyDescent="0.2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</row>
    <row r="380" spans="1:26" x14ac:dyDescent="0.2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</row>
    <row r="381" spans="1:26" x14ac:dyDescent="0.2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</row>
    <row r="382" spans="1:26" x14ac:dyDescent="0.2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</row>
    <row r="383" spans="1:26" x14ac:dyDescent="0.2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</row>
    <row r="384" spans="1:26" x14ac:dyDescent="0.2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</row>
    <row r="385" spans="1:26" x14ac:dyDescent="0.2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</row>
    <row r="386" spans="1:26" x14ac:dyDescent="0.2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</row>
    <row r="387" spans="1:26" x14ac:dyDescent="0.2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</row>
    <row r="388" spans="1:26" x14ac:dyDescent="0.2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</row>
    <row r="389" spans="1:26" x14ac:dyDescent="0.2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</row>
    <row r="390" spans="1:26" x14ac:dyDescent="0.2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</row>
    <row r="391" spans="1:26" x14ac:dyDescent="0.2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</row>
    <row r="392" spans="1:26" x14ac:dyDescent="0.2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</row>
    <row r="393" spans="1:26" x14ac:dyDescent="0.2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</row>
    <row r="394" spans="1:26" x14ac:dyDescent="0.2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</row>
    <row r="395" spans="1:26" x14ac:dyDescent="0.2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</row>
    <row r="396" spans="1:26" x14ac:dyDescent="0.2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</row>
    <row r="397" spans="1:26" x14ac:dyDescent="0.2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</row>
    <row r="398" spans="1:26" x14ac:dyDescent="0.2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</row>
    <row r="399" spans="1:26" x14ac:dyDescent="0.2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</row>
    <row r="400" spans="1:26" x14ac:dyDescent="0.2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</row>
    <row r="401" spans="1:26" x14ac:dyDescent="0.2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</row>
    <row r="402" spans="1:26" x14ac:dyDescent="0.2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</row>
    <row r="403" spans="1:26" x14ac:dyDescent="0.2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</row>
    <row r="404" spans="1:26" x14ac:dyDescent="0.2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</row>
    <row r="405" spans="1:26" x14ac:dyDescent="0.2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</row>
    <row r="406" spans="1:26" x14ac:dyDescent="0.2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</row>
    <row r="407" spans="1:26" x14ac:dyDescent="0.2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</row>
    <row r="408" spans="1:26" x14ac:dyDescent="0.2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</row>
    <row r="409" spans="1:26" x14ac:dyDescent="0.2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</row>
    <row r="410" spans="1:26" x14ac:dyDescent="0.2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</row>
    <row r="411" spans="1:26" x14ac:dyDescent="0.2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</row>
    <row r="412" spans="1:26" x14ac:dyDescent="0.2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</row>
    <row r="413" spans="1:26" x14ac:dyDescent="0.2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</row>
    <row r="414" spans="1:26" x14ac:dyDescent="0.2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</row>
    <row r="415" spans="1:26" x14ac:dyDescent="0.2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</row>
    <row r="416" spans="1:26" x14ac:dyDescent="0.2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</row>
    <row r="417" spans="1:26" x14ac:dyDescent="0.2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</row>
    <row r="418" spans="1:26" x14ac:dyDescent="0.2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</row>
    <row r="419" spans="1:26" x14ac:dyDescent="0.2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</row>
    <row r="420" spans="1:26" x14ac:dyDescent="0.25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</row>
    <row r="421" spans="1:26" x14ac:dyDescent="0.25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</row>
    <row r="422" spans="1:26" x14ac:dyDescent="0.25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</row>
    <row r="423" spans="1:26" x14ac:dyDescent="0.25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</row>
    <row r="424" spans="1:26" x14ac:dyDescent="0.25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</row>
    <row r="425" spans="1:26" x14ac:dyDescent="0.25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</row>
    <row r="426" spans="1:26" x14ac:dyDescent="0.25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</row>
    <row r="427" spans="1:26" x14ac:dyDescent="0.25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</row>
    <row r="428" spans="1:26" x14ac:dyDescent="0.25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</row>
    <row r="429" spans="1:26" x14ac:dyDescent="0.25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</row>
    <row r="430" spans="1:26" x14ac:dyDescent="0.25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</row>
    <row r="431" spans="1:26" x14ac:dyDescent="0.25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</row>
    <row r="432" spans="1:26" x14ac:dyDescent="0.25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</row>
    <row r="433" spans="1:26" x14ac:dyDescent="0.25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</row>
    <row r="434" spans="1:26" x14ac:dyDescent="0.25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</row>
    <row r="435" spans="1:26" x14ac:dyDescent="0.25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</row>
    <row r="436" spans="1:26" x14ac:dyDescent="0.25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</row>
    <row r="437" spans="1:26" x14ac:dyDescent="0.25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</row>
    <row r="438" spans="1:26" x14ac:dyDescent="0.25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</row>
    <row r="439" spans="1:26" x14ac:dyDescent="0.25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</row>
    <row r="440" spans="1:26" x14ac:dyDescent="0.25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</row>
    <row r="441" spans="1:26" x14ac:dyDescent="0.25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</row>
    <row r="442" spans="1:26" x14ac:dyDescent="0.25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</row>
    <row r="443" spans="1:26" x14ac:dyDescent="0.25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</row>
    <row r="444" spans="1:26" x14ac:dyDescent="0.25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</row>
    <row r="445" spans="1:26" x14ac:dyDescent="0.25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</row>
    <row r="446" spans="1:26" x14ac:dyDescent="0.25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</row>
    <row r="447" spans="1:26" x14ac:dyDescent="0.25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</row>
    <row r="448" spans="1:26" x14ac:dyDescent="0.25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</row>
    <row r="449" spans="1:26" x14ac:dyDescent="0.25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</row>
    <row r="450" spans="1:26" x14ac:dyDescent="0.25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</row>
    <row r="451" spans="1:26" x14ac:dyDescent="0.25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</row>
    <row r="452" spans="1:26" x14ac:dyDescent="0.25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</row>
    <row r="453" spans="1:26" x14ac:dyDescent="0.25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</row>
    <row r="454" spans="1:26" x14ac:dyDescent="0.25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</row>
    <row r="455" spans="1:26" x14ac:dyDescent="0.25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</row>
    <row r="456" spans="1:26" x14ac:dyDescent="0.25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</row>
    <row r="457" spans="1:26" x14ac:dyDescent="0.25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</row>
    <row r="458" spans="1:26" x14ac:dyDescent="0.25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</row>
    <row r="459" spans="1:26" x14ac:dyDescent="0.25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</row>
    <row r="460" spans="1:26" x14ac:dyDescent="0.25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</row>
    <row r="461" spans="1:26" x14ac:dyDescent="0.25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</row>
    <row r="462" spans="1:26" x14ac:dyDescent="0.25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</row>
    <row r="463" spans="1:26" x14ac:dyDescent="0.25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</row>
    <row r="464" spans="1:26" x14ac:dyDescent="0.25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</row>
    <row r="465" spans="1:26" x14ac:dyDescent="0.25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</row>
    <row r="466" spans="1:26" x14ac:dyDescent="0.25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</row>
    <row r="467" spans="1:26" x14ac:dyDescent="0.25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</row>
    <row r="468" spans="1:26" x14ac:dyDescent="0.25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</row>
    <row r="469" spans="1:26" x14ac:dyDescent="0.25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</row>
    <row r="470" spans="1:26" x14ac:dyDescent="0.25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</row>
    <row r="471" spans="1:26" x14ac:dyDescent="0.25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</row>
    <row r="472" spans="1:26" x14ac:dyDescent="0.25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</row>
    <row r="473" spans="1:26" x14ac:dyDescent="0.25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</row>
    <row r="474" spans="1:26" x14ac:dyDescent="0.25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</row>
    <row r="475" spans="1:26" x14ac:dyDescent="0.25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</row>
    <row r="476" spans="1:26" x14ac:dyDescent="0.25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</row>
    <row r="477" spans="1:26" x14ac:dyDescent="0.25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</row>
    <row r="478" spans="1:26" x14ac:dyDescent="0.25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</row>
    <row r="479" spans="1:26" x14ac:dyDescent="0.25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</row>
    <row r="480" spans="1:26" x14ac:dyDescent="0.25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</row>
    <row r="481" spans="1:26" x14ac:dyDescent="0.25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</row>
    <row r="482" spans="1:26" x14ac:dyDescent="0.25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</row>
    <row r="483" spans="1:26" x14ac:dyDescent="0.25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</row>
    <row r="484" spans="1:26" x14ac:dyDescent="0.25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</row>
    <row r="485" spans="1:26" x14ac:dyDescent="0.25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</row>
    <row r="486" spans="1:26" x14ac:dyDescent="0.25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</row>
    <row r="487" spans="1:26" x14ac:dyDescent="0.25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</row>
    <row r="488" spans="1:26" x14ac:dyDescent="0.25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</row>
    <row r="489" spans="1:26" x14ac:dyDescent="0.25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</row>
    <row r="490" spans="1:26" x14ac:dyDescent="0.25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</row>
    <row r="491" spans="1:26" x14ac:dyDescent="0.25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</row>
    <row r="492" spans="1:26" x14ac:dyDescent="0.25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</row>
    <row r="493" spans="1:26" x14ac:dyDescent="0.25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</row>
    <row r="494" spans="1:26" x14ac:dyDescent="0.25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</row>
    <row r="495" spans="1:26" x14ac:dyDescent="0.25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</row>
    <row r="496" spans="1:26" x14ac:dyDescent="0.25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</row>
    <row r="497" spans="1:26" x14ac:dyDescent="0.25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</row>
    <row r="498" spans="1:26" x14ac:dyDescent="0.25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</row>
    <row r="499" spans="1:26" x14ac:dyDescent="0.25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</row>
    <row r="500" spans="1:26" x14ac:dyDescent="0.25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</row>
    <row r="501" spans="1:26" x14ac:dyDescent="0.25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</row>
    <row r="502" spans="1:26" x14ac:dyDescent="0.25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</row>
    <row r="503" spans="1:26" x14ac:dyDescent="0.25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</row>
    <row r="504" spans="1:26" x14ac:dyDescent="0.25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</row>
    <row r="505" spans="1:26" x14ac:dyDescent="0.25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</row>
    <row r="506" spans="1:26" x14ac:dyDescent="0.25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</row>
    <row r="507" spans="1:26" x14ac:dyDescent="0.25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</row>
    <row r="508" spans="1:26" x14ac:dyDescent="0.25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</row>
    <row r="509" spans="1:26" x14ac:dyDescent="0.25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</row>
    <row r="510" spans="1:26" x14ac:dyDescent="0.25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</row>
    <row r="511" spans="1:26" x14ac:dyDescent="0.25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</row>
    <row r="512" spans="1:26" x14ac:dyDescent="0.25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</row>
    <row r="513" spans="1:26" x14ac:dyDescent="0.25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</row>
    <row r="514" spans="1:26" x14ac:dyDescent="0.25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</row>
    <row r="515" spans="1:26" x14ac:dyDescent="0.25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</row>
    <row r="516" spans="1:26" x14ac:dyDescent="0.25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</row>
    <row r="517" spans="1:26" x14ac:dyDescent="0.25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</row>
    <row r="518" spans="1:26" x14ac:dyDescent="0.25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</row>
    <row r="519" spans="1:26" x14ac:dyDescent="0.25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</row>
    <row r="520" spans="1:26" x14ac:dyDescent="0.25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</row>
    <row r="521" spans="1:26" x14ac:dyDescent="0.25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</row>
    <row r="522" spans="1:26" x14ac:dyDescent="0.25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</row>
    <row r="523" spans="1:26" x14ac:dyDescent="0.25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</row>
    <row r="524" spans="1:26" x14ac:dyDescent="0.25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</row>
    <row r="525" spans="1:26" x14ac:dyDescent="0.25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</row>
    <row r="526" spans="1:26" x14ac:dyDescent="0.25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</row>
    <row r="527" spans="1:26" x14ac:dyDescent="0.25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</row>
    <row r="528" spans="1:26" x14ac:dyDescent="0.25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</row>
    <row r="529" spans="1:26" x14ac:dyDescent="0.25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</row>
    <row r="530" spans="1:26" x14ac:dyDescent="0.25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</row>
    <row r="531" spans="1:26" x14ac:dyDescent="0.25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</row>
    <row r="532" spans="1:26" x14ac:dyDescent="0.25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</row>
    <row r="533" spans="1:26" x14ac:dyDescent="0.25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</row>
    <row r="534" spans="1:26" x14ac:dyDescent="0.25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</row>
    <row r="535" spans="1:26" x14ac:dyDescent="0.25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</row>
    <row r="536" spans="1:26" x14ac:dyDescent="0.25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</row>
    <row r="537" spans="1:26" x14ac:dyDescent="0.25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</row>
    <row r="538" spans="1:26" x14ac:dyDescent="0.25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</row>
    <row r="539" spans="1:26" x14ac:dyDescent="0.25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</row>
    <row r="540" spans="1:26" x14ac:dyDescent="0.25">
      <c r="A540" s="92"/>
      <c r="B540" s="92"/>
      <c r="C540" s="92"/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</row>
    <row r="541" spans="1:26" x14ac:dyDescent="0.25">
      <c r="A541" s="92"/>
      <c r="B541" s="92"/>
      <c r="C541" s="92"/>
      <c r="D541" s="92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</row>
    <row r="542" spans="1:26" x14ac:dyDescent="0.25">
      <c r="A542" s="92"/>
      <c r="B542" s="92"/>
      <c r="C542" s="92"/>
      <c r="D542" s="92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</row>
    <row r="543" spans="1:26" x14ac:dyDescent="0.25">
      <c r="A543" s="92"/>
      <c r="B543" s="92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</row>
    <row r="544" spans="1:26" x14ac:dyDescent="0.25">
      <c r="A544" s="92"/>
      <c r="B544" s="92"/>
      <c r="C544" s="92"/>
      <c r="D544" s="92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</row>
    <row r="545" spans="1:26" x14ac:dyDescent="0.25">
      <c r="A545" s="92"/>
      <c r="B545" s="92"/>
      <c r="C545" s="92"/>
      <c r="D545" s="92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</row>
    <row r="546" spans="1:26" x14ac:dyDescent="0.25">
      <c r="A546" s="92"/>
      <c r="B546" s="92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</row>
    <row r="547" spans="1:26" x14ac:dyDescent="0.25">
      <c r="A547" s="92"/>
      <c r="B547" s="92"/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</row>
    <row r="548" spans="1:26" x14ac:dyDescent="0.25">
      <c r="A548" s="92"/>
      <c r="B548" s="92"/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</row>
    <row r="549" spans="1:26" x14ac:dyDescent="0.25">
      <c r="A549" s="92"/>
      <c r="B549" s="92"/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</row>
    <row r="550" spans="1:26" x14ac:dyDescent="0.25">
      <c r="A550" s="92"/>
      <c r="B550" s="92"/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</row>
    <row r="551" spans="1:26" x14ac:dyDescent="0.25">
      <c r="A551" s="92"/>
      <c r="B551" s="92"/>
      <c r="C551" s="92"/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</row>
    <row r="552" spans="1:26" x14ac:dyDescent="0.25">
      <c r="A552" s="92"/>
      <c r="B552" s="92"/>
      <c r="C552" s="92"/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</row>
    <row r="553" spans="1:26" x14ac:dyDescent="0.25">
      <c r="A553" s="92"/>
      <c r="B553" s="92"/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X553" s="92"/>
      <c r="Y553" s="92"/>
      <c r="Z553" s="92"/>
    </row>
    <row r="554" spans="1:26" x14ac:dyDescent="0.25">
      <c r="A554" s="92"/>
      <c r="B554" s="92"/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</row>
    <row r="555" spans="1:26" x14ac:dyDescent="0.25">
      <c r="A555" s="92"/>
      <c r="B555" s="92"/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</row>
    <row r="556" spans="1:26" x14ac:dyDescent="0.25">
      <c r="A556" s="92"/>
      <c r="B556" s="92"/>
      <c r="C556" s="92"/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</row>
    <row r="557" spans="1:26" x14ac:dyDescent="0.25">
      <c r="A557" s="92"/>
      <c r="B557" s="92"/>
      <c r="C557" s="92"/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X557" s="92"/>
      <c r="Y557" s="92"/>
      <c r="Z557" s="92"/>
    </row>
    <row r="558" spans="1:26" x14ac:dyDescent="0.25">
      <c r="A558" s="92"/>
      <c r="B558" s="92"/>
      <c r="C558" s="92"/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</row>
    <row r="559" spans="1:26" x14ac:dyDescent="0.25">
      <c r="A559" s="92"/>
      <c r="B559" s="92"/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</row>
    <row r="560" spans="1:26" x14ac:dyDescent="0.25">
      <c r="A560" s="92"/>
      <c r="B560" s="92"/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</row>
    <row r="561" spans="1:26" x14ac:dyDescent="0.25">
      <c r="A561" s="92"/>
      <c r="B561" s="92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</row>
    <row r="562" spans="1:26" x14ac:dyDescent="0.25">
      <c r="A562" s="92"/>
      <c r="B562" s="92"/>
      <c r="C562" s="92"/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</row>
    <row r="563" spans="1:26" x14ac:dyDescent="0.25">
      <c r="A563" s="92"/>
      <c r="B563" s="92"/>
      <c r="C563" s="92"/>
      <c r="D563" s="92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</row>
    <row r="564" spans="1:26" x14ac:dyDescent="0.25">
      <c r="A564" s="92"/>
      <c r="B564" s="92"/>
      <c r="C564" s="92"/>
      <c r="D564" s="92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</row>
    <row r="565" spans="1:26" x14ac:dyDescent="0.25">
      <c r="A565" s="92"/>
      <c r="B565" s="92"/>
      <c r="C565" s="92"/>
      <c r="D565" s="92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</row>
    <row r="566" spans="1:26" x14ac:dyDescent="0.25">
      <c r="A566" s="92"/>
      <c r="B566" s="92"/>
      <c r="C566" s="92"/>
      <c r="D566" s="92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</row>
    <row r="567" spans="1:26" x14ac:dyDescent="0.25">
      <c r="A567" s="92"/>
      <c r="B567" s="92"/>
      <c r="C567" s="92"/>
      <c r="D567" s="92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</row>
    <row r="568" spans="1:26" x14ac:dyDescent="0.25">
      <c r="A568" s="92"/>
      <c r="B568" s="92"/>
      <c r="C568" s="92"/>
      <c r="D568" s="92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</row>
    <row r="569" spans="1:26" x14ac:dyDescent="0.25">
      <c r="A569" s="92"/>
      <c r="B569" s="92"/>
      <c r="C569" s="92"/>
      <c r="D569" s="92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</row>
    <row r="570" spans="1:26" x14ac:dyDescent="0.25">
      <c r="A570" s="92"/>
      <c r="B570" s="92"/>
      <c r="C570" s="92"/>
      <c r="D570" s="92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</row>
    <row r="571" spans="1:26" x14ac:dyDescent="0.25">
      <c r="A571" s="92"/>
      <c r="B571" s="92"/>
      <c r="C571" s="92"/>
      <c r="D571" s="92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</row>
    <row r="572" spans="1:26" x14ac:dyDescent="0.25">
      <c r="A572" s="92"/>
      <c r="B572" s="92"/>
      <c r="C572" s="92"/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</row>
    <row r="573" spans="1:26" x14ac:dyDescent="0.25">
      <c r="A573" s="92"/>
      <c r="B573" s="92"/>
      <c r="C573" s="92"/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</row>
    <row r="574" spans="1:26" x14ac:dyDescent="0.25">
      <c r="A574" s="92"/>
      <c r="B574" s="92"/>
      <c r="C574" s="92"/>
      <c r="D574" s="92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</row>
    <row r="575" spans="1:26" x14ac:dyDescent="0.25">
      <c r="A575" s="92"/>
      <c r="B575" s="92"/>
      <c r="C575" s="92"/>
      <c r="D575" s="92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</row>
    <row r="576" spans="1:26" x14ac:dyDescent="0.25">
      <c r="A576" s="92"/>
      <c r="B576" s="92"/>
      <c r="C576" s="92"/>
      <c r="D576" s="92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</row>
    <row r="577" spans="1:26" x14ac:dyDescent="0.25">
      <c r="A577" s="92"/>
      <c r="B577" s="92"/>
      <c r="C577" s="92"/>
      <c r="D577" s="92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</row>
    <row r="578" spans="1:26" x14ac:dyDescent="0.25">
      <c r="A578" s="92"/>
      <c r="B578" s="92"/>
      <c r="C578" s="92"/>
      <c r="D578" s="92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</row>
    <row r="579" spans="1:26" x14ac:dyDescent="0.25">
      <c r="A579" s="92"/>
      <c r="B579" s="92"/>
      <c r="C579" s="92"/>
      <c r="D579" s="92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</row>
    <row r="580" spans="1:26" x14ac:dyDescent="0.25">
      <c r="A580" s="92"/>
      <c r="B580" s="92"/>
      <c r="C580" s="92"/>
      <c r="D580" s="92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</row>
    <row r="581" spans="1:26" x14ac:dyDescent="0.25">
      <c r="A581" s="92"/>
      <c r="B581" s="92"/>
      <c r="C581" s="92"/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</row>
    <row r="582" spans="1:26" x14ac:dyDescent="0.25">
      <c r="A582" s="92"/>
      <c r="B582" s="92"/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</row>
    <row r="583" spans="1:26" x14ac:dyDescent="0.25">
      <c r="A583" s="92"/>
      <c r="B583" s="92"/>
      <c r="C583" s="92"/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</row>
    <row r="584" spans="1:26" x14ac:dyDescent="0.25">
      <c r="A584" s="92"/>
      <c r="B584" s="92"/>
      <c r="C584" s="92"/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</row>
    <row r="585" spans="1:26" x14ac:dyDescent="0.25">
      <c r="A585" s="92"/>
      <c r="B585" s="92"/>
      <c r="C585" s="92"/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</row>
    <row r="586" spans="1:26" x14ac:dyDescent="0.25">
      <c r="A586" s="92"/>
      <c r="B586" s="92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</row>
    <row r="587" spans="1:26" x14ac:dyDescent="0.25">
      <c r="A587" s="92"/>
      <c r="B587" s="92"/>
      <c r="C587" s="92"/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</row>
    <row r="588" spans="1:26" x14ac:dyDescent="0.25">
      <c r="A588" s="92"/>
      <c r="B588" s="92"/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</row>
    <row r="589" spans="1:26" x14ac:dyDescent="0.25">
      <c r="A589" s="92"/>
      <c r="B589" s="92"/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</row>
    <row r="590" spans="1:26" x14ac:dyDescent="0.25">
      <c r="A590" s="92"/>
      <c r="B590" s="92"/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</row>
    <row r="591" spans="1:26" x14ac:dyDescent="0.25">
      <c r="A591" s="92"/>
      <c r="B591" s="92"/>
      <c r="C591" s="92"/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</row>
    <row r="592" spans="1:26" x14ac:dyDescent="0.25">
      <c r="A592" s="92"/>
      <c r="B592" s="92"/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</row>
    <row r="593" spans="1:26" x14ac:dyDescent="0.25">
      <c r="A593" s="92"/>
      <c r="B593" s="92"/>
      <c r="C593" s="92"/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</row>
    <row r="594" spans="1:26" x14ac:dyDescent="0.25">
      <c r="A594" s="92"/>
      <c r="B594" s="92"/>
      <c r="C594" s="92"/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</row>
    <row r="595" spans="1:26" x14ac:dyDescent="0.25">
      <c r="A595" s="92"/>
      <c r="B595" s="92"/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</row>
    <row r="596" spans="1:26" x14ac:dyDescent="0.25">
      <c r="A596" s="92"/>
      <c r="B596" s="92"/>
      <c r="C596" s="92"/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</row>
    <row r="597" spans="1:26" x14ac:dyDescent="0.25">
      <c r="A597" s="92"/>
      <c r="B597" s="92"/>
      <c r="C597" s="92"/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</row>
    <row r="598" spans="1:26" x14ac:dyDescent="0.25">
      <c r="A598" s="92"/>
      <c r="B598" s="92"/>
      <c r="C598" s="92"/>
      <c r="D598" s="92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</row>
    <row r="599" spans="1:26" x14ac:dyDescent="0.25">
      <c r="A599" s="92"/>
      <c r="B599" s="92"/>
      <c r="C599" s="92"/>
      <c r="D599" s="92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</row>
    <row r="600" spans="1:26" x14ac:dyDescent="0.25">
      <c r="A600" s="92"/>
      <c r="B600" s="92"/>
      <c r="C600" s="92"/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</row>
    <row r="601" spans="1:26" x14ac:dyDescent="0.25">
      <c r="A601" s="92"/>
      <c r="B601" s="92"/>
      <c r="C601" s="92"/>
      <c r="D601" s="92"/>
      <c r="E601" s="92"/>
      <c r="F601" s="92"/>
      <c r="G601" s="92"/>
      <c r="H601" s="92"/>
      <c r="I601" s="92"/>
      <c r="J601" s="92"/>
      <c r="K601" s="92"/>
      <c r="L601" s="92"/>
      <c r="M601" s="92"/>
      <c r="N601" s="92"/>
      <c r="O601" s="92"/>
      <c r="P601" s="92"/>
      <c r="Q601" s="92"/>
      <c r="R601" s="92"/>
      <c r="S601" s="92"/>
      <c r="T601" s="92"/>
      <c r="U601" s="92"/>
      <c r="V601" s="92"/>
      <c r="W601" s="92"/>
      <c r="X601" s="92"/>
      <c r="Y601" s="92"/>
      <c r="Z601" s="92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00000000-0002-0000-0900-000002000000}">
      <formula1>B6:Q6</formula1>
    </dataValidation>
  </dataValidations>
  <pageMargins left="0.75" right="0.75" top="1" bottom="1" header="0.5" footer="0.5"/>
  <pageSetup scale="7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91"/>
    <col min="4" max="4" width="18.28515625" style="91" customWidth="1"/>
    <col min="5" max="6" width="9.140625" style="91"/>
    <col min="7" max="7" width="18.28515625" style="91" customWidth="1"/>
    <col min="8" max="16384" width="9.140625" style="91"/>
  </cols>
  <sheetData>
    <row r="1" spans="1:26" ht="26.25" x14ac:dyDescent="0.4">
      <c r="B1" s="98" t="s">
        <v>309</v>
      </c>
      <c r="C1" s="98"/>
      <c r="D1" s="98"/>
      <c r="E1" s="98" t="s">
        <v>151</v>
      </c>
      <c r="F1" s="98"/>
      <c r="G1" s="98"/>
      <c r="H1" s="98" t="s">
        <v>195</v>
      </c>
    </row>
    <row r="3" spans="1:26" ht="20.25" x14ac:dyDescent="0.3">
      <c r="F3" s="103" t="str">
        <f>Season</f>
        <v>2022/2023</v>
      </c>
    </row>
    <row r="4" spans="1:26" x14ac:dyDescent="0.25">
      <c r="C4" s="91" t="s">
        <v>184</v>
      </c>
    </row>
    <row r="5" spans="1:26" x14ac:dyDescent="0.25">
      <c r="A5" s="92" t="s">
        <v>193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</row>
    <row r="6" spans="1:26" x14ac:dyDescent="0.25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</row>
    <row r="7" spans="1:26" ht="16.5" thickBot="1" x14ac:dyDescent="0.3">
      <c r="A7" s="92"/>
      <c r="B7" s="92" t="s">
        <v>147</v>
      </c>
      <c r="C7" s="92" t="s">
        <v>112</v>
      </c>
      <c r="D7" s="93"/>
      <c r="E7" s="93"/>
      <c r="F7" s="93"/>
      <c r="G7" s="93"/>
      <c r="H7" s="93"/>
      <c r="I7" s="93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x14ac:dyDescent="0.25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ht="16.5" thickBot="1" x14ac:dyDescent="0.3">
      <c r="A9" s="92"/>
      <c r="B9" s="92" t="s">
        <v>172</v>
      </c>
      <c r="C9" s="92" t="s">
        <v>112</v>
      </c>
      <c r="D9" s="93"/>
      <c r="E9" s="93"/>
      <c r="F9" s="93"/>
      <c r="G9" s="93"/>
      <c r="H9" s="93"/>
      <c r="I9" s="93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x14ac:dyDescent="0.25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ht="16.5" thickBot="1" x14ac:dyDescent="0.3">
      <c r="A11" s="92"/>
      <c r="B11" s="92" t="s">
        <v>127</v>
      </c>
      <c r="C11" s="92" t="s">
        <v>112</v>
      </c>
      <c r="D11" s="93"/>
      <c r="E11" s="93"/>
      <c r="F11" s="93"/>
      <c r="G11" s="93"/>
      <c r="H11" s="93"/>
      <c r="I11" s="93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x14ac:dyDescent="0.25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ht="16.5" thickBot="1" x14ac:dyDescent="0.3">
      <c r="A13" s="92"/>
      <c r="B13" s="92" t="s">
        <v>128</v>
      </c>
      <c r="C13" s="92" t="s">
        <v>112</v>
      </c>
      <c r="D13" s="93"/>
      <c r="E13" s="93"/>
      <c r="F13" s="93"/>
      <c r="G13" s="93"/>
      <c r="H13" s="93"/>
      <c r="I13" s="93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x14ac:dyDescent="0.25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ht="16.5" thickBot="1" x14ac:dyDescent="0.3">
      <c r="A15" s="92"/>
      <c r="B15" s="92" t="s">
        <v>129</v>
      </c>
      <c r="C15" s="92" t="s">
        <v>112</v>
      </c>
      <c r="D15" s="93"/>
      <c r="E15" s="93"/>
      <c r="F15" s="93"/>
      <c r="G15" s="93"/>
      <c r="H15" s="93"/>
      <c r="I15" s="93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x14ac:dyDescent="0.25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x14ac:dyDescent="0.25">
      <c r="A17" s="92" t="s">
        <v>194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x14ac:dyDescent="0.25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ht="16.5" thickBot="1" x14ac:dyDescent="0.3">
      <c r="A19" s="92"/>
      <c r="B19" s="92" t="s">
        <v>127</v>
      </c>
      <c r="C19" s="92" t="s">
        <v>112</v>
      </c>
      <c r="D19" s="93"/>
      <c r="E19" s="93"/>
      <c r="F19" s="93"/>
      <c r="G19" s="93"/>
      <c r="H19" s="93"/>
      <c r="I19" s="93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x14ac:dyDescent="0.25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ht="16.5" thickBot="1" x14ac:dyDescent="0.3">
      <c r="A21" s="92"/>
      <c r="B21" s="92" t="s">
        <v>128</v>
      </c>
      <c r="C21" s="92" t="s">
        <v>112</v>
      </c>
      <c r="D21" s="93"/>
      <c r="E21" s="93"/>
      <c r="F21" s="93"/>
      <c r="G21" s="93"/>
      <c r="H21" s="93"/>
      <c r="I21" s="93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x14ac:dyDescent="0.25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ht="16.5" thickBot="1" x14ac:dyDescent="0.3">
      <c r="A23" s="92"/>
      <c r="B23" s="92" t="s">
        <v>129</v>
      </c>
      <c r="C23" s="92" t="s">
        <v>112</v>
      </c>
      <c r="D23" s="93"/>
      <c r="E23" s="93"/>
      <c r="F23" s="93"/>
      <c r="G23" s="93"/>
      <c r="H23" s="93"/>
      <c r="I23" s="93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ht="16.5" thickBot="1" x14ac:dyDescent="0.3">
      <c r="A25" s="92"/>
      <c r="B25" s="92" t="s">
        <v>130</v>
      </c>
      <c r="C25" s="92" t="s">
        <v>340</v>
      </c>
      <c r="D25" s="93"/>
      <c r="E25" s="93"/>
      <c r="F25" s="93"/>
      <c r="G25" s="93"/>
      <c r="H25" s="93"/>
      <c r="I25" s="93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x14ac:dyDescent="0.25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ht="16.5" thickBot="1" x14ac:dyDescent="0.3">
      <c r="A27" s="92"/>
      <c r="B27" s="92" t="s">
        <v>131</v>
      </c>
      <c r="C27" s="92" t="s">
        <v>290</v>
      </c>
      <c r="D27" s="93"/>
      <c r="E27" s="93"/>
      <c r="F27" s="93"/>
      <c r="G27" s="93"/>
      <c r="H27" s="93"/>
      <c r="I27" s="93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x14ac:dyDescent="0.25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ht="16.5" thickBot="1" x14ac:dyDescent="0.3">
      <c r="A29" s="92"/>
      <c r="B29" s="92" t="s">
        <v>132</v>
      </c>
      <c r="C29" s="92" t="s">
        <v>290</v>
      </c>
      <c r="D29" s="93"/>
      <c r="E29" s="93"/>
      <c r="F29" s="93"/>
      <c r="G29" s="93"/>
      <c r="H29" s="93"/>
      <c r="I29" s="93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x14ac:dyDescent="0.25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ht="16.5" thickBot="1" x14ac:dyDescent="0.3">
      <c r="A31" s="92"/>
      <c r="B31" s="92" t="s">
        <v>133</v>
      </c>
      <c r="C31" s="92" t="s">
        <v>116</v>
      </c>
      <c r="D31" s="93"/>
      <c r="E31" s="93"/>
      <c r="F31" s="93"/>
      <c r="G31" s="93"/>
      <c r="H31" s="93"/>
      <c r="I31" s="93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x14ac:dyDescent="0.25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ht="16.5" thickBot="1" x14ac:dyDescent="0.3">
      <c r="A33" s="92"/>
      <c r="B33" s="92" t="s">
        <v>134</v>
      </c>
      <c r="C33" s="92" t="s">
        <v>106</v>
      </c>
      <c r="D33" s="93"/>
      <c r="E33" s="93"/>
      <c r="F33" s="93"/>
      <c r="G33" s="93"/>
      <c r="H33" s="93"/>
      <c r="I33" s="93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x14ac:dyDescent="0.25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ht="16.5" thickBot="1" x14ac:dyDescent="0.3">
      <c r="A35" s="92"/>
      <c r="B35" s="92" t="s">
        <v>135</v>
      </c>
      <c r="C35" s="92" t="s">
        <v>8</v>
      </c>
      <c r="D35" s="93"/>
      <c r="E35" s="93"/>
      <c r="F35" s="93"/>
      <c r="G35" s="93"/>
      <c r="H35" s="93"/>
      <c r="I35" s="93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x14ac:dyDescent="0.25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ht="16.5" thickBot="1" x14ac:dyDescent="0.3">
      <c r="A37" s="92"/>
      <c r="B37" s="92" t="s">
        <v>136</v>
      </c>
      <c r="C37" s="92" t="s">
        <v>186</v>
      </c>
      <c r="D37" s="93"/>
      <c r="E37" s="93"/>
      <c r="F37" s="93"/>
      <c r="G37" s="93"/>
      <c r="H37" s="93"/>
      <c r="I37" s="93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x14ac:dyDescent="0.25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x14ac:dyDescent="0.25">
      <c r="A39" s="92" t="s">
        <v>196</v>
      </c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x14ac:dyDescent="0.25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ht="16.5" thickBot="1" x14ac:dyDescent="0.3">
      <c r="A41" s="92"/>
      <c r="B41" s="92" t="s">
        <v>129</v>
      </c>
      <c r="C41" s="92" t="s">
        <v>340</v>
      </c>
      <c r="D41" s="93"/>
      <c r="E41" s="93"/>
      <c r="F41" s="93"/>
      <c r="G41" s="93"/>
      <c r="H41" s="93"/>
      <c r="I41" s="93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x14ac:dyDescent="0.25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ht="16.5" thickBot="1" x14ac:dyDescent="0.3">
      <c r="A43" s="92"/>
      <c r="B43" s="92" t="s">
        <v>130</v>
      </c>
      <c r="C43" s="92" t="s">
        <v>288</v>
      </c>
      <c r="D43" s="93"/>
      <c r="E43" s="93"/>
      <c r="F43" s="93"/>
      <c r="G43" s="93"/>
      <c r="H43" s="93"/>
      <c r="I43" s="93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x14ac:dyDescent="0.25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ht="16.5" thickBot="1" x14ac:dyDescent="0.3">
      <c r="A45" s="92"/>
      <c r="B45" s="92" t="s">
        <v>131</v>
      </c>
      <c r="C45" s="92" t="s">
        <v>8</v>
      </c>
      <c r="D45" s="93"/>
      <c r="E45" s="93"/>
      <c r="F45" s="93"/>
      <c r="G45" s="93"/>
      <c r="H45" s="93"/>
      <c r="I45" s="93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x14ac:dyDescent="0.25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ht="16.5" thickBot="1" x14ac:dyDescent="0.3">
      <c r="A47" s="92"/>
      <c r="B47" s="92" t="s">
        <v>132</v>
      </c>
      <c r="C47" s="92" t="s">
        <v>288</v>
      </c>
      <c r="D47" s="93"/>
      <c r="E47" s="93"/>
      <c r="F47" s="93"/>
      <c r="G47" s="93"/>
      <c r="H47" s="93"/>
      <c r="I47" s="93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x14ac:dyDescent="0.25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ht="16.5" thickBot="1" x14ac:dyDescent="0.3">
      <c r="A49" s="92"/>
      <c r="B49" s="92" t="s">
        <v>133</v>
      </c>
      <c r="C49" s="92" t="s">
        <v>122</v>
      </c>
      <c r="D49" s="93"/>
      <c r="E49" s="93"/>
      <c r="F49" s="93"/>
      <c r="G49" s="93"/>
      <c r="H49" s="93"/>
      <c r="I49" s="93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x14ac:dyDescent="0.25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ht="16.5" thickBot="1" x14ac:dyDescent="0.3">
      <c r="A51" s="92"/>
      <c r="B51" s="92" t="s">
        <v>134</v>
      </c>
      <c r="C51" s="92" t="s">
        <v>87</v>
      </c>
      <c r="D51" s="93"/>
      <c r="E51" s="93"/>
      <c r="F51" s="93"/>
      <c r="G51" s="93"/>
      <c r="H51" s="93"/>
      <c r="I51" s="93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x14ac:dyDescent="0.25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ht="16.5" thickBot="1" x14ac:dyDescent="0.3">
      <c r="A53" s="92"/>
      <c r="B53" s="92" t="s">
        <v>135</v>
      </c>
      <c r="C53" s="92" t="s">
        <v>8</v>
      </c>
      <c r="D53" s="93"/>
      <c r="E53" s="93"/>
      <c r="F53" s="93"/>
      <c r="G53" s="93"/>
      <c r="H53" s="93"/>
      <c r="I53" s="93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x14ac:dyDescent="0.25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x14ac:dyDescent="0.25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x14ac:dyDescent="0.25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x14ac:dyDescent="0.25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x14ac:dyDescent="0.25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x14ac:dyDescent="0.25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x14ac:dyDescent="0.25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x14ac:dyDescent="0.25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x14ac:dyDescent="0.25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x14ac:dyDescent="0.25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x14ac:dyDescent="0.25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x14ac:dyDescent="0.25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x14ac:dyDescent="0.25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x14ac:dyDescent="0.25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x14ac:dyDescent="0.25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x14ac:dyDescent="0.25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x14ac:dyDescent="0.25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x14ac:dyDescent="0.25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x14ac:dyDescent="0.25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x14ac:dyDescent="0.25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x14ac:dyDescent="0.25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x14ac:dyDescent="0.25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x14ac:dyDescent="0.25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x14ac:dyDescent="0.25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x14ac:dyDescent="0.25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x14ac:dyDescent="0.25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x14ac:dyDescent="0.25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x14ac:dyDescent="0.25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x14ac:dyDescent="0.25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x14ac:dyDescent="0.25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x14ac:dyDescent="0.25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x14ac:dyDescent="0.25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x14ac:dyDescent="0.25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x14ac:dyDescent="0.25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x14ac:dyDescent="0.25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x14ac:dyDescent="0.25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x14ac:dyDescent="0.25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x14ac:dyDescent="0.25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x14ac:dyDescent="0.25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x14ac:dyDescent="0.25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x14ac:dyDescent="0.25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</row>
    <row r="97" spans="1:26" x14ac:dyDescent="0.25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</row>
    <row r="98" spans="1:26" x14ac:dyDescent="0.25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</row>
    <row r="99" spans="1:26" x14ac:dyDescent="0.25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x14ac:dyDescent="0.25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x14ac:dyDescent="0.25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x14ac:dyDescent="0.25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x14ac:dyDescent="0.25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x14ac:dyDescent="0.25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x14ac:dyDescent="0.25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x14ac:dyDescent="0.25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x14ac:dyDescent="0.25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x14ac:dyDescent="0.25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x14ac:dyDescent="0.25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x14ac:dyDescent="0.25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x14ac:dyDescent="0.25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x14ac:dyDescent="0.25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x14ac:dyDescent="0.25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x14ac:dyDescent="0.25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x14ac:dyDescent="0.25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x14ac:dyDescent="0.25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x14ac:dyDescent="0.25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x14ac:dyDescent="0.25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x14ac:dyDescent="0.25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x14ac:dyDescent="0.25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x14ac:dyDescent="0.25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x14ac:dyDescent="0.25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x14ac:dyDescent="0.25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x14ac:dyDescent="0.25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x14ac:dyDescent="0.25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x14ac:dyDescent="0.25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x14ac:dyDescent="0.25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x14ac:dyDescent="0.25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x14ac:dyDescent="0.25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x14ac:dyDescent="0.25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x14ac:dyDescent="0.25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x14ac:dyDescent="0.25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x14ac:dyDescent="0.25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x14ac:dyDescent="0.25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x14ac:dyDescent="0.25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x14ac:dyDescent="0.25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x14ac:dyDescent="0.25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x14ac:dyDescent="0.25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x14ac:dyDescent="0.25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x14ac:dyDescent="0.25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x14ac:dyDescent="0.25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x14ac:dyDescent="0.25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x14ac:dyDescent="0.25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x14ac:dyDescent="0.25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x14ac:dyDescent="0.25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x14ac:dyDescent="0.25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x14ac:dyDescent="0.25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x14ac:dyDescent="0.25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x14ac:dyDescent="0.25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x14ac:dyDescent="0.25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x14ac:dyDescent="0.25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x14ac:dyDescent="0.25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x14ac:dyDescent="0.25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x14ac:dyDescent="0.25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x14ac:dyDescent="0.25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x14ac:dyDescent="0.25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x14ac:dyDescent="0.25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x14ac:dyDescent="0.25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x14ac:dyDescent="0.25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x14ac:dyDescent="0.25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x14ac:dyDescent="0.25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x14ac:dyDescent="0.25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x14ac:dyDescent="0.25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x14ac:dyDescent="0.25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x14ac:dyDescent="0.25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x14ac:dyDescent="0.25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x14ac:dyDescent="0.25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x14ac:dyDescent="0.25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x14ac:dyDescent="0.25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x14ac:dyDescent="0.25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x14ac:dyDescent="0.25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x14ac:dyDescent="0.25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x14ac:dyDescent="0.25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x14ac:dyDescent="0.25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x14ac:dyDescent="0.25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x14ac:dyDescent="0.25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x14ac:dyDescent="0.25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x14ac:dyDescent="0.25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x14ac:dyDescent="0.25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x14ac:dyDescent="0.25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x14ac:dyDescent="0.25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x14ac:dyDescent="0.25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x14ac:dyDescent="0.25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x14ac:dyDescent="0.25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x14ac:dyDescent="0.25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x14ac:dyDescent="0.25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x14ac:dyDescent="0.25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x14ac:dyDescent="0.25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x14ac:dyDescent="0.25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x14ac:dyDescent="0.25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x14ac:dyDescent="0.25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x14ac:dyDescent="0.25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x14ac:dyDescent="0.25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x14ac:dyDescent="0.25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x14ac:dyDescent="0.25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</row>
    <row r="196" spans="1:26" x14ac:dyDescent="0.25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</row>
    <row r="197" spans="1:26" x14ac:dyDescent="0.25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</row>
    <row r="198" spans="1:26" x14ac:dyDescent="0.25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</row>
    <row r="199" spans="1:26" x14ac:dyDescent="0.25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</row>
    <row r="200" spans="1:26" x14ac:dyDescent="0.25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</row>
    <row r="201" spans="1:26" x14ac:dyDescent="0.25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</row>
    <row r="202" spans="1:26" x14ac:dyDescent="0.25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</row>
    <row r="203" spans="1:26" x14ac:dyDescent="0.25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</row>
    <row r="204" spans="1:26" x14ac:dyDescent="0.25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</row>
    <row r="205" spans="1:26" x14ac:dyDescent="0.25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</row>
    <row r="206" spans="1:26" x14ac:dyDescent="0.25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</row>
    <row r="207" spans="1:26" x14ac:dyDescent="0.25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</row>
    <row r="208" spans="1:26" x14ac:dyDescent="0.25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</row>
    <row r="209" spans="1:26" x14ac:dyDescent="0.25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</row>
    <row r="210" spans="1:26" x14ac:dyDescent="0.25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</row>
    <row r="211" spans="1:26" x14ac:dyDescent="0.25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</row>
    <row r="212" spans="1:26" x14ac:dyDescent="0.25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</row>
    <row r="213" spans="1:26" x14ac:dyDescent="0.25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</row>
    <row r="214" spans="1:26" x14ac:dyDescent="0.25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</row>
    <row r="215" spans="1:26" x14ac:dyDescent="0.25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</row>
    <row r="216" spans="1:26" x14ac:dyDescent="0.25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</row>
    <row r="217" spans="1:26" x14ac:dyDescent="0.25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</row>
    <row r="218" spans="1:26" x14ac:dyDescent="0.25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</row>
    <row r="219" spans="1:26" x14ac:dyDescent="0.25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</row>
    <row r="220" spans="1:26" x14ac:dyDescent="0.25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</row>
    <row r="221" spans="1:26" x14ac:dyDescent="0.25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</row>
    <row r="222" spans="1:26" x14ac:dyDescent="0.25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</row>
    <row r="223" spans="1:26" x14ac:dyDescent="0.25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</row>
    <row r="224" spans="1:26" x14ac:dyDescent="0.25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</row>
    <row r="225" spans="1:26" x14ac:dyDescent="0.25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</row>
    <row r="226" spans="1:26" x14ac:dyDescent="0.25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</row>
    <row r="227" spans="1:26" x14ac:dyDescent="0.25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</row>
    <row r="228" spans="1:26" x14ac:dyDescent="0.25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</row>
    <row r="229" spans="1:26" x14ac:dyDescent="0.2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</row>
    <row r="230" spans="1:26" x14ac:dyDescent="0.2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</row>
    <row r="231" spans="1:26" x14ac:dyDescent="0.2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</row>
    <row r="232" spans="1:26" x14ac:dyDescent="0.2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</row>
    <row r="233" spans="1:26" x14ac:dyDescent="0.2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</row>
    <row r="234" spans="1:26" x14ac:dyDescent="0.2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</row>
    <row r="235" spans="1:26" x14ac:dyDescent="0.2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</row>
    <row r="236" spans="1:26" x14ac:dyDescent="0.2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</row>
    <row r="237" spans="1:26" x14ac:dyDescent="0.2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</row>
    <row r="238" spans="1:26" x14ac:dyDescent="0.2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</row>
    <row r="239" spans="1:26" x14ac:dyDescent="0.2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</row>
    <row r="240" spans="1:26" x14ac:dyDescent="0.2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</row>
    <row r="241" spans="1:26" x14ac:dyDescent="0.2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</row>
    <row r="242" spans="1:26" x14ac:dyDescent="0.2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</row>
    <row r="243" spans="1:26" x14ac:dyDescent="0.2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</row>
    <row r="244" spans="1:26" x14ac:dyDescent="0.2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</row>
    <row r="245" spans="1:26" x14ac:dyDescent="0.2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</row>
    <row r="246" spans="1:26" x14ac:dyDescent="0.2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</row>
    <row r="247" spans="1:26" x14ac:dyDescent="0.2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</row>
    <row r="248" spans="1:26" x14ac:dyDescent="0.2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</row>
    <row r="249" spans="1:26" x14ac:dyDescent="0.2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</row>
    <row r="250" spans="1:26" x14ac:dyDescent="0.2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</row>
    <row r="251" spans="1:26" x14ac:dyDescent="0.2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</row>
    <row r="252" spans="1:26" x14ac:dyDescent="0.2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</row>
    <row r="253" spans="1:26" x14ac:dyDescent="0.2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</row>
    <row r="254" spans="1:26" x14ac:dyDescent="0.2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</row>
    <row r="255" spans="1:26" x14ac:dyDescent="0.2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</row>
    <row r="256" spans="1:26" x14ac:dyDescent="0.2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</row>
    <row r="257" spans="1:26" x14ac:dyDescent="0.2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</row>
    <row r="258" spans="1:26" x14ac:dyDescent="0.2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</row>
    <row r="259" spans="1:26" x14ac:dyDescent="0.2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</row>
    <row r="260" spans="1:26" x14ac:dyDescent="0.2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</row>
    <row r="261" spans="1:26" x14ac:dyDescent="0.2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</row>
    <row r="262" spans="1:26" x14ac:dyDescent="0.2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</row>
    <row r="263" spans="1:26" x14ac:dyDescent="0.2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</row>
    <row r="264" spans="1:26" x14ac:dyDescent="0.2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</row>
    <row r="265" spans="1:26" x14ac:dyDescent="0.2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</row>
    <row r="266" spans="1:26" x14ac:dyDescent="0.2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</row>
    <row r="267" spans="1:26" x14ac:dyDescent="0.2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</row>
    <row r="268" spans="1:26" x14ac:dyDescent="0.2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</row>
    <row r="269" spans="1:26" x14ac:dyDescent="0.2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</row>
    <row r="270" spans="1:26" x14ac:dyDescent="0.2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</row>
    <row r="271" spans="1:26" x14ac:dyDescent="0.2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</row>
    <row r="272" spans="1:26" x14ac:dyDescent="0.2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</row>
    <row r="273" spans="1:26" x14ac:dyDescent="0.2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</row>
    <row r="274" spans="1:26" x14ac:dyDescent="0.2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</row>
    <row r="275" spans="1:26" x14ac:dyDescent="0.2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</row>
    <row r="276" spans="1:26" x14ac:dyDescent="0.2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</row>
    <row r="277" spans="1:26" x14ac:dyDescent="0.2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</row>
    <row r="278" spans="1:26" x14ac:dyDescent="0.2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</row>
    <row r="279" spans="1:26" x14ac:dyDescent="0.2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</row>
    <row r="280" spans="1:26" x14ac:dyDescent="0.2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</row>
    <row r="281" spans="1:26" x14ac:dyDescent="0.2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</row>
    <row r="282" spans="1:26" x14ac:dyDescent="0.2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</row>
    <row r="283" spans="1:26" x14ac:dyDescent="0.2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</row>
    <row r="284" spans="1:26" x14ac:dyDescent="0.2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</row>
    <row r="285" spans="1:26" x14ac:dyDescent="0.2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</row>
    <row r="286" spans="1:26" x14ac:dyDescent="0.2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</row>
    <row r="287" spans="1:26" x14ac:dyDescent="0.2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</row>
    <row r="288" spans="1:26" x14ac:dyDescent="0.2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</row>
    <row r="289" spans="1:26" x14ac:dyDescent="0.2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</row>
    <row r="290" spans="1:26" x14ac:dyDescent="0.2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</row>
    <row r="291" spans="1:26" x14ac:dyDescent="0.2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</row>
    <row r="292" spans="1:26" x14ac:dyDescent="0.2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</row>
    <row r="293" spans="1:26" x14ac:dyDescent="0.2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</row>
    <row r="294" spans="1:26" x14ac:dyDescent="0.2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</row>
    <row r="295" spans="1:26" x14ac:dyDescent="0.2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</row>
    <row r="296" spans="1:26" x14ac:dyDescent="0.2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</row>
    <row r="297" spans="1:26" x14ac:dyDescent="0.2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</row>
    <row r="298" spans="1:26" x14ac:dyDescent="0.2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</row>
    <row r="299" spans="1:26" x14ac:dyDescent="0.2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</row>
    <row r="300" spans="1:26" x14ac:dyDescent="0.2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</row>
    <row r="301" spans="1:26" x14ac:dyDescent="0.2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</row>
    <row r="302" spans="1:26" x14ac:dyDescent="0.2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</row>
    <row r="303" spans="1:26" x14ac:dyDescent="0.2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</row>
    <row r="304" spans="1:26" x14ac:dyDescent="0.2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</row>
    <row r="305" spans="1:26" x14ac:dyDescent="0.2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</row>
    <row r="306" spans="1:26" x14ac:dyDescent="0.2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</row>
    <row r="307" spans="1:26" x14ac:dyDescent="0.2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</row>
    <row r="308" spans="1:26" x14ac:dyDescent="0.2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</row>
    <row r="309" spans="1:26" x14ac:dyDescent="0.2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</row>
    <row r="310" spans="1:26" x14ac:dyDescent="0.2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</row>
    <row r="311" spans="1:26" x14ac:dyDescent="0.2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</row>
    <row r="312" spans="1:26" x14ac:dyDescent="0.2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</row>
    <row r="313" spans="1:26" x14ac:dyDescent="0.2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</row>
    <row r="314" spans="1:26" x14ac:dyDescent="0.2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</row>
    <row r="315" spans="1:26" x14ac:dyDescent="0.2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</row>
    <row r="316" spans="1:26" x14ac:dyDescent="0.2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</row>
    <row r="317" spans="1:26" x14ac:dyDescent="0.2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</row>
    <row r="318" spans="1:26" x14ac:dyDescent="0.2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</row>
    <row r="319" spans="1:26" x14ac:dyDescent="0.2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</row>
    <row r="320" spans="1:26" x14ac:dyDescent="0.2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</row>
    <row r="321" spans="1:26" x14ac:dyDescent="0.2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</row>
    <row r="322" spans="1:26" x14ac:dyDescent="0.2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</row>
    <row r="323" spans="1:26" x14ac:dyDescent="0.2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</row>
    <row r="324" spans="1:26" x14ac:dyDescent="0.2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</row>
    <row r="325" spans="1:26" x14ac:dyDescent="0.2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</row>
    <row r="326" spans="1:26" x14ac:dyDescent="0.2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</row>
    <row r="327" spans="1:26" x14ac:dyDescent="0.2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</row>
    <row r="328" spans="1:26" x14ac:dyDescent="0.2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</row>
    <row r="329" spans="1:26" x14ac:dyDescent="0.2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</row>
    <row r="330" spans="1:26" x14ac:dyDescent="0.2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</row>
    <row r="331" spans="1:26" x14ac:dyDescent="0.2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</row>
    <row r="332" spans="1:26" x14ac:dyDescent="0.2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</row>
    <row r="333" spans="1:26" x14ac:dyDescent="0.2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</row>
    <row r="334" spans="1:26" x14ac:dyDescent="0.2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</row>
    <row r="335" spans="1:26" x14ac:dyDescent="0.2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</row>
    <row r="336" spans="1:26" x14ac:dyDescent="0.2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</row>
    <row r="337" spans="1:26" x14ac:dyDescent="0.2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</row>
    <row r="338" spans="1:26" x14ac:dyDescent="0.2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</row>
    <row r="339" spans="1:26" x14ac:dyDescent="0.2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</row>
    <row r="340" spans="1:26" x14ac:dyDescent="0.2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</row>
    <row r="341" spans="1:26" x14ac:dyDescent="0.2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</row>
    <row r="342" spans="1:26" x14ac:dyDescent="0.2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</row>
    <row r="343" spans="1:26" x14ac:dyDescent="0.2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</row>
    <row r="344" spans="1:26" x14ac:dyDescent="0.2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</row>
    <row r="345" spans="1:26" x14ac:dyDescent="0.2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</row>
    <row r="346" spans="1:26" x14ac:dyDescent="0.2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</row>
    <row r="347" spans="1:26" x14ac:dyDescent="0.2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</row>
    <row r="348" spans="1:26" x14ac:dyDescent="0.2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</row>
    <row r="349" spans="1:26" x14ac:dyDescent="0.2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</row>
    <row r="350" spans="1:26" x14ac:dyDescent="0.2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</row>
    <row r="351" spans="1:26" x14ac:dyDescent="0.2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</row>
    <row r="352" spans="1:26" x14ac:dyDescent="0.2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</row>
    <row r="353" spans="1:26" x14ac:dyDescent="0.2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</row>
    <row r="354" spans="1:26" x14ac:dyDescent="0.2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</row>
    <row r="355" spans="1:26" x14ac:dyDescent="0.2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</row>
    <row r="356" spans="1:26" x14ac:dyDescent="0.2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</row>
    <row r="357" spans="1:26" x14ac:dyDescent="0.2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</row>
    <row r="358" spans="1:26" x14ac:dyDescent="0.2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</row>
    <row r="359" spans="1:26" x14ac:dyDescent="0.2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</row>
    <row r="360" spans="1:26" x14ac:dyDescent="0.2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</row>
    <row r="361" spans="1:26" x14ac:dyDescent="0.2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</row>
    <row r="362" spans="1:26" x14ac:dyDescent="0.2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</row>
    <row r="363" spans="1:26" x14ac:dyDescent="0.2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</row>
    <row r="364" spans="1:26" x14ac:dyDescent="0.2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</row>
    <row r="365" spans="1:26" x14ac:dyDescent="0.2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</row>
    <row r="366" spans="1:26" x14ac:dyDescent="0.2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</row>
    <row r="367" spans="1:26" x14ac:dyDescent="0.2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</row>
    <row r="368" spans="1:26" x14ac:dyDescent="0.2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</row>
    <row r="369" spans="1:26" x14ac:dyDescent="0.2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</row>
    <row r="370" spans="1:26" x14ac:dyDescent="0.2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</row>
    <row r="371" spans="1:26" x14ac:dyDescent="0.2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</row>
    <row r="372" spans="1:26" x14ac:dyDescent="0.2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</row>
    <row r="373" spans="1:26" x14ac:dyDescent="0.2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</row>
    <row r="374" spans="1:26" x14ac:dyDescent="0.2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</row>
    <row r="375" spans="1:26" x14ac:dyDescent="0.2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</row>
    <row r="376" spans="1:26" x14ac:dyDescent="0.2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</row>
    <row r="377" spans="1:26" x14ac:dyDescent="0.2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</row>
    <row r="378" spans="1:26" x14ac:dyDescent="0.2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</row>
    <row r="379" spans="1:26" x14ac:dyDescent="0.2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</row>
    <row r="380" spans="1:26" x14ac:dyDescent="0.2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</row>
    <row r="381" spans="1:26" x14ac:dyDescent="0.2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</row>
    <row r="382" spans="1:26" x14ac:dyDescent="0.2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</row>
    <row r="383" spans="1:26" x14ac:dyDescent="0.2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</row>
    <row r="384" spans="1:26" x14ac:dyDescent="0.2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</row>
    <row r="385" spans="1:26" x14ac:dyDescent="0.2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</row>
    <row r="386" spans="1:26" x14ac:dyDescent="0.2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</row>
    <row r="387" spans="1:26" x14ac:dyDescent="0.2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</row>
    <row r="388" spans="1:26" x14ac:dyDescent="0.2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</row>
    <row r="389" spans="1:26" x14ac:dyDescent="0.2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</row>
    <row r="390" spans="1:26" x14ac:dyDescent="0.2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</row>
    <row r="391" spans="1:26" x14ac:dyDescent="0.2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</row>
    <row r="392" spans="1:26" x14ac:dyDescent="0.2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</row>
    <row r="393" spans="1:26" x14ac:dyDescent="0.2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</row>
    <row r="394" spans="1:26" x14ac:dyDescent="0.2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</row>
    <row r="395" spans="1:26" x14ac:dyDescent="0.2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</row>
    <row r="396" spans="1:26" x14ac:dyDescent="0.2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</row>
    <row r="397" spans="1:26" x14ac:dyDescent="0.2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</row>
    <row r="398" spans="1:26" x14ac:dyDescent="0.2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</row>
    <row r="399" spans="1:26" x14ac:dyDescent="0.2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</row>
    <row r="400" spans="1:26" x14ac:dyDescent="0.2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</row>
    <row r="401" spans="1:26" x14ac:dyDescent="0.2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</row>
    <row r="402" spans="1:26" x14ac:dyDescent="0.2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</row>
    <row r="403" spans="1:26" x14ac:dyDescent="0.2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</row>
    <row r="404" spans="1:26" x14ac:dyDescent="0.2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</row>
    <row r="405" spans="1:26" x14ac:dyDescent="0.2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</row>
    <row r="406" spans="1:26" x14ac:dyDescent="0.2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</row>
    <row r="407" spans="1:26" x14ac:dyDescent="0.2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</row>
    <row r="408" spans="1:26" x14ac:dyDescent="0.2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</row>
    <row r="409" spans="1:26" x14ac:dyDescent="0.2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</row>
    <row r="410" spans="1:26" x14ac:dyDescent="0.2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</row>
    <row r="411" spans="1:26" x14ac:dyDescent="0.2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</row>
    <row r="412" spans="1:26" x14ac:dyDescent="0.2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</row>
    <row r="413" spans="1:26" x14ac:dyDescent="0.2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</row>
    <row r="414" spans="1:26" x14ac:dyDescent="0.2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</row>
    <row r="415" spans="1:26" x14ac:dyDescent="0.2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</row>
    <row r="416" spans="1:26" x14ac:dyDescent="0.2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</row>
    <row r="417" spans="1:26" x14ac:dyDescent="0.2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</row>
    <row r="418" spans="1:26" x14ac:dyDescent="0.2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</row>
    <row r="419" spans="1:26" x14ac:dyDescent="0.2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</row>
    <row r="420" spans="1:26" x14ac:dyDescent="0.25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</row>
    <row r="421" spans="1:26" x14ac:dyDescent="0.25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</row>
    <row r="422" spans="1:26" x14ac:dyDescent="0.25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</row>
    <row r="423" spans="1:26" x14ac:dyDescent="0.25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</row>
    <row r="424" spans="1:26" x14ac:dyDescent="0.25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</row>
    <row r="425" spans="1:26" x14ac:dyDescent="0.25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</row>
    <row r="426" spans="1:26" x14ac:dyDescent="0.25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</row>
    <row r="427" spans="1:26" x14ac:dyDescent="0.25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</row>
    <row r="428" spans="1:26" x14ac:dyDescent="0.25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</row>
    <row r="429" spans="1:26" x14ac:dyDescent="0.25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</row>
    <row r="430" spans="1:26" x14ac:dyDescent="0.25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</row>
    <row r="431" spans="1:26" x14ac:dyDescent="0.25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</row>
    <row r="432" spans="1:26" x14ac:dyDescent="0.25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</row>
    <row r="433" spans="1:26" x14ac:dyDescent="0.25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</row>
    <row r="434" spans="1:26" x14ac:dyDescent="0.25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</row>
    <row r="435" spans="1:26" x14ac:dyDescent="0.25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</row>
    <row r="436" spans="1:26" x14ac:dyDescent="0.25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</row>
    <row r="437" spans="1:26" x14ac:dyDescent="0.25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</row>
    <row r="438" spans="1:26" x14ac:dyDescent="0.25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</row>
    <row r="439" spans="1:26" x14ac:dyDescent="0.25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</row>
    <row r="440" spans="1:26" x14ac:dyDescent="0.25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</row>
    <row r="441" spans="1:26" x14ac:dyDescent="0.25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</row>
    <row r="442" spans="1:26" x14ac:dyDescent="0.25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</row>
    <row r="443" spans="1:26" x14ac:dyDescent="0.25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</row>
    <row r="444" spans="1:26" x14ac:dyDescent="0.25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</row>
    <row r="445" spans="1:26" x14ac:dyDescent="0.25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</row>
    <row r="446" spans="1:26" x14ac:dyDescent="0.25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</row>
    <row r="447" spans="1:26" x14ac:dyDescent="0.25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</row>
    <row r="448" spans="1:26" x14ac:dyDescent="0.25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</row>
    <row r="449" spans="1:26" x14ac:dyDescent="0.25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</row>
    <row r="450" spans="1:26" x14ac:dyDescent="0.25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</row>
    <row r="451" spans="1:26" x14ac:dyDescent="0.25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</row>
    <row r="452" spans="1:26" x14ac:dyDescent="0.25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</row>
    <row r="453" spans="1:26" x14ac:dyDescent="0.25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</row>
    <row r="454" spans="1:26" x14ac:dyDescent="0.25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</row>
    <row r="455" spans="1:26" x14ac:dyDescent="0.25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</row>
    <row r="456" spans="1:26" x14ac:dyDescent="0.25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</row>
    <row r="457" spans="1:26" x14ac:dyDescent="0.25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</row>
    <row r="458" spans="1:26" x14ac:dyDescent="0.25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</row>
    <row r="459" spans="1:26" x14ac:dyDescent="0.25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</row>
    <row r="460" spans="1:26" x14ac:dyDescent="0.25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</row>
    <row r="461" spans="1:26" x14ac:dyDescent="0.25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</row>
    <row r="462" spans="1:26" x14ac:dyDescent="0.25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</row>
    <row r="463" spans="1:26" x14ac:dyDescent="0.25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</row>
    <row r="464" spans="1:26" x14ac:dyDescent="0.25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</row>
    <row r="465" spans="1:26" x14ac:dyDescent="0.25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</row>
    <row r="466" spans="1:26" x14ac:dyDescent="0.25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</row>
    <row r="467" spans="1:26" x14ac:dyDescent="0.25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</row>
    <row r="468" spans="1:26" x14ac:dyDescent="0.25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</row>
    <row r="469" spans="1:26" x14ac:dyDescent="0.25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</row>
    <row r="470" spans="1:26" x14ac:dyDescent="0.25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</row>
    <row r="471" spans="1:26" x14ac:dyDescent="0.25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</row>
    <row r="472" spans="1:26" x14ac:dyDescent="0.25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</row>
    <row r="473" spans="1:26" x14ac:dyDescent="0.25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</row>
    <row r="474" spans="1:26" x14ac:dyDescent="0.25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</row>
    <row r="475" spans="1:26" x14ac:dyDescent="0.25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</row>
    <row r="476" spans="1:26" x14ac:dyDescent="0.25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</row>
    <row r="477" spans="1:26" x14ac:dyDescent="0.25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</row>
    <row r="478" spans="1:26" x14ac:dyDescent="0.25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</row>
    <row r="479" spans="1:26" x14ac:dyDescent="0.25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</row>
    <row r="480" spans="1:26" x14ac:dyDescent="0.25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</row>
    <row r="481" spans="1:26" x14ac:dyDescent="0.25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</row>
    <row r="482" spans="1:26" x14ac:dyDescent="0.25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</row>
    <row r="483" spans="1:26" x14ac:dyDescent="0.25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</row>
    <row r="484" spans="1:26" x14ac:dyDescent="0.25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</row>
    <row r="485" spans="1:26" x14ac:dyDescent="0.25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</row>
    <row r="486" spans="1:26" x14ac:dyDescent="0.25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</row>
    <row r="487" spans="1:26" x14ac:dyDescent="0.25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</row>
    <row r="488" spans="1:26" x14ac:dyDescent="0.25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</row>
    <row r="489" spans="1:26" x14ac:dyDescent="0.25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</row>
    <row r="490" spans="1:26" x14ac:dyDescent="0.25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</row>
    <row r="491" spans="1:26" x14ac:dyDescent="0.25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</row>
    <row r="492" spans="1:26" x14ac:dyDescent="0.25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</row>
    <row r="493" spans="1:26" x14ac:dyDescent="0.25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</row>
    <row r="494" spans="1:26" x14ac:dyDescent="0.25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</row>
    <row r="495" spans="1:26" x14ac:dyDescent="0.25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</row>
    <row r="496" spans="1:26" x14ac:dyDescent="0.25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</row>
    <row r="497" spans="1:26" x14ac:dyDescent="0.25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</row>
    <row r="498" spans="1:26" x14ac:dyDescent="0.25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</row>
    <row r="499" spans="1:26" x14ac:dyDescent="0.25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</row>
    <row r="500" spans="1:26" x14ac:dyDescent="0.25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</row>
    <row r="501" spans="1:26" x14ac:dyDescent="0.25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</row>
    <row r="502" spans="1:26" x14ac:dyDescent="0.25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</row>
    <row r="503" spans="1:26" x14ac:dyDescent="0.25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</row>
    <row r="504" spans="1:26" x14ac:dyDescent="0.25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</row>
    <row r="505" spans="1:26" x14ac:dyDescent="0.25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</row>
    <row r="506" spans="1:26" x14ac:dyDescent="0.25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</row>
    <row r="507" spans="1:26" x14ac:dyDescent="0.25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</row>
    <row r="508" spans="1:26" x14ac:dyDescent="0.25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</row>
    <row r="509" spans="1:26" x14ac:dyDescent="0.25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</row>
    <row r="510" spans="1:26" x14ac:dyDescent="0.25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</row>
    <row r="511" spans="1:26" x14ac:dyDescent="0.25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</row>
    <row r="512" spans="1:26" x14ac:dyDescent="0.25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</row>
    <row r="513" spans="1:26" x14ac:dyDescent="0.25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</row>
    <row r="514" spans="1:26" x14ac:dyDescent="0.25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</row>
    <row r="515" spans="1:26" x14ac:dyDescent="0.25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</row>
    <row r="516" spans="1:26" x14ac:dyDescent="0.25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</row>
    <row r="517" spans="1:26" x14ac:dyDescent="0.25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</row>
    <row r="518" spans="1:26" x14ac:dyDescent="0.25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</row>
    <row r="519" spans="1:26" x14ac:dyDescent="0.25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</row>
    <row r="520" spans="1:26" x14ac:dyDescent="0.25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</row>
    <row r="521" spans="1:26" x14ac:dyDescent="0.25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</row>
    <row r="522" spans="1:26" x14ac:dyDescent="0.25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</row>
    <row r="523" spans="1:26" x14ac:dyDescent="0.25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</row>
    <row r="524" spans="1:26" x14ac:dyDescent="0.25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</row>
    <row r="525" spans="1:26" x14ac:dyDescent="0.25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</row>
    <row r="526" spans="1:26" x14ac:dyDescent="0.25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</row>
    <row r="527" spans="1:26" x14ac:dyDescent="0.25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</row>
    <row r="528" spans="1:26" x14ac:dyDescent="0.25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</row>
    <row r="529" spans="1:26" x14ac:dyDescent="0.25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</row>
    <row r="530" spans="1:26" x14ac:dyDescent="0.25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</row>
    <row r="531" spans="1:26" x14ac:dyDescent="0.25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</row>
    <row r="532" spans="1:26" x14ac:dyDescent="0.25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</row>
    <row r="533" spans="1:26" x14ac:dyDescent="0.25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</row>
    <row r="534" spans="1:26" x14ac:dyDescent="0.25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</row>
    <row r="535" spans="1:26" x14ac:dyDescent="0.25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</row>
    <row r="536" spans="1:26" x14ac:dyDescent="0.25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</row>
    <row r="537" spans="1:26" x14ac:dyDescent="0.25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</row>
    <row r="538" spans="1:26" x14ac:dyDescent="0.25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</row>
    <row r="539" spans="1:26" x14ac:dyDescent="0.25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</row>
    <row r="540" spans="1:26" x14ac:dyDescent="0.25">
      <c r="A540" s="92"/>
      <c r="B540" s="92"/>
      <c r="C540" s="92"/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</row>
    <row r="541" spans="1:26" x14ac:dyDescent="0.25">
      <c r="A541" s="92"/>
      <c r="B541" s="92"/>
      <c r="C541" s="92"/>
      <c r="D541" s="92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</row>
    <row r="542" spans="1:26" x14ac:dyDescent="0.25">
      <c r="A542" s="92"/>
      <c r="B542" s="92"/>
      <c r="C542" s="92"/>
      <c r="D542" s="92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</row>
    <row r="543" spans="1:26" x14ac:dyDescent="0.25">
      <c r="A543" s="92"/>
      <c r="B543" s="92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</row>
    <row r="544" spans="1:26" x14ac:dyDescent="0.25">
      <c r="A544" s="92"/>
      <c r="B544" s="92"/>
      <c r="C544" s="92"/>
      <c r="D544" s="92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</row>
    <row r="545" spans="1:26" x14ac:dyDescent="0.25">
      <c r="A545" s="92"/>
      <c r="B545" s="92"/>
      <c r="C545" s="92"/>
      <c r="D545" s="92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</row>
    <row r="546" spans="1:26" x14ac:dyDescent="0.25">
      <c r="A546" s="92"/>
      <c r="B546" s="92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</row>
    <row r="547" spans="1:26" x14ac:dyDescent="0.25">
      <c r="A547" s="92"/>
      <c r="B547" s="92"/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</row>
    <row r="548" spans="1:26" x14ac:dyDescent="0.25">
      <c r="A548" s="92"/>
      <c r="B548" s="92"/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</row>
    <row r="549" spans="1:26" x14ac:dyDescent="0.25">
      <c r="A549" s="92"/>
      <c r="B549" s="92"/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</row>
    <row r="550" spans="1:26" x14ac:dyDescent="0.25">
      <c r="A550" s="92"/>
      <c r="B550" s="92"/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</row>
    <row r="551" spans="1:26" x14ac:dyDescent="0.25">
      <c r="A551" s="92"/>
      <c r="B551" s="92"/>
      <c r="C551" s="92"/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</row>
    <row r="552" spans="1:26" x14ac:dyDescent="0.25">
      <c r="A552" s="92"/>
      <c r="B552" s="92"/>
      <c r="C552" s="92"/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</row>
    <row r="553" spans="1:26" x14ac:dyDescent="0.25">
      <c r="A553" s="92"/>
      <c r="B553" s="92"/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X553" s="92"/>
      <c r="Y553" s="92"/>
      <c r="Z553" s="92"/>
    </row>
    <row r="554" spans="1:26" x14ac:dyDescent="0.25">
      <c r="A554" s="92"/>
      <c r="B554" s="92"/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</row>
    <row r="555" spans="1:26" x14ac:dyDescent="0.25">
      <c r="A555" s="92"/>
      <c r="B555" s="92"/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</row>
    <row r="556" spans="1:26" x14ac:dyDescent="0.25">
      <c r="A556" s="92"/>
      <c r="B556" s="92"/>
      <c r="C556" s="92"/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</row>
    <row r="557" spans="1:26" x14ac:dyDescent="0.25">
      <c r="A557" s="92"/>
      <c r="B557" s="92"/>
      <c r="C557" s="92"/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X557" s="92"/>
      <c r="Y557" s="92"/>
      <c r="Z557" s="92"/>
    </row>
    <row r="558" spans="1:26" x14ac:dyDescent="0.25">
      <c r="A558" s="92"/>
      <c r="B558" s="92"/>
      <c r="C558" s="92"/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</row>
    <row r="559" spans="1:26" x14ac:dyDescent="0.25">
      <c r="A559" s="92"/>
      <c r="B559" s="92"/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</row>
    <row r="560" spans="1:26" x14ac:dyDescent="0.25">
      <c r="A560" s="92"/>
      <c r="B560" s="92"/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</row>
    <row r="561" spans="1:26" x14ac:dyDescent="0.25">
      <c r="A561" s="92"/>
      <c r="B561" s="92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</row>
    <row r="562" spans="1:26" x14ac:dyDescent="0.25">
      <c r="A562" s="92"/>
      <c r="B562" s="92"/>
      <c r="C562" s="92"/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</row>
    <row r="563" spans="1:26" x14ac:dyDescent="0.25">
      <c r="A563" s="92"/>
      <c r="B563" s="92"/>
      <c r="C563" s="92"/>
      <c r="D563" s="92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</row>
    <row r="564" spans="1:26" x14ac:dyDescent="0.25">
      <c r="A564" s="92"/>
      <c r="B564" s="92"/>
      <c r="C564" s="92"/>
      <c r="D564" s="92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</row>
    <row r="565" spans="1:26" x14ac:dyDescent="0.25">
      <c r="A565" s="92"/>
      <c r="B565" s="92"/>
      <c r="C565" s="92"/>
      <c r="D565" s="92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</row>
    <row r="566" spans="1:26" x14ac:dyDescent="0.25">
      <c r="A566" s="92"/>
      <c r="B566" s="92"/>
      <c r="C566" s="92"/>
      <c r="D566" s="92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</row>
    <row r="567" spans="1:26" x14ac:dyDescent="0.25">
      <c r="A567" s="92"/>
      <c r="B567" s="92"/>
      <c r="C567" s="92"/>
      <c r="D567" s="92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</row>
    <row r="568" spans="1:26" x14ac:dyDescent="0.25">
      <c r="A568" s="92"/>
      <c r="B568" s="92"/>
      <c r="C568" s="92"/>
      <c r="D568" s="92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</row>
    <row r="569" spans="1:26" x14ac:dyDescent="0.25">
      <c r="A569" s="92"/>
      <c r="B569" s="92"/>
      <c r="C569" s="92"/>
      <c r="D569" s="92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</row>
    <row r="570" spans="1:26" x14ac:dyDescent="0.25">
      <c r="A570" s="92"/>
      <c r="B570" s="92"/>
      <c r="C570" s="92"/>
      <c r="D570" s="92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</row>
    <row r="571" spans="1:26" x14ac:dyDescent="0.25">
      <c r="A571" s="92"/>
      <c r="B571" s="92"/>
      <c r="C571" s="92"/>
      <c r="D571" s="92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</row>
    <row r="572" spans="1:26" x14ac:dyDescent="0.25">
      <c r="A572" s="92"/>
      <c r="B572" s="92"/>
      <c r="C572" s="92"/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</row>
    <row r="573" spans="1:26" x14ac:dyDescent="0.25">
      <c r="A573" s="92"/>
      <c r="B573" s="92"/>
      <c r="C573" s="92"/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</row>
    <row r="574" spans="1:26" x14ac:dyDescent="0.25">
      <c r="A574" s="92"/>
      <c r="B574" s="92"/>
      <c r="C574" s="92"/>
      <c r="D574" s="92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</row>
    <row r="575" spans="1:26" x14ac:dyDescent="0.25">
      <c r="A575" s="92"/>
      <c r="B575" s="92"/>
      <c r="C575" s="92"/>
      <c r="D575" s="92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</row>
    <row r="576" spans="1:26" x14ac:dyDescent="0.25">
      <c r="A576" s="92"/>
      <c r="B576" s="92"/>
      <c r="C576" s="92"/>
      <c r="D576" s="92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</row>
    <row r="577" spans="1:26" x14ac:dyDescent="0.25">
      <c r="A577" s="92"/>
      <c r="B577" s="92"/>
      <c r="C577" s="92"/>
      <c r="D577" s="92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</row>
    <row r="578" spans="1:26" x14ac:dyDescent="0.25">
      <c r="A578" s="92"/>
      <c r="B578" s="92"/>
      <c r="C578" s="92"/>
      <c r="D578" s="92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</row>
    <row r="579" spans="1:26" x14ac:dyDescent="0.25">
      <c r="A579" s="92"/>
      <c r="B579" s="92"/>
      <c r="C579" s="92"/>
      <c r="D579" s="92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</row>
    <row r="580" spans="1:26" x14ac:dyDescent="0.25">
      <c r="A580" s="92"/>
      <c r="B580" s="92"/>
      <c r="C580" s="92"/>
      <c r="D580" s="92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</row>
    <row r="581" spans="1:26" x14ac:dyDescent="0.25">
      <c r="A581" s="92"/>
      <c r="B581" s="92"/>
      <c r="C581" s="92"/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</row>
    <row r="582" spans="1:26" x14ac:dyDescent="0.25">
      <c r="A582" s="92"/>
      <c r="B582" s="92"/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</row>
    <row r="583" spans="1:26" x14ac:dyDescent="0.25">
      <c r="A583" s="92"/>
      <c r="B583" s="92"/>
      <c r="C583" s="92"/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</row>
    <row r="584" spans="1:26" x14ac:dyDescent="0.25">
      <c r="A584" s="92"/>
      <c r="B584" s="92"/>
      <c r="C584" s="92"/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</row>
    <row r="585" spans="1:26" x14ac:dyDescent="0.25">
      <c r="A585" s="92"/>
      <c r="B585" s="92"/>
      <c r="C585" s="92"/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</row>
    <row r="586" spans="1:26" x14ac:dyDescent="0.25">
      <c r="A586" s="92"/>
      <c r="B586" s="92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</row>
    <row r="587" spans="1:26" x14ac:dyDescent="0.25">
      <c r="A587" s="92"/>
      <c r="B587" s="92"/>
      <c r="C587" s="92"/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</row>
    <row r="588" spans="1:26" x14ac:dyDescent="0.25">
      <c r="A588" s="92"/>
      <c r="B588" s="92"/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</row>
    <row r="589" spans="1:26" x14ac:dyDescent="0.25">
      <c r="A589" s="92"/>
      <c r="B589" s="92"/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</row>
    <row r="590" spans="1:26" x14ac:dyDescent="0.25">
      <c r="A590" s="92"/>
      <c r="B590" s="92"/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</row>
    <row r="591" spans="1:26" x14ac:dyDescent="0.25">
      <c r="A591" s="92"/>
      <c r="B591" s="92"/>
      <c r="C591" s="92"/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</row>
    <row r="592" spans="1:26" x14ac:dyDescent="0.25">
      <c r="A592" s="92"/>
      <c r="B592" s="92"/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</row>
    <row r="593" spans="1:26" x14ac:dyDescent="0.25">
      <c r="A593" s="92"/>
      <c r="B593" s="92"/>
      <c r="C593" s="92"/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</row>
    <row r="594" spans="1:26" x14ac:dyDescent="0.25">
      <c r="A594" s="92"/>
      <c r="B594" s="92"/>
      <c r="C594" s="92"/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</row>
    <row r="595" spans="1:26" x14ac:dyDescent="0.25">
      <c r="A595" s="92"/>
      <c r="B595" s="92"/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</row>
    <row r="596" spans="1:26" x14ac:dyDescent="0.25">
      <c r="A596" s="92"/>
      <c r="B596" s="92"/>
      <c r="C596" s="92"/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</row>
    <row r="597" spans="1:26" x14ac:dyDescent="0.25">
      <c r="A597" s="92"/>
      <c r="B597" s="92"/>
      <c r="C597" s="92"/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</row>
    <row r="598" spans="1:26" x14ac:dyDescent="0.25">
      <c r="A598" s="92"/>
      <c r="B598" s="92"/>
      <c r="C598" s="92"/>
      <c r="D598" s="92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</row>
    <row r="599" spans="1:26" x14ac:dyDescent="0.25">
      <c r="A599" s="92"/>
      <c r="B599" s="92"/>
      <c r="C599" s="92"/>
      <c r="D599" s="92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</row>
    <row r="600" spans="1:26" x14ac:dyDescent="0.25">
      <c r="A600" s="92"/>
      <c r="B600" s="92"/>
      <c r="C600" s="92"/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91"/>
    <col min="4" max="4" width="16" style="91" customWidth="1"/>
    <col min="5" max="5" width="13.7109375" style="91" customWidth="1"/>
    <col min="6" max="6" width="9.140625" style="91"/>
    <col min="7" max="7" width="27.42578125" style="91" customWidth="1"/>
    <col min="8" max="16384" width="9.140625" style="91"/>
  </cols>
  <sheetData>
    <row r="1" spans="1:26" ht="26.25" x14ac:dyDescent="0.4">
      <c r="B1" s="98" t="s">
        <v>309</v>
      </c>
      <c r="C1" s="98"/>
      <c r="D1" s="98"/>
      <c r="E1" s="98" t="s">
        <v>197</v>
      </c>
      <c r="F1" s="98"/>
      <c r="G1" s="98"/>
      <c r="H1" s="98" t="s">
        <v>195</v>
      </c>
    </row>
    <row r="3" spans="1:26" ht="20.25" x14ac:dyDescent="0.3">
      <c r="F3" s="103" t="str">
        <f>Season</f>
        <v>2022/2023</v>
      </c>
    </row>
    <row r="4" spans="1:26" x14ac:dyDescent="0.25">
      <c r="C4" s="91" t="s">
        <v>184</v>
      </c>
    </row>
    <row r="5" spans="1:26" x14ac:dyDescent="0.25">
      <c r="A5" s="92" t="s">
        <v>193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</row>
    <row r="6" spans="1:26" x14ac:dyDescent="0.25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</row>
    <row r="7" spans="1:26" ht="16.5" thickBot="1" x14ac:dyDescent="0.3">
      <c r="A7" s="92"/>
      <c r="B7" s="92" t="s">
        <v>147</v>
      </c>
      <c r="C7" s="92" t="s">
        <v>55</v>
      </c>
      <c r="D7" s="93"/>
      <c r="E7" s="93"/>
      <c r="F7" s="93"/>
      <c r="G7" s="93"/>
      <c r="H7" s="93"/>
      <c r="I7" s="93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x14ac:dyDescent="0.25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ht="16.5" thickBot="1" x14ac:dyDescent="0.3">
      <c r="A9" s="92"/>
      <c r="B9" s="92" t="s">
        <v>172</v>
      </c>
      <c r="C9" s="92" t="s">
        <v>55</v>
      </c>
      <c r="D9" s="93"/>
      <c r="E9" s="93"/>
      <c r="F9" s="93"/>
      <c r="G9" s="93"/>
      <c r="H9" s="93"/>
      <c r="I9" s="93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x14ac:dyDescent="0.25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ht="16.5" thickBot="1" x14ac:dyDescent="0.3">
      <c r="A11" s="92"/>
      <c r="B11" s="92" t="s">
        <v>127</v>
      </c>
      <c r="C11" s="92" t="s">
        <v>55</v>
      </c>
      <c r="D11" s="93"/>
      <c r="E11" s="93"/>
      <c r="F11" s="93"/>
      <c r="G11" s="93"/>
      <c r="H11" s="93"/>
      <c r="I11" s="93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x14ac:dyDescent="0.25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ht="16.5" thickBot="1" x14ac:dyDescent="0.3">
      <c r="A13" s="92"/>
      <c r="B13" s="92" t="s">
        <v>128</v>
      </c>
      <c r="C13" s="92" t="s">
        <v>55</v>
      </c>
      <c r="D13" s="93"/>
      <c r="E13" s="93"/>
      <c r="F13" s="93"/>
      <c r="G13" s="93"/>
      <c r="H13" s="93"/>
      <c r="I13" s="93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x14ac:dyDescent="0.25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ht="16.5" thickBot="1" x14ac:dyDescent="0.3">
      <c r="A15" s="92"/>
      <c r="B15" s="92" t="s">
        <v>129</v>
      </c>
      <c r="C15" s="92" t="s">
        <v>55</v>
      </c>
      <c r="D15" s="93"/>
      <c r="E15" s="93"/>
      <c r="F15" s="93"/>
      <c r="G15" s="93"/>
      <c r="H15" s="93"/>
      <c r="I15" s="93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x14ac:dyDescent="0.25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x14ac:dyDescent="0.25">
      <c r="A17" s="92" t="s">
        <v>194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x14ac:dyDescent="0.25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ht="16.5" thickBot="1" x14ac:dyDescent="0.3">
      <c r="A19" s="92"/>
      <c r="B19" s="92" t="s">
        <v>127</v>
      </c>
      <c r="C19" s="92" t="s">
        <v>340</v>
      </c>
      <c r="D19" s="93"/>
      <c r="E19" s="93"/>
      <c r="F19" s="93"/>
      <c r="G19" s="93"/>
      <c r="H19" s="93"/>
      <c r="I19" s="93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x14ac:dyDescent="0.25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ht="16.5" thickBot="1" x14ac:dyDescent="0.3">
      <c r="A21" s="92"/>
      <c r="B21" s="92" t="s">
        <v>128</v>
      </c>
      <c r="C21" s="92" t="s">
        <v>340</v>
      </c>
      <c r="D21" s="93"/>
      <c r="E21" s="93"/>
      <c r="F21" s="93"/>
      <c r="G21" s="93"/>
      <c r="H21" s="93"/>
      <c r="I21" s="93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x14ac:dyDescent="0.25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ht="16.5" thickBot="1" x14ac:dyDescent="0.3">
      <c r="A23" s="92"/>
      <c r="B23" s="92" t="s">
        <v>129</v>
      </c>
      <c r="C23" s="92" t="s">
        <v>340</v>
      </c>
      <c r="D23" s="93"/>
      <c r="E23" s="93"/>
      <c r="F23" s="93"/>
      <c r="G23" s="93"/>
      <c r="H23" s="93"/>
      <c r="I23" s="93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ht="16.5" thickBot="1" x14ac:dyDescent="0.3">
      <c r="A25" s="92"/>
      <c r="B25" s="92" t="s">
        <v>130</v>
      </c>
      <c r="C25" s="92" t="s">
        <v>117</v>
      </c>
      <c r="D25" s="93"/>
      <c r="E25" s="93"/>
      <c r="F25" s="93"/>
      <c r="G25" s="93"/>
      <c r="H25" s="93"/>
      <c r="I25" s="93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x14ac:dyDescent="0.25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ht="16.5" thickBot="1" x14ac:dyDescent="0.3">
      <c r="A27" s="92"/>
      <c r="B27" s="92" t="s">
        <v>131</v>
      </c>
      <c r="C27" s="92" t="s">
        <v>122</v>
      </c>
      <c r="D27" s="93"/>
      <c r="E27" s="93"/>
      <c r="F27" s="93"/>
      <c r="G27" s="93"/>
      <c r="H27" s="93"/>
      <c r="I27" s="93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x14ac:dyDescent="0.25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ht="16.5" thickBot="1" x14ac:dyDescent="0.3">
      <c r="A29" s="92"/>
      <c r="B29" s="92" t="s">
        <v>132</v>
      </c>
      <c r="C29" s="92" t="s">
        <v>122</v>
      </c>
      <c r="D29" s="93"/>
      <c r="E29" s="93"/>
      <c r="F29" s="93"/>
      <c r="G29" s="93"/>
      <c r="H29" s="93"/>
      <c r="I29" s="93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x14ac:dyDescent="0.25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ht="16.5" thickBot="1" x14ac:dyDescent="0.3">
      <c r="A31" s="92"/>
      <c r="B31" s="92" t="s">
        <v>133</v>
      </c>
      <c r="C31" s="92" t="s">
        <v>111</v>
      </c>
      <c r="D31" s="93"/>
      <c r="E31" s="93"/>
      <c r="F31" s="93"/>
      <c r="G31" s="93"/>
      <c r="H31" s="93"/>
      <c r="I31" s="93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x14ac:dyDescent="0.25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ht="16.5" thickBot="1" x14ac:dyDescent="0.3">
      <c r="A33" s="92"/>
      <c r="B33" s="92" t="s">
        <v>134</v>
      </c>
      <c r="C33" s="92" t="s">
        <v>45</v>
      </c>
      <c r="D33" s="93"/>
      <c r="E33" s="93"/>
      <c r="F33" s="93"/>
      <c r="G33" s="93"/>
      <c r="H33" s="93"/>
      <c r="I33" s="93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x14ac:dyDescent="0.25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ht="16.5" thickBot="1" x14ac:dyDescent="0.3">
      <c r="A35" s="92"/>
      <c r="B35" s="92" t="s">
        <v>135</v>
      </c>
      <c r="C35" s="92" t="s">
        <v>116</v>
      </c>
      <c r="D35" s="93"/>
      <c r="E35" s="93"/>
      <c r="F35" s="93"/>
      <c r="G35" s="93"/>
      <c r="H35" s="93"/>
      <c r="I35" s="93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x14ac:dyDescent="0.25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ht="16.5" thickBot="1" x14ac:dyDescent="0.3">
      <c r="A37" s="92"/>
      <c r="B37" s="92" t="s">
        <v>136</v>
      </c>
      <c r="C37" s="92" t="s">
        <v>111</v>
      </c>
      <c r="D37" s="93"/>
      <c r="E37" s="93"/>
      <c r="F37" s="93"/>
      <c r="G37" s="93"/>
      <c r="H37" s="93"/>
      <c r="I37" s="93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x14ac:dyDescent="0.25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x14ac:dyDescent="0.25">
      <c r="A39" s="92" t="s">
        <v>196</v>
      </c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x14ac:dyDescent="0.25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ht="16.5" thickBot="1" x14ac:dyDescent="0.3">
      <c r="A41" s="92"/>
      <c r="B41" s="92" t="s">
        <v>129</v>
      </c>
      <c r="C41" s="92" t="s">
        <v>290</v>
      </c>
      <c r="D41" s="93"/>
      <c r="E41" s="93"/>
      <c r="F41" s="93"/>
      <c r="G41" s="93"/>
      <c r="H41" s="93"/>
      <c r="I41" s="93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x14ac:dyDescent="0.25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ht="16.5" thickBot="1" x14ac:dyDescent="0.3">
      <c r="A43" s="92"/>
      <c r="B43" s="92" t="s">
        <v>130</v>
      </c>
      <c r="C43" s="92" t="s">
        <v>117</v>
      </c>
      <c r="D43" s="93"/>
      <c r="E43" s="93"/>
      <c r="F43" s="93"/>
      <c r="G43" s="93"/>
      <c r="H43" s="93"/>
      <c r="I43" s="93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x14ac:dyDescent="0.25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ht="16.5" thickBot="1" x14ac:dyDescent="0.3">
      <c r="A45" s="92"/>
      <c r="B45" s="92" t="s">
        <v>131</v>
      </c>
      <c r="C45" s="92" t="s">
        <v>340</v>
      </c>
      <c r="D45" s="93"/>
      <c r="E45" s="93"/>
      <c r="F45" s="93"/>
      <c r="G45" s="93"/>
      <c r="H45" s="93"/>
      <c r="I45" s="93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x14ac:dyDescent="0.25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ht="16.5" thickBot="1" x14ac:dyDescent="0.3">
      <c r="A47" s="92"/>
      <c r="B47" s="92" t="s">
        <v>132</v>
      </c>
      <c r="C47" s="92" t="s">
        <v>340</v>
      </c>
      <c r="D47" s="93"/>
      <c r="E47" s="93"/>
      <c r="F47" s="93"/>
      <c r="G47" s="93"/>
      <c r="H47" s="93"/>
      <c r="I47" s="93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x14ac:dyDescent="0.25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ht="16.5" thickBot="1" x14ac:dyDescent="0.3">
      <c r="A49" s="92"/>
      <c r="B49" s="92" t="s">
        <v>133</v>
      </c>
      <c r="C49" s="92" t="s">
        <v>186</v>
      </c>
      <c r="D49" s="93"/>
      <c r="E49" s="93"/>
      <c r="F49" s="93"/>
      <c r="G49" s="93"/>
      <c r="H49" s="93"/>
      <c r="I49" s="93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x14ac:dyDescent="0.25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ht="16.5" thickBot="1" x14ac:dyDescent="0.3">
      <c r="A51" s="92"/>
      <c r="B51" s="92" t="s">
        <v>134</v>
      </c>
      <c r="C51" s="92" t="s">
        <v>111</v>
      </c>
      <c r="D51" s="93"/>
      <c r="E51" s="93"/>
      <c r="F51" s="93"/>
      <c r="G51" s="93"/>
      <c r="H51" s="93"/>
      <c r="I51" s="93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x14ac:dyDescent="0.25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ht="16.5" thickBot="1" x14ac:dyDescent="0.3">
      <c r="A53" s="92"/>
      <c r="B53" s="92" t="s">
        <v>135</v>
      </c>
      <c r="C53" s="92" t="s">
        <v>29</v>
      </c>
      <c r="D53" s="93"/>
      <c r="E53" s="93"/>
      <c r="F53" s="93"/>
      <c r="G53" s="93"/>
      <c r="H53" s="93"/>
      <c r="I53" s="93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x14ac:dyDescent="0.25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x14ac:dyDescent="0.25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x14ac:dyDescent="0.25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x14ac:dyDescent="0.25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x14ac:dyDescent="0.25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x14ac:dyDescent="0.25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x14ac:dyDescent="0.25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x14ac:dyDescent="0.25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x14ac:dyDescent="0.25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x14ac:dyDescent="0.25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x14ac:dyDescent="0.25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x14ac:dyDescent="0.25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x14ac:dyDescent="0.25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x14ac:dyDescent="0.25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x14ac:dyDescent="0.25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x14ac:dyDescent="0.25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x14ac:dyDescent="0.25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x14ac:dyDescent="0.25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x14ac:dyDescent="0.25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x14ac:dyDescent="0.25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x14ac:dyDescent="0.25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x14ac:dyDescent="0.25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x14ac:dyDescent="0.25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x14ac:dyDescent="0.25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x14ac:dyDescent="0.25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x14ac:dyDescent="0.25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x14ac:dyDescent="0.25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x14ac:dyDescent="0.25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x14ac:dyDescent="0.25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x14ac:dyDescent="0.25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x14ac:dyDescent="0.25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x14ac:dyDescent="0.25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x14ac:dyDescent="0.25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x14ac:dyDescent="0.25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x14ac:dyDescent="0.25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x14ac:dyDescent="0.25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x14ac:dyDescent="0.25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x14ac:dyDescent="0.25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x14ac:dyDescent="0.25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x14ac:dyDescent="0.25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x14ac:dyDescent="0.25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</row>
    <row r="97" spans="1:26" x14ac:dyDescent="0.25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</row>
    <row r="98" spans="1:26" x14ac:dyDescent="0.25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</row>
    <row r="99" spans="1:26" x14ac:dyDescent="0.25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x14ac:dyDescent="0.25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x14ac:dyDescent="0.25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x14ac:dyDescent="0.25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x14ac:dyDescent="0.25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x14ac:dyDescent="0.25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x14ac:dyDescent="0.25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x14ac:dyDescent="0.25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x14ac:dyDescent="0.25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x14ac:dyDescent="0.25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x14ac:dyDescent="0.25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x14ac:dyDescent="0.25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x14ac:dyDescent="0.25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x14ac:dyDescent="0.25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x14ac:dyDescent="0.25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x14ac:dyDescent="0.25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x14ac:dyDescent="0.25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x14ac:dyDescent="0.25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x14ac:dyDescent="0.25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x14ac:dyDescent="0.25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x14ac:dyDescent="0.25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x14ac:dyDescent="0.25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x14ac:dyDescent="0.25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x14ac:dyDescent="0.25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x14ac:dyDescent="0.25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x14ac:dyDescent="0.25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x14ac:dyDescent="0.25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x14ac:dyDescent="0.25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x14ac:dyDescent="0.25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x14ac:dyDescent="0.25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x14ac:dyDescent="0.25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x14ac:dyDescent="0.25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x14ac:dyDescent="0.25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x14ac:dyDescent="0.25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x14ac:dyDescent="0.25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x14ac:dyDescent="0.25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x14ac:dyDescent="0.25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x14ac:dyDescent="0.25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x14ac:dyDescent="0.25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x14ac:dyDescent="0.25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x14ac:dyDescent="0.25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x14ac:dyDescent="0.25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x14ac:dyDescent="0.25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x14ac:dyDescent="0.25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x14ac:dyDescent="0.25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x14ac:dyDescent="0.25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x14ac:dyDescent="0.25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x14ac:dyDescent="0.25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x14ac:dyDescent="0.25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x14ac:dyDescent="0.25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x14ac:dyDescent="0.25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x14ac:dyDescent="0.25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x14ac:dyDescent="0.25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x14ac:dyDescent="0.25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x14ac:dyDescent="0.25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x14ac:dyDescent="0.25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x14ac:dyDescent="0.25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x14ac:dyDescent="0.25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x14ac:dyDescent="0.25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x14ac:dyDescent="0.25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x14ac:dyDescent="0.25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x14ac:dyDescent="0.25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x14ac:dyDescent="0.25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x14ac:dyDescent="0.25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x14ac:dyDescent="0.25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x14ac:dyDescent="0.25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x14ac:dyDescent="0.25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x14ac:dyDescent="0.25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x14ac:dyDescent="0.25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x14ac:dyDescent="0.25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x14ac:dyDescent="0.25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x14ac:dyDescent="0.25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x14ac:dyDescent="0.25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x14ac:dyDescent="0.25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x14ac:dyDescent="0.25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x14ac:dyDescent="0.25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x14ac:dyDescent="0.25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x14ac:dyDescent="0.25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x14ac:dyDescent="0.25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x14ac:dyDescent="0.25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x14ac:dyDescent="0.25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x14ac:dyDescent="0.25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x14ac:dyDescent="0.25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x14ac:dyDescent="0.25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x14ac:dyDescent="0.25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x14ac:dyDescent="0.25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x14ac:dyDescent="0.25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x14ac:dyDescent="0.25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x14ac:dyDescent="0.25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x14ac:dyDescent="0.25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x14ac:dyDescent="0.25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x14ac:dyDescent="0.25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x14ac:dyDescent="0.25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x14ac:dyDescent="0.25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x14ac:dyDescent="0.25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x14ac:dyDescent="0.25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x14ac:dyDescent="0.25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</row>
    <row r="196" spans="1:26" x14ac:dyDescent="0.25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</row>
    <row r="197" spans="1:26" x14ac:dyDescent="0.25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</row>
    <row r="198" spans="1:26" x14ac:dyDescent="0.25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</row>
    <row r="199" spans="1:26" x14ac:dyDescent="0.25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</row>
    <row r="200" spans="1:26" x14ac:dyDescent="0.25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</row>
    <row r="201" spans="1:26" x14ac:dyDescent="0.25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</row>
    <row r="202" spans="1:26" x14ac:dyDescent="0.25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</row>
    <row r="203" spans="1:26" x14ac:dyDescent="0.25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</row>
    <row r="204" spans="1:26" x14ac:dyDescent="0.25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</row>
    <row r="205" spans="1:26" x14ac:dyDescent="0.25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</row>
    <row r="206" spans="1:26" x14ac:dyDescent="0.25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</row>
    <row r="207" spans="1:26" x14ac:dyDescent="0.25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</row>
    <row r="208" spans="1:26" x14ac:dyDescent="0.25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</row>
    <row r="209" spans="1:26" x14ac:dyDescent="0.25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</row>
    <row r="210" spans="1:26" x14ac:dyDescent="0.25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</row>
    <row r="211" spans="1:26" x14ac:dyDescent="0.25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</row>
    <row r="212" spans="1:26" x14ac:dyDescent="0.25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</row>
    <row r="213" spans="1:26" x14ac:dyDescent="0.25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</row>
    <row r="214" spans="1:26" x14ac:dyDescent="0.25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</row>
    <row r="215" spans="1:26" x14ac:dyDescent="0.25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</row>
    <row r="216" spans="1:26" x14ac:dyDescent="0.25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</row>
    <row r="217" spans="1:26" x14ac:dyDescent="0.25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</row>
    <row r="218" spans="1:26" x14ac:dyDescent="0.25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</row>
    <row r="219" spans="1:26" x14ac:dyDescent="0.25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</row>
    <row r="220" spans="1:26" x14ac:dyDescent="0.25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</row>
    <row r="221" spans="1:26" x14ac:dyDescent="0.25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</row>
    <row r="222" spans="1:26" x14ac:dyDescent="0.25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</row>
    <row r="223" spans="1:26" x14ac:dyDescent="0.25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</row>
    <row r="224" spans="1:26" x14ac:dyDescent="0.25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</row>
    <row r="225" spans="1:26" x14ac:dyDescent="0.25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</row>
    <row r="226" spans="1:26" x14ac:dyDescent="0.25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</row>
    <row r="227" spans="1:26" x14ac:dyDescent="0.25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</row>
    <row r="228" spans="1:26" x14ac:dyDescent="0.25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</row>
    <row r="229" spans="1:26" x14ac:dyDescent="0.2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</row>
    <row r="230" spans="1:26" x14ac:dyDescent="0.2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</row>
    <row r="231" spans="1:26" x14ac:dyDescent="0.2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</row>
    <row r="232" spans="1:26" x14ac:dyDescent="0.2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</row>
    <row r="233" spans="1:26" x14ac:dyDescent="0.2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</row>
    <row r="234" spans="1:26" x14ac:dyDescent="0.2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</row>
    <row r="235" spans="1:26" x14ac:dyDescent="0.2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</row>
    <row r="236" spans="1:26" x14ac:dyDescent="0.2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</row>
    <row r="237" spans="1:26" x14ac:dyDescent="0.2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</row>
    <row r="238" spans="1:26" x14ac:dyDescent="0.2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</row>
    <row r="239" spans="1:26" x14ac:dyDescent="0.2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</row>
    <row r="240" spans="1:26" x14ac:dyDescent="0.2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</row>
    <row r="241" spans="1:26" x14ac:dyDescent="0.2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</row>
    <row r="242" spans="1:26" x14ac:dyDescent="0.2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</row>
    <row r="243" spans="1:26" x14ac:dyDescent="0.2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</row>
    <row r="244" spans="1:26" x14ac:dyDescent="0.2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</row>
    <row r="245" spans="1:26" x14ac:dyDescent="0.2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</row>
    <row r="246" spans="1:26" x14ac:dyDescent="0.2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</row>
    <row r="247" spans="1:26" x14ac:dyDescent="0.2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</row>
    <row r="248" spans="1:26" x14ac:dyDescent="0.2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</row>
    <row r="249" spans="1:26" x14ac:dyDescent="0.2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</row>
    <row r="250" spans="1:26" x14ac:dyDescent="0.2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</row>
    <row r="251" spans="1:26" x14ac:dyDescent="0.2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</row>
    <row r="252" spans="1:26" x14ac:dyDescent="0.2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</row>
    <row r="253" spans="1:26" x14ac:dyDescent="0.2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</row>
    <row r="254" spans="1:26" x14ac:dyDescent="0.2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</row>
    <row r="255" spans="1:26" x14ac:dyDescent="0.2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</row>
    <row r="256" spans="1:26" x14ac:dyDescent="0.2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</row>
    <row r="257" spans="1:26" x14ac:dyDescent="0.2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</row>
    <row r="258" spans="1:26" x14ac:dyDescent="0.2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</row>
    <row r="259" spans="1:26" x14ac:dyDescent="0.2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</row>
    <row r="260" spans="1:26" x14ac:dyDescent="0.2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</row>
    <row r="261" spans="1:26" x14ac:dyDescent="0.2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</row>
    <row r="262" spans="1:26" x14ac:dyDescent="0.2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</row>
    <row r="263" spans="1:26" x14ac:dyDescent="0.2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</row>
    <row r="264" spans="1:26" x14ac:dyDescent="0.2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</row>
    <row r="265" spans="1:26" x14ac:dyDescent="0.2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</row>
    <row r="266" spans="1:26" x14ac:dyDescent="0.2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</row>
    <row r="267" spans="1:26" x14ac:dyDescent="0.2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</row>
    <row r="268" spans="1:26" x14ac:dyDescent="0.2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</row>
    <row r="269" spans="1:26" x14ac:dyDescent="0.2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</row>
    <row r="270" spans="1:26" x14ac:dyDescent="0.2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</row>
    <row r="271" spans="1:26" x14ac:dyDescent="0.2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</row>
    <row r="272" spans="1:26" x14ac:dyDescent="0.2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</row>
    <row r="273" spans="1:26" x14ac:dyDescent="0.2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</row>
    <row r="274" spans="1:26" x14ac:dyDescent="0.2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</row>
    <row r="275" spans="1:26" x14ac:dyDescent="0.2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</row>
    <row r="276" spans="1:26" x14ac:dyDescent="0.2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</row>
    <row r="277" spans="1:26" x14ac:dyDescent="0.2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</row>
    <row r="278" spans="1:26" x14ac:dyDescent="0.2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</row>
    <row r="279" spans="1:26" x14ac:dyDescent="0.2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</row>
    <row r="280" spans="1:26" x14ac:dyDescent="0.2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</row>
    <row r="281" spans="1:26" x14ac:dyDescent="0.2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</row>
    <row r="282" spans="1:26" x14ac:dyDescent="0.2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</row>
    <row r="283" spans="1:26" x14ac:dyDescent="0.2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</row>
    <row r="284" spans="1:26" x14ac:dyDescent="0.2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</row>
    <row r="285" spans="1:26" x14ac:dyDescent="0.2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</row>
    <row r="286" spans="1:26" x14ac:dyDescent="0.2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</row>
    <row r="287" spans="1:26" x14ac:dyDescent="0.2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</row>
    <row r="288" spans="1:26" x14ac:dyDescent="0.2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</row>
    <row r="289" spans="1:26" x14ac:dyDescent="0.2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</row>
    <row r="290" spans="1:26" x14ac:dyDescent="0.2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</row>
    <row r="291" spans="1:26" x14ac:dyDescent="0.2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</row>
    <row r="292" spans="1:26" x14ac:dyDescent="0.2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</row>
    <row r="293" spans="1:26" x14ac:dyDescent="0.2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</row>
    <row r="294" spans="1:26" x14ac:dyDescent="0.2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</row>
    <row r="295" spans="1:26" x14ac:dyDescent="0.2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</row>
    <row r="296" spans="1:26" x14ac:dyDescent="0.2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</row>
    <row r="297" spans="1:26" x14ac:dyDescent="0.2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</row>
    <row r="298" spans="1:26" x14ac:dyDescent="0.2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</row>
    <row r="299" spans="1:26" x14ac:dyDescent="0.2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</row>
    <row r="300" spans="1:26" x14ac:dyDescent="0.2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</row>
    <row r="301" spans="1:26" x14ac:dyDescent="0.2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</row>
    <row r="302" spans="1:26" x14ac:dyDescent="0.2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</row>
    <row r="303" spans="1:26" x14ac:dyDescent="0.2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</row>
    <row r="304" spans="1:26" x14ac:dyDescent="0.2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</row>
    <row r="305" spans="1:26" x14ac:dyDescent="0.2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</row>
    <row r="306" spans="1:26" x14ac:dyDescent="0.2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</row>
    <row r="307" spans="1:26" x14ac:dyDescent="0.2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</row>
    <row r="308" spans="1:26" x14ac:dyDescent="0.2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</row>
    <row r="309" spans="1:26" x14ac:dyDescent="0.2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</row>
    <row r="310" spans="1:26" x14ac:dyDescent="0.2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</row>
    <row r="311" spans="1:26" x14ac:dyDescent="0.2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</row>
    <row r="312" spans="1:26" x14ac:dyDescent="0.2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</row>
    <row r="313" spans="1:26" x14ac:dyDescent="0.2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</row>
    <row r="314" spans="1:26" x14ac:dyDescent="0.2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</row>
    <row r="315" spans="1:26" x14ac:dyDescent="0.2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</row>
    <row r="316" spans="1:26" x14ac:dyDescent="0.2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</row>
    <row r="317" spans="1:26" x14ac:dyDescent="0.2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</row>
    <row r="318" spans="1:26" x14ac:dyDescent="0.2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</row>
    <row r="319" spans="1:26" x14ac:dyDescent="0.2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</row>
    <row r="320" spans="1:26" x14ac:dyDescent="0.2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</row>
    <row r="321" spans="1:26" x14ac:dyDescent="0.2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</row>
    <row r="322" spans="1:26" x14ac:dyDescent="0.2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</row>
    <row r="323" spans="1:26" x14ac:dyDescent="0.2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</row>
    <row r="324" spans="1:26" x14ac:dyDescent="0.2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</row>
    <row r="325" spans="1:26" x14ac:dyDescent="0.2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</row>
    <row r="326" spans="1:26" x14ac:dyDescent="0.2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</row>
    <row r="327" spans="1:26" x14ac:dyDescent="0.2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</row>
    <row r="328" spans="1:26" x14ac:dyDescent="0.2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</row>
    <row r="329" spans="1:26" x14ac:dyDescent="0.2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</row>
    <row r="330" spans="1:26" x14ac:dyDescent="0.2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</row>
    <row r="331" spans="1:26" x14ac:dyDescent="0.2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</row>
    <row r="332" spans="1:26" x14ac:dyDescent="0.2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</row>
    <row r="333" spans="1:26" x14ac:dyDescent="0.2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</row>
    <row r="334" spans="1:26" x14ac:dyDescent="0.2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</row>
    <row r="335" spans="1:26" x14ac:dyDescent="0.2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</row>
    <row r="336" spans="1:26" x14ac:dyDescent="0.2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</row>
    <row r="337" spans="1:26" x14ac:dyDescent="0.2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</row>
    <row r="338" spans="1:26" x14ac:dyDescent="0.2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</row>
    <row r="339" spans="1:26" x14ac:dyDescent="0.2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</row>
    <row r="340" spans="1:26" x14ac:dyDescent="0.2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</row>
    <row r="341" spans="1:26" x14ac:dyDescent="0.2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</row>
    <row r="342" spans="1:26" x14ac:dyDescent="0.2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</row>
    <row r="343" spans="1:26" x14ac:dyDescent="0.2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</row>
    <row r="344" spans="1:26" x14ac:dyDescent="0.2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</row>
    <row r="345" spans="1:26" x14ac:dyDescent="0.2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</row>
    <row r="346" spans="1:26" x14ac:dyDescent="0.2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</row>
    <row r="347" spans="1:26" x14ac:dyDescent="0.2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</row>
    <row r="348" spans="1:26" x14ac:dyDescent="0.2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</row>
    <row r="349" spans="1:26" x14ac:dyDescent="0.2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</row>
    <row r="350" spans="1:26" x14ac:dyDescent="0.2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</row>
    <row r="351" spans="1:26" x14ac:dyDescent="0.2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</row>
    <row r="352" spans="1:26" x14ac:dyDescent="0.2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</row>
    <row r="353" spans="1:26" x14ac:dyDescent="0.2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</row>
    <row r="354" spans="1:26" x14ac:dyDescent="0.2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</row>
    <row r="355" spans="1:26" x14ac:dyDescent="0.2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</row>
    <row r="356" spans="1:26" x14ac:dyDescent="0.2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</row>
    <row r="357" spans="1:26" x14ac:dyDescent="0.2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</row>
    <row r="358" spans="1:26" x14ac:dyDescent="0.2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</row>
    <row r="359" spans="1:26" x14ac:dyDescent="0.2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</row>
    <row r="360" spans="1:26" x14ac:dyDescent="0.2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</row>
    <row r="361" spans="1:26" x14ac:dyDescent="0.2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</row>
    <row r="362" spans="1:26" x14ac:dyDescent="0.2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</row>
    <row r="363" spans="1:26" x14ac:dyDescent="0.2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</row>
    <row r="364" spans="1:26" x14ac:dyDescent="0.2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</row>
    <row r="365" spans="1:26" x14ac:dyDescent="0.2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</row>
    <row r="366" spans="1:26" x14ac:dyDescent="0.2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</row>
    <row r="367" spans="1:26" x14ac:dyDescent="0.2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</row>
    <row r="368" spans="1:26" x14ac:dyDescent="0.2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</row>
    <row r="369" spans="1:26" x14ac:dyDescent="0.2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</row>
    <row r="370" spans="1:26" x14ac:dyDescent="0.2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</row>
    <row r="371" spans="1:26" x14ac:dyDescent="0.2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</row>
    <row r="372" spans="1:26" x14ac:dyDescent="0.2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</row>
    <row r="373" spans="1:26" x14ac:dyDescent="0.2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</row>
    <row r="374" spans="1:26" x14ac:dyDescent="0.2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</row>
    <row r="375" spans="1:26" x14ac:dyDescent="0.2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</row>
    <row r="376" spans="1:26" x14ac:dyDescent="0.2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</row>
    <row r="377" spans="1:26" x14ac:dyDescent="0.2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</row>
    <row r="378" spans="1:26" x14ac:dyDescent="0.2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</row>
    <row r="379" spans="1:26" x14ac:dyDescent="0.2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</row>
    <row r="380" spans="1:26" x14ac:dyDescent="0.2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</row>
    <row r="381" spans="1:26" x14ac:dyDescent="0.2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</row>
    <row r="382" spans="1:26" x14ac:dyDescent="0.2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</row>
    <row r="383" spans="1:26" x14ac:dyDescent="0.2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</row>
    <row r="384" spans="1:26" x14ac:dyDescent="0.2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</row>
    <row r="385" spans="1:26" x14ac:dyDescent="0.2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</row>
    <row r="386" spans="1:26" x14ac:dyDescent="0.2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</row>
    <row r="387" spans="1:26" x14ac:dyDescent="0.2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</row>
    <row r="388" spans="1:26" x14ac:dyDescent="0.2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</row>
    <row r="389" spans="1:26" x14ac:dyDescent="0.2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</row>
    <row r="390" spans="1:26" x14ac:dyDescent="0.2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</row>
    <row r="391" spans="1:26" x14ac:dyDescent="0.2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</row>
    <row r="392" spans="1:26" x14ac:dyDescent="0.2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</row>
    <row r="393" spans="1:26" x14ac:dyDescent="0.2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</row>
    <row r="394" spans="1:26" x14ac:dyDescent="0.2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</row>
    <row r="395" spans="1:26" x14ac:dyDescent="0.2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</row>
    <row r="396" spans="1:26" x14ac:dyDescent="0.2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</row>
    <row r="397" spans="1:26" x14ac:dyDescent="0.2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</row>
    <row r="398" spans="1:26" x14ac:dyDescent="0.2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</row>
    <row r="399" spans="1:26" x14ac:dyDescent="0.2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</row>
    <row r="400" spans="1:26" x14ac:dyDescent="0.2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</row>
    <row r="401" spans="1:26" x14ac:dyDescent="0.2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</row>
    <row r="402" spans="1:26" x14ac:dyDescent="0.2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</row>
    <row r="403" spans="1:26" x14ac:dyDescent="0.2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</row>
    <row r="404" spans="1:26" x14ac:dyDescent="0.2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</row>
    <row r="405" spans="1:26" x14ac:dyDescent="0.2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</row>
    <row r="406" spans="1:26" x14ac:dyDescent="0.2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</row>
    <row r="407" spans="1:26" x14ac:dyDescent="0.2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</row>
    <row r="408" spans="1:26" x14ac:dyDescent="0.2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</row>
    <row r="409" spans="1:26" x14ac:dyDescent="0.2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</row>
    <row r="410" spans="1:26" x14ac:dyDescent="0.2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</row>
    <row r="411" spans="1:26" x14ac:dyDescent="0.2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</row>
    <row r="412" spans="1:26" x14ac:dyDescent="0.2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</row>
    <row r="413" spans="1:26" x14ac:dyDescent="0.2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</row>
    <row r="414" spans="1:26" x14ac:dyDescent="0.2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</row>
    <row r="415" spans="1:26" x14ac:dyDescent="0.2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</row>
    <row r="416" spans="1:26" x14ac:dyDescent="0.2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</row>
    <row r="417" spans="1:26" x14ac:dyDescent="0.2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</row>
    <row r="418" spans="1:26" x14ac:dyDescent="0.2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</row>
    <row r="419" spans="1:26" x14ac:dyDescent="0.2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</row>
    <row r="420" spans="1:26" x14ac:dyDescent="0.25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</row>
    <row r="421" spans="1:26" x14ac:dyDescent="0.25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</row>
    <row r="422" spans="1:26" x14ac:dyDescent="0.25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</row>
    <row r="423" spans="1:26" x14ac:dyDescent="0.25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</row>
    <row r="424" spans="1:26" x14ac:dyDescent="0.25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</row>
    <row r="425" spans="1:26" x14ac:dyDescent="0.25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</row>
    <row r="426" spans="1:26" x14ac:dyDescent="0.25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</row>
    <row r="427" spans="1:26" x14ac:dyDescent="0.25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</row>
    <row r="428" spans="1:26" x14ac:dyDescent="0.25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</row>
    <row r="429" spans="1:26" x14ac:dyDescent="0.25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</row>
    <row r="430" spans="1:26" x14ac:dyDescent="0.25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</row>
    <row r="431" spans="1:26" x14ac:dyDescent="0.25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</row>
    <row r="432" spans="1:26" x14ac:dyDescent="0.25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</row>
    <row r="433" spans="1:26" x14ac:dyDescent="0.25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</row>
    <row r="434" spans="1:26" x14ac:dyDescent="0.25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</row>
    <row r="435" spans="1:26" x14ac:dyDescent="0.25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</row>
    <row r="436" spans="1:26" x14ac:dyDescent="0.25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</row>
    <row r="437" spans="1:26" x14ac:dyDescent="0.25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</row>
    <row r="438" spans="1:26" x14ac:dyDescent="0.25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</row>
    <row r="439" spans="1:26" x14ac:dyDescent="0.25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</row>
    <row r="440" spans="1:26" x14ac:dyDescent="0.25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</row>
    <row r="441" spans="1:26" x14ac:dyDescent="0.25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</row>
    <row r="442" spans="1:26" x14ac:dyDescent="0.25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</row>
    <row r="443" spans="1:26" x14ac:dyDescent="0.25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</row>
    <row r="444" spans="1:26" x14ac:dyDescent="0.25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</row>
    <row r="445" spans="1:26" x14ac:dyDescent="0.25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</row>
    <row r="446" spans="1:26" x14ac:dyDescent="0.25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</row>
    <row r="447" spans="1:26" x14ac:dyDescent="0.25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</row>
    <row r="448" spans="1:26" x14ac:dyDescent="0.25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</row>
    <row r="449" spans="1:26" x14ac:dyDescent="0.25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</row>
    <row r="450" spans="1:26" x14ac:dyDescent="0.25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</row>
    <row r="451" spans="1:26" x14ac:dyDescent="0.25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</row>
    <row r="452" spans="1:26" x14ac:dyDescent="0.25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</row>
    <row r="453" spans="1:26" x14ac:dyDescent="0.25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</row>
    <row r="454" spans="1:26" x14ac:dyDescent="0.25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</row>
    <row r="455" spans="1:26" x14ac:dyDescent="0.25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</row>
    <row r="456" spans="1:26" x14ac:dyDescent="0.25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</row>
    <row r="457" spans="1:26" x14ac:dyDescent="0.25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</row>
    <row r="458" spans="1:26" x14ac:dyDescent="0.25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</row>
    <row r="459" spans="1:26" x14ac:dyDescent="0.25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</row>
    <row r="460" spans="1:26" x14ac:dyDescent="0.25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</row>
    <row r="461" spans="1:26" x14ac:dyDescent="0.25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</row>
    <row r="462" spans="1:26" x14ac:dyDescent="0.25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</row>
    <row r="463" spans="1:26" x14ac:dyDescent="0.25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</row>
    <row r="464" spans="1:26" x14ac:dyDescent="0.25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</row>
    <row r="465" spans="1:26" x14ac:dyDescent="0.25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</row>
    <row r="466" spans="1:26" x14ac:dyDescent="0.25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</row>
    <row r="467" spans="1:26" x14ac:dyDescent="0.25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</row>
    <row r="468" spans="1:26" x14ac:dyDescent="0.25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</row>
    <row r="469" spans="1:26" x14ac:dyDescent="0.25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</row>
    <row r="470" spans="1:26" x14ac:dyDescent="0.25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</row>
    <row r="471" spans="1:26" x14ac:dyDescent="0.25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</row>
    <row r="472" spans="1:26" x14ac:dyDescent="0.25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</row>
    <row r="473" spans="1:26" x14ac:dyDescent="0.25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</row>
    <row r="474" spans="1:26" x14ac:dyDescent="0.25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</row>
    <row r="475" spans="1:26" x14ac:dyDescent="0.25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</row>
    <row r="476" spans="1:26" x14ac:dyDescent="0.25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</row>
    <row r="477" spans="1:26" x14ac:dyDescent="0.25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</row>
    <row r="478" spans="1:26" x14ac:dyDescent="0.25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</row>
    <row r="479" spans="1:26" x14ac:dyDescent="0.25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</row>
    <row r="480" spans="1:26" x14ac:dyDescent="0.25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</row>
    <row r="481" spans="1:26" x14ac:dyDescent="0.25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</row>
    <row r="482" spans="1:26" x14ac:dyDescent="0.25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</row>
    <row r="483" spans="1:26" x14ac:dyDescent="0.25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</row>
    <row r="484" spans="1:26" x14ac:dyDescent="0.25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</row>
    <row r="485" spans="1:26" x14ac:dyDescent="0.25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</row>
    <row r="486" spans="1:26" x14ac:dyDescent="0.25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</row>
    <row r="487" spans="1:26" x14ac:dyDescent="0.25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</row>
    <row r="488" spans="1:26" x14ac:dyDescent="0.25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</row>
    <row r="489" spans="1:26" x14ac:dyDescent="0.25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</row>
    <row r="490" spans="1:26" x14ac:dyDescent="0.25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</row>
    <row r="491" spans="1:26" x14ac:dyDescent="0.25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</row>
    <row r="492" spans="1:26" x14ac:dyDescent="0.25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</row>
    <row r="493" spans="1:26" x14ac:dyDescent="0.25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</row>
    <row r="494" spans="1:26" x14ac:dyDescent="0.25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</row>
    <row r="495" spans="1:26" x14ac:dyDescent="0.25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</row>
    <row r="496" spans="1:26" x14ac:dyDescent="0.25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</row>
    <row r="497" spans="1:26" x14ac:dyDescent="0.25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</row>
    <row r="498" spans="1:26" x14ac:dyDescent="0.25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</row>
    <row r="499" spans="1:26" x14ac:dyDescent="0.25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</row>
    <row r="500" spans="1:26" x14ac:dyDescent="0.25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</row>
    <row r="501" spans="1:26" x14ac:dyDescent="0.25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</row>
    <row r="502" spans="1:26" x14ac:dyDescent="0.25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</row>
    <row r="503" spans="1:26" x14ac:dyDescent="0.25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</row>
    <row r="504" spans="1:26" x14ac:dyDescent="0.25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</row>
    <row r="505" spans="1:26" x14ac:dyDescent="0.25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</row>
    <row r="506" spans="1:26" x14ac:dyDescent="0.25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</row>
    <row r="507" spans="1:26" x14ac:dyDescent="0.25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</row>
    <row r="508" spans="1:26" x14ac:dyDescent="0.25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</row>
    <row r="509" spans="1:26" x14ac:dyDescent="0.25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</row>
    <row r="510" spans="1:26" x14ac:dyDescent="0.25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</row>
    <row r="511" spans="1:26" x14ac:dyDescent="0.25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</row>
    <row r="512" spans="1:26" x14ac:dyDescent="0.25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</row>
    <row r="513" spans="1:26" x14ac:dyDescent="0.25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</row>
    <row r="514" spans="1:26" x14ac:dyDescent="0.25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</row>
    <row r="515" spans="1:26" x14ac:dyDescent="0.25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</row>
    <row r="516" spans="1:26" x14ac:dyDescent="0.25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</row>
    <row r="517" spans="1:26" x14ac:dyDescent="0.25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</row>
    <row r="518" spans="1:26" x14ac:dyDescent="0.25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</row>
    <row r="519" spans="1:26" x14ac:dyDescent="0.25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</row>
    <row r="520" spans="1:26" x14ac:dyDescent="0.25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</row>
    <row r="521" spans="1:26" x14ac:dyDescent="0.25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</row>
    <row r="522" spans="1:26" x14ac:dyDescent="0.25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</row>
    <row r="523" spans="1:26" x14ac:dyDescent="0.25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</row>
    <row r="524" spans="1:26" x14ac:dyDescent="0.25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</row>
    <row r="525" spans="1:26" x14ac:dyDescent="0.25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</row>
    <row r="526" spans="1:26" x14ac:dyDescent="0.25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</row>
    <row r="527" spans="1:26" x14ac:dyDescent="0.25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</row>
    <row r="528" spans="1:26" x14ac:dyDescent="0.25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</row>
    <row r="529" spans="1:26" x14ac:dyDescent="0.25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</row>
    <row r="530" spans="1:26" x14ac:dyDescent="0.25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</row>
    <row r="531" spans="1:26" x14ac:dyDescent="0.25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</row>
    <row r="532" spans="1:26" x14ac:dyDescent="0.25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</row>
    <row r="533" spans="1:26" x14ac:dyDescent="0.25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</row>
    <row r="534" spans="1:26" x14ac:dyDescent="0.25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</row>
    <row r="535" spans="1:26" x14ac:dyDescent="0.25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</row>
    <row r="536" spans="1:26" x14ac:dyDescent="0.25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</row>
    <row r="537" spans="1:26" x14ac:dyDescent="0.25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</row>
    <row r="538" spans="1:26" x14ac:dyDescent="0.25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</row>
    <row r="539" spans="1:26" x14ac:dyDescent="0.25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</row>
    <row r="540" spans="1:26" x14ac:dyDescent="0.25">
      <c r="A540" s="92"/>
      <c r="B540" s="92"/>
      <c r="C540" s="92"/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</row>
    <row r="541" spans="1:26" x14ac:dyDescent="0.25">
      <c r="A541" s="92"/>
      <c r="B541" s="92"/>
      <c r="C541" s="92"/>
      <c r="D541" s="92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</row>
    <row r="542" spans="1:26" x14ac:dyDescent="0.25">
      <c r="A542" s="92"/>
      <c r="B542" s="92"/>
      <c r="C542" s="92"/>
      <c r="D542" s="92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</row>
    <row r="543" spans="1:26" x14ac:dyDescent="0.25">
      <c r="A543" s="92"/>
      <c r="B543" s="92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</row>
    <row r="544" spans="1:26" x14ac:dyDescent="0.25">
      <c r="A544" s="92"/>
      <c r="B544" s="92"/>
      <c r="C544" s="92"/>
      <c r="D544" s="92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</row>
    <row r="545" spans="1:26" x14ac:dyDescent="0.25">
      <c r="A545" s="92"/>
      <c r="B545" s="92"/>
      <c r="C545" s="92"/>
      <c r="D545" s="92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</row>
    <row r="546" spans="1:26" x14ac:dyDescent="0.25">
      <c r="A546" s="92"/>
      <c r="B546" s="92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</row>
    <row r="547" spans="1:26" x14ac:dyDescent="0.25">
      <c r="A547" s="92"/>
      <c r="B547" s="92"/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</row>
    <row r="548" spans="1:26" x14ac:dyDescent="0.25">
      <c r="A548" s="92"/>
      <c r="B548" s="92"/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</row>
    <row r="549" spans="1:26" x14ac:dyDescent="0.25">
      <c r="A549" s="92"/>
      <c r="B549" s="92"/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</row>
    <row r="550" spans="1:26" x14ac:dyDescent="0.25">
      <c r="A550" s="92"/>
      <c r="B550" s="92"/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</row>
    <row r="551" spans="1:26" x14ac:dyDescent="0.25">
      <c r="A551" s="92"/>
      <c r="B551" s="92"/>
      <c r="C551" s="92"/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</row>
    <row r="552" spans="1:26" x14ac:dyDescent="0.25">
      <c r="A552" s="92"/>
      <c r="B552" s="92"/>
      <c r="C552" s="92"/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</row>
    <row r="553" spans="1:26" x14ac:dyDescent="0.25">
      <c r="A553" s="92"/>
      <c r="B553" s="92"/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X553" s="92"/>
      <c r="Y553" s="92"/>
      <c r="Z553" s="92"/>
    </row>
    <row r="554" spans="1:26" x14ac:dyDescent="0.25">
      <c r="A554" s="92"/>
      <c r="B554" s="92"/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</row>
    <row r="555" spans="1:26" x14ac:dyDescent="0.25">
      <c r="A555" s="92"/>
      <c r="B555" s="92"/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</row>
    <row r="556" spans="1:26" x14ac:dyDescent="0.25">
      <c r="A556" s="92"/>
      <c r="B556" s="92"/>
      <c r="C556" s="92"/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</row>
    <row r="557" spans="1:26" x14ac:dyDescent="0.25">
      <c r="A557" s="92"/>
      <c r="B557" s="92"/>
      <c r="C557" s="92"/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X557" s="92"/>
      <c r="Y557" s="92"/>
      <c r="Z557" s="92"/>
    </row>
    <row r="558" spans="1:26" x14ac:dyDescent="0.25">
      <c r="A558" s="92"/>
      <c r="B558" s="92"/>
      <c r="C558" s="92"/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</row>
    <row r="559" spans="1:26" x14ac:dyDescent="0.25">
      <c r="A559" s="92"/>
      <c r="B559" s="92"/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</row>
    <row r="560" spans="1:26" x14ac:dyDescent="0.25">
      <c r="A560" s="92"/>
      <c r="B560" s="92"/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</row>
    <row r="561" spans="1:26" x14ac:dyDescent="0.25">
      <c r="A561" s="92"/>
      <c r="B561" s="92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</row>
    <row r="562" spans="1:26" x14ac:dyDescent="0.25">
      <c r="A562" s="92"/>
      <c r="B562" s="92"/>
      <c r="C562" s="92"/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</row>
    <row r="563" spans="1:26" x14ac:dyDescent="0.25">
      <c r="A563" s="92"/>
      <c r="B563" s="92"/>
      <c r="C563" s="92"/>
      <c r="D563" s="92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</row>
    <row r="564" spans="1:26" x14ac:dyDescent="0.25">
      <c r="A564" s="92"/>
      <c r="B564" s="92"/>
      <c r="C564" s="92"/>
      <c r="D564" s="92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</row>
    <row r="565" spans="1:26" x14ac:dyDescent="0.25">
      <c r="A565" s="92"/>
      <c r="B565" s="92"/>
      <c r="C565" s="92"/>
      <c r="D565" s="92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</row>
    <row r="566" spans="1:26" x14ac:dyDescent="0.25">
      <c r="A566" s="92"/>
      <c r="B566" s="92"/>
      <c r="C566" s="92"/>
      <c r="D566" s="92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</row>
    <row r="567" spans="1:26" x14ac:dyDescent="0.25">
      <c r="A567" s="92"/>
      <c r="B567" s="92"/>
      <c r="C567" s="92"/>
      <c r="D567" s="92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</row>
    <row r="568" spans="1:26" x14ac:dyDescent="0.25">
      <c r="A568" s="92"/>
      <c r="B568" s="92"/>
      <c r="C568" s="92"/>
      <c r="D568" s="92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</row>
    <row r="569" spans="1:26" x14ac:dyDescent="0.25">
      <c r="A569" s="92"/>
      <c r="B569" s="92"/>
      <c r="C569" s="92"/>
      <c r="D569" s="92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</row>
    <row r="570" spans="1:26" x14ac:dyDescent="0.25">
      <c r="A570" s="92"/>
      <c r="B570" s="92"/>
      <c r="C570" s="92"/>
      <c r="D570" s="92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</row>
    <row r="571" spans="1:26" x14ac:dyDescent="0.25">
      <c r="A571" s="92"/>
      <c r="B571" s="92"/>
      <c r="C571" s="92"/>
      <c r="D571" s="92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</row>
    <row r="572" spans="1:26" x14ac:dyDescent="0.25">
      <c r="A572" s="92"/>
      <c r="B572" s="92"/>
      <c r="C572" s="92"/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</row>
    <row r="573" spans="1:26" x14ac:dyDescent="0.25">
      <c r="A573" s="92"/>
      <c r="B573" s="92"/>
      <c r="C573" s="92"/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</row>
    <row r="574" spans="1:26" x14ac:dyDescent="0.25">
      <c r="A574" s="92"/>
      <c r="B574" s="92"/>
      <c r="C574" s="92"/>
      <c r="D574" s="92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</row>
    <row r="575" spans="1:26" x14ac:dyDescent="0.25">
      <c r="A575" s="92"/>
      <c r="B575" s="92"/>
      <c r="C575" s="92"/>
      <c r="D575" s="92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</row>
    <row r="576" spans="1:26" x14ac:dyDescent="0.25">
      <c r="A576" s="92"/>
      <c r="B576" s="92"/>
      <c r="C576" s="92"/>
      <c r="D576" s="92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</row>
    <row r="577" spans="1:26" x14ac:dyDescent="0.25">
      <c r="A577" s="92"/>
      <c r="B577" s="92"/>
      <c r="C577" s="92"/>
      <c r="D577" s="92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</row>
    <row r="578" spans="1:26" x14ac:dyDescent="0.25">
      <c r="A578" s="92"/>
      <c r="B578" s="92"/>
      <c r="C578" s="92"/>
      <c r="D578" s="92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</row>
    <row r="579" spans="1:26" x14ac:dyDescent="0.25">
      <c r="A579" s="92"/>
      <c r="B579" s="92"/>
      <c r="C579" s="92"/>
      <c r="D579" s="92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</row>
    <row r="580" spans="1:26" x14ac:dyDescent="0.25">
      <c r="A580" s="92"/>
      <c r="B580" s="92"/>
      <c r="C580" s="92"/>
      <c r="D580" s="92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</row>
    <row r="581" spans="1:26" x14ac:dyDescent="0.25">
      <c r="A581" s="92"/>
      <c r="B581" s="92"/>
      <c r="C581" s="92"/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</row>
    <row r="582" spans="1:26" x14ac:dyDescent="0.25">
      <c r="A582" s="92"/>
      <c r="B582" s="92"/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</row>
    <row r="583" spans="1:26" x14ac:dyDescent="0.25">
      <c r="A583" s="92"/>
      <c r="B583" s="92"/>
      <c r="C583" s="92"/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</row>
    <row r="584" spans="1:26" x14ac:dyDescent="0.25">
      <c r="A584" s="92"/>
      <c r="B584" s="92"/>
      <c r="C584" s="92"/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</row>
    <row r="585" spans="1:26" x14ac:dyDescent="0.25">
      <c r="A585" s="92"/>
      <c r="B585" s="92"/>
      <c r="C585" s="92"/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</row>
    <row r="586" spans="1:26" x14ac:dyDescent="0.25">
      <c r="A586" s="92"/>
      <c r="B586" s="92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</row>
    <row r="587" spans="1:26" x14ac:dyDescent="0.25">
      <c r="A587" s="92"/>
      <c r="B587" s="92"/>
      <c r="C587" s="92"/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</row>
    <row r="588" spans="1:26" x14ac:dyDescent="0.25">
      <c r="A588" s="92"/>
      <c r="B588" s="92"/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</row>
    <row r="589" spans="1:26" x14ac:dyDescent="0.25">
      <c r="A589" s="92"/>
      <c r="B589" s="92"/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</row>
    <row r="590" spans="1:26" x14ac:dyDescent="0.25">
      <c r="A590" s="92"/>
      <c r="B590" s="92"/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</row>
    <row r="591" spans="1:26" x14ac:dyDescent="0.25">
      <c r="A591" s="92"/>
      <c r="B591" s="92"/>
      <c r="C591" s="92"/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</row>
    <row r="592" spans="1:26" x14ac:dyDescent="0.25">
      <c r="A592" s="92"/>
      <c r="B592" s="92"/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</row>
    <row r="593" spans="1:26" x14ac:dyDescent="0.25">
      <c r="A593" s="92"/>
      <c r="B593" s="92"/>
      <c r="C593" s="92"/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</row>
    <row r="594" spans="1:26" x14ac:dyDescent="0.25">
      <c r="A594" s="92"/>
      <c r="B594" s="92"/>
      <c r="C594" s="92"/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</row>
    <row r="595" spans="1:26" x14ac:dyDescent="0.25">
      <c r="A595" s="92"/>
      <c r="B595" s="92"/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</row>
    <row r="596" spans="1:26" x14ac:dyDescent="0.25">
      <c r="A596" s="92"/>
      <c r="B596" s="92"/>
      <c r="C596" s="92"/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</row>
    <row r="597" spans="1:26" x14ac:dyDescent="0.25">
      <c r="A597" s="92"/>
      <c r="B597" s="92"/>
      <c r="C597" s="92"/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</row>
    <row r="598" spans="1:26" x14ac:dyDescent="0.25">
      <c r="A598" s="92"/>
      <c r="B598" s="92"/>
      <c r="C598" s="92"/>
      <c r="D598" s="92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</row>
    <row r="599" spans="1:26" x14ac:dyDescent="0.25">
      <c r="A599" s="92"/>
      <c r="B599" s="92"/>
      <c r="C599" s="92"/>
      <c r="D599" s="92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</row>
    <row r="600" spans="1:26" x14ac:dyDescent="0.25">
      <c r="A600" s="92"/>
      <c r="B600" s="92"/>
      <c r="C600" s="92"/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91"/>
    <col min="4" max="4" width="18.28515625" style="91" customWidth="1"/>
    <col min="5" max="6" width="9.140625" style="91"/>
    <col min="7" max="7" width="18.28515625" style="91" customWidth="1"/>
    <col min="8" max="16384" width="9.140625" style="91"/>
  </cols>
  <sheetData>
    <row r="1" spans="1:26" ht="26.25" x14ac:dyDescent="0.4">
      <c r="B1" s="98" t="s">
        <v>198</v>
      </c>
      <c r="C1" s="98"/>
      <c r="D1" s="98"/>
      <c r="E1" s="98" t="s">
        <v>151</v>
      </c>
      <c r="F1" s="98"/>
      <c r="G1" s="98"/>
      <c r="H1" s="98" t="s">
        <v>195</v>
      </c>
    </row>
    <row r="3" spans="1:26" ht="20.25" x14ac:dyDescent="0.3">
      <c r="F3" s="103" t="str">
        <f>Season</f>
        <v>2022/2023</v>
      </c>
    </row>
    <row r="4" spans="1:26" x14ac:dyDescent="0.25">
      <c r="C4" s="91" t="s">
        <v>184</v>
      </c>
    </row>
    <row r="5" spans="1:26" x14ac:dyDescent="0.25">
      <c r="A5" s="92" t="s">
        <v>193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</row>
    <row r="6" spans="1:26" x14ac:dyDescent="0.25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</row>
    <row r="7" spans="1:26" ht="16.5" thickBot="1" x14ac:dyDescent="0.3">
      <c r="A7" s="92"/>
      <c r="B7" s="92" t="s">
        <v>147</v>
      </c>
      <c r="C7" s="92" t="s">
        <v>112</v>
      </c>
      <c r="D7" s="93"/>
      <c r="E7" s="93"/>
      <c r="F7" s="93"/>
      <c r="G7" s="93"/>
      <c r="H7" s="93"/>
      <c r="I7" s="93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x14ac:dyDescent="0.25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ht="16.5" thickBot="1" x14ac:dyDescent="0.3">
      <c r="A9" s="92"/>
      <c r="B9" s="92" t="s">
        <v>172</v>
      </c>
      <c r="C9" s="92" t="s">
        <v>112</v>
      </c>
      <c r="D9" s="93"/>
      <c r="E9" s="93"/>
      <c r="F9" s="93"/>
      <c r="G9" s="93"/>
      <c r="H9" s="93"/>
      <c r="I9" s="93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x14ac:dyDescent="0.25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ht="16.5" thickBot="1" x14ac:dyDescent="0.3">
      <c r="A11" s="92"/>
      <c r="B11" s="92" t="s">
        <v>127</v>
      </c>
      <c r="C11" s="92" t="s">
        <v>112</v>
      </c>
      <c r="D11" s="93"/>
      <c r="E11" s="93"/>
      <c r="F11" s="93"/>
      <c r="G11" s="93"/>
      <c r="H11" s="93"/>
      <c r="I11" s="93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x14ac:dyDescent="0.25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ht="16.5" thickBot="1" x14ac:dyDescent="0.3">
      <c r="A13" s="92"/>
      <c r="B13" s="92" t="s">
        <v>128</v>
      </c>
      <c r="C13" s="92" t="s">
        <v>112</v>
      </c>
      <c r="D13" s="93"/>
      <c r="E13" s="93"/>
      <c r="F13" s="93"/>
      <c r="G13" s="93"/>
      <c r="H13" s="93"/>
      <c r="I13" s="93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x14ac:dyDescent="0.25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ht="16.5" thickBot="1" x14ac:dyDescent="0.3">
      <c r="A15" s="92"/>
      <c r="B15" s="92" t="s">
        <v>129</v>
      </c>
      <c r="C15" s="92" t="s">
        <v>112</v>
      </c>
      <c r="D15" s="93"/>
      <c r="E15" s="93"/>
      <c r="F15" s="93"/>
      <c r="G15" s="93"/>
      <c r="H15" s="93"/>
      <c r="I15" s="93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x14ac:dyDescent="0.25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x14ac:dyDescent="0.25">
      <c r="A17" s="92" t="s">
        <v>194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x14ac:dyDescent="0.25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ht="16.5" thickBot="1" x14ac:dyDescent="0.3">
      <c r="A19" s="92"/>
      <c r="B19" s="92" t="s">
        <v>127</v>
      </c>
      <c r="C19" s="92" t="s">
        <v>112</v>
      </c>
      <c r="D19" s="93"/>
      <c r="E19" s="93"/>
      <c r="F19" s="93"/>
      <c r="G19" s="93"/>
      <c r="H19" s="93"/>
      <c r="I19" s="93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x14ac:dyDescent="0.25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ht="16.5" thickBot="1" x14ac:dyDescent="0.3">
      <c r="A21" s="92"/>
      <c r="B21" s="92" t="s">
        <v>128</v>
      </c>
      <c r="C21" s="92" t="s">
        <v>112</v>
      </c>
      <c r="D21" s="93"/>
      <c r="E21" s="93"/>
      <c r="F21" s="93"/>
      <c r="G21" s="93"/>
      <c r="H21" s="93"/>
      <c r="I21" s="93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x14ac:dyDescent="0.25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ht="16.5" thickBot="1" x14ac:dyDescent="0.3">
      <c r="A23" s="92"/>
      <c r="B23" s="92" t="s">
        <v>129</v>
      </c>
      <c r="C23" s="92" t="s">
        <v>112</v>
      </c>
      <c r="D23" s="93"/>
      <c r="E23" s="93"/>
      <c r="F23" s="93"/>
      <c r="G23" s="93"/>
      <c r="H23" s="93"/>
      <c r="I23" s="93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ht="16.5" thickBot="1" x14ac:dyDescent="0.3">
      <c r="A25" s="92"/>
      <c r="B25" s="92" t="s">
        <v>130</v>
      </c>
      <c r="C25" s="92" t="s">
        <v>112</v>
      </c>
      <c r="D25" s="93"/>
      <c r="E25" s="93"/>
      <c r="F25" s="93"/>
      <c r="G25" s="93"/>
      <c r="H25" s="93"/>
      <c r="I25" s="93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x14ac:dyDescent="0.25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ht="16.5" thickBot="1" x14ac:dyDescent="0.3">
      <c r="A27" s="92"/>
      <c r="B27" s="92" t="s">
        <v>131</v>
      </c>
      <c r="C27" s="92" t="s">
        <v>112</v>
      </c>
      <c r="D27" s="93"/>
      <c r="E27" s="93"/>
      <c r="F27" s="93"/>
      <c r="G27" s="93"/>
      <c r="H27" s="93"/>
      <c r="I27" s="93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x14ac:dyDescent="0.25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ht="16.5" thickBot="1" x14ac:dyDescent="0.3">
      <c r="A29" s="92"/>
      <c r="B29" s="92" t="s">
        <v>132</v>
      </c>
      <c r="C29" s="92" t="s">
        <v>112</v>
      </c>
      <c r="D29" s="93"/>
      <c r="E29" s="93"/>
      <c r="F29" s="93"/>
      <c r="G29" s="93"/>
      <c r="H29" s="93"/>
      <c r="I29" s="93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x14ac:dyDescent="0.25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ht="16.5" thickBot="1" x14ac:dyDescent="0.3">
      <c r="A31" s="92"/>
      <c r="B31" s="92" t="s">
        <v>133</v>
      </c>
      <c r="C31" s="92" t="s">
        <v>116</v>
      </c>
      <c r="D31" s="93"/>
      <c r="E31" s="93"/>
      <c r="F31" s="93"/>
      <c r="G31" s="93"/>
      <c r="H31" s="93"/>
      <c r="I31" s="93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x14ac:dyDescent="0.25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ht="16.5" thickBot="1" x14ac:dyDescent="0.3">
      <c r="A33" s="92"/>
      <c r="B33" s="92" t="s">
        <v>134</v>
      </c>
      <c r="C33" s="92" t="s">
        <v>112</v>
      </c>
      <c r="D33" s="93"/>
      <c r="E33" s="93"/>
      <c r="F33" s="93"/>
      <c r="G33" s="93"/>
      <c r="H33" s="93"/>
      <c r="I33" s="93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x14ac:dyDescent="0.25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ht="16.5" thickBot="1" x14ac:dyDescent="0.3">
      <c r="A35" s="92"/>
      <c r="B35" s="92" t="s">
        <v>135</v>
      </c>
      <c r="C35" s="92" t="s">
        <v>112</v>
      </c>
      <c r="D35" s="93"/>
      <c r="E35" s="93"/>
      <c r="F35" s="93"/>
      <c r="G35" s="93"/>
      <c r="H35" s="93"/>
      <c r="I35" s="93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x14ac:dyDescent="0.25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ht="16.5" thickBot="1" x14ac:dyDescent="0.3">
      <c r="A37" s="92"/>
      <c r="B37" s="92" t="s">
        <v>136</v>
      </c>
      <c r="C37" s="92" t="s">
        <v>112</v>
      </c>
      <c r="D37" s="93"/>
      <c r="E37" s="93"/>
      <c r="F37" s="93"/>
      <c r="G37" s="93"/>
      <c r="H37" s="93"/>
      <c r="I37" s="93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x14ac:dyDescent="0.25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x14ac:dyDescent="0.25">
      <c r="A39" s="92" t="s">
        <v>196</v>
      </c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x14ac:dyDescent="0.25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ht="16.5" thickBot="1" x14ac:dyDescent="0.3">
      <c r="A41" s="92"/>
      <c r="B41" s="92" t="s">
        <v>129</v>
      </c>
      <c r="C41" s="92" t="s">
        <v>8</v>
      </c>
      <c r="D41" s="93"/>
      <c r="E41" s="93"/>
      <c r="F41" s="93"/>
      <c r="G41" s="93"/>
      <c r="H41" s="93"/>
      <c r="I41" s="93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x14ac:dyDescent="0.25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ht="16.5" thickBot="1" x14ac:dyDescent="0.3">
      <c r="A43" s="92"/>
      <c r="B43" s="92" t="s">
        <v>130</v>
      </c>
      <c r="C43" s="92" t="s">
        <v>106</v>
      </c>
      <c r="D43" s="93"/>
      <c r="E43" s="93"/>
      <c r="F43" s="93"/>
      <c r="G43" s="93"/>
      <c r="H43" s="93"/>
      <c r="I43" s="93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x14ac:dyDescent="0.25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ht="16.5" thickBot="1" x14ac:dyDescent="0.3">
      <c r="A45" s="92"/>
      <c r="B45" s="92" t="s">
        <v>131</v>
      </c>
      <c r="C45" s="92" t="s">
        <v>288</v>
      </c>
      <c r="D45" s="93"/>
      <c r="E45" s="93"/>
      <c r="F45" s="93"/>
      <c r="G45" s="93"/>
      <c r="H45" s="93"/>
      <c r="I45" s="93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x14ac:dyDescent="0.25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ht="16.5" thickBot="1" x14ac:dyDescent="0.3">
      <c r="A47" s="92"/>
      <c r="B47" s="92" t="s">
        <v>132</v>
      </c>
      <c r="C47" s="92" t="s">
        <v>45</v>
      </c>
      <c r="D47" s="93"/>
      <c r="E47" s="93"/>
      <c r="F47" s="93"/>
      <c r="G47" s="93"/>
      <c r="H47" s="93"/>
      <c r="I47" s="93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x14ac:dyDescent="0.25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ht="16.5" thickBot="1" x14ac:dyDescent="0.3">
      <c r="A49" s="92"/>
      <c r="B49" s="92" t="s">
        <v>133</v>
      </c>
      <c r="C49" s="92" t="s">
        <v>17</v>
      </c>
      <c r="D49" s="93"/>
      <c r="E49" s="93"/>
      <c r="F49" s="93"/>
      <c r="G49" s="93"/>
      <c r="H49" s="93"/>
      <c r="I49" s="93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x14ac:dyDescent="0.25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ht="16.5" thickBot="1" x14ac:dyDescent="0.3">
      <c r="A51" s="92"/>
      <c r="B51" s="92" t="s">
        <v>134</v>
      </c>
      <c r="C51" s="92" t="s">
        <v>111</v>
      </c>
      <c r="D51" s="93"/>
      <c r="E51" s="93"/>
      <c r="F51" s="93"/>
      <c r="G51" s="93"/>
      <c r="H51" s="93"/>
      <c r="I51" s="93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x14ac:dyDescent="0.25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ht="16.5" thickBot="1" x14ac:dyDescent="0.3">
      <c r="A53" s="92"/>
      <c r="B53" s="92" t="s">
        <v>135</v>
      </c>
      <c r="C53" s="92" t="s">
        <v>45</v>
      </c>
      <c r="D53" s="93"/>
      <c r="E53" s="93"/>
      <c r="F53" s="93"/>
      <c r="G53" s="93"/>
      <c r="H53" s="93"/>
      <c r="I53" s="93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x14ac:dyDescent="0.25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x14ac:dyDescent="0.25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x14ac:dyDescent="0.25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x14ac:dyDescent="0.25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x14ac:dyDescent="0.25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x14ac:dyDescent="0.25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x14ac:dyDescent="0.25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x14ac:dyDescent="0.25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x14ac:dyDescent="0.25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x14ac:dyDescent="0.25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x14ac:dyDescent="0.25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x14ac:dyDescent="0.25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x14ac:dyDescent="0.25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x14ac:dyDescent="0.25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x14ac:dyDescent="0.25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x14ac:dyDescent="0.25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x14ac:dyDescent="0.25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x14ac:dyDescent="0.25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x14ac:dyDescent="0.25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x14ac:dyDescent="0.25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x14ac:dyDescent="0.25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x14ac:dyDescent="0.25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x14ac:dyDescent="0.25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x14ac:dyDescent="0.25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x14ac:dyDescent="0.25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x14ac:dyDescent="0.25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x14ac:dyDescent="0.25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x14ac:dyDescent="0.25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x14ac:dyDescent="0.25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x14ac:dyDescent="0.25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x14ac:dyDescent="0.25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x14ac:dyDescent="0.25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x14ac:dyDescent="0.25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x14ac:dyDescent="0.25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x14ac:dyDescent="0.25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x14ac:dyDescent="0.25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x14ac:dyDescent="0.25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x14ac:dyDescent="0.25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x14ac:dyDescent="0.25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x14ac:dyDescent="0.25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x14ac:dyDescent="0.25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</row>
    <row r="97" spans="1:26" x14ac:dyDescent="0.25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</row>
    <row r="98" spans="1:26" x14ac:dyDescent="0.25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</row>
    <row r="99" spans="1:26" x14ac:dyDescent="0.25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x14ac:dyDescent="0.25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x14ac:dyDescent="0.25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x14ac:dyDescent="0.25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x14ac:dyDescent="0.25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x14ac:dyDescent="0.25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x14ac:dyDescent="0.25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x14ac:dyDescent="0.25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x14ac:dyDescent="0.25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x14ac:dyDescent="0.25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x14ac:dyDescent="0.25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x14ac:dyDescent="0.25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x14ac:dyDescent="0.25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x14ac:dyDescent="0.25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x14ac:dyDescent="0.25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x14ac:dyDescent="0.25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x14ac:dyDescent="0.25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x14ac:dyDescent="0.25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x14ac:dyDescent="0.25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x14ac:dyDescent="0.25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x14ac:dyDescent="0.25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x14ac:dyDescent="0.25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x14ac:dyDescent="0.25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x14ac:dyDescent="0.25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x14ac:dyDescent="0.25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x14ac:dyDescent="0.25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x14ac:dyDescent="0.25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x14ac:dyDescent="0.25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x14ac:dyDescent="0.25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x14ac:dyDescent="0.25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x14ac:dyDescent="0.25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x14ac:dyDescent="0.25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x14ac:dyDescent="0.25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x14ac:dyDescent="0.25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x14ac:dyDescent="0.25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x14ac:dyDescent="0.25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x14ac:dyDescent="0.25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x14ac:dyDescent="0.25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x14ac:dyDescent="0.25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x14ac:dyDescent="0.25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x14ac:dyDescent="0.25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x14ac:dyDescent="0.25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x14ac:dyDescent="0.25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x14ac:dyDescent="0.25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x14ac:dyDescent="0.25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x14ac:dyDescent="0.25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x14ac:dyDescent="0.25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x14ac:dyDescent="0.25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x14ac:dyDescent="0.25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x14ac:dyDescent="0.25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x14ac:dyDescent="0.25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x14ac:dyDescent="0.25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x14ac:dyDescent="0.25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x14ac:dyDescent="0.25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x14ac:dyDescent="0.25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x14ac:dyDescent="0.25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x14ac:dyDescent="0.25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x14ac:dyDescent="0.25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x14ac:dyDescent="0.25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x14ac:dyDescent="0.25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x14ac:dyDescent="0.25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x14ac:dyDescent="0.25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x14ac:dyDescent="0.25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x14ac:dyDescent="0.25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x14ac:dyDescent="0.25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x14ac:dyDescent="0.25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x14ac:dyDescent="0.25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x14ac:dyDescent="0.25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x14ac:dyDescent="0.25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x14ac:dyDescent="0.25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x14ac:dyDescent="0.25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x14ac:dyDescent="0.25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x14ac:dyDescent="0.25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x14ac:dyDescent="0.25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x14ac:dyDescent="0.25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x14ac:dyDescent="0.25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x14ac:dyDescent="0.25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x14ac:dyDescent="0.25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x14ac:dyDescent="0.25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x14ac:dyDescent="0.25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x14ac:dyDescent="0.25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x14ac:dyDescent="0.25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x14ac:dyDescent="0.25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x14ac:dyDescent="0.25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x14ac:dyDescent="0.25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x14ac:dyDescent="0.25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x14ac:dyDescent="0.25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x14ac:dyDescent="0.25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x14ac:dyDescent="0.25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x14ac:dyDescent="0.25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x14ac:dyDescent="0.25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x14ac:dyDescent="0.25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x14ac:dyDescent="0.25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x14ac:dyDescent="0.25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x14ac:dyDescent="0.25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x14ac:dyDescent="0.25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x14ac:dyDescent="0.25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</row>
    <row r="196" spans="1:26" x14ac:dyDescent="0.25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</row>
    <row r="197" spans="1:26" x14ac:dyDescent="0.25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</row>
    <row r="198" spans="1:26" x14ac:dyDescent="0.25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</row>
    <row r="199" spans="1:26" x14ac:dyDescent="0.25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</row>
    <row r="200" spans="1:26" x14ac:dyDescent="0.25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</row>
    <row r="201" spans="1:26" x14ac:dyDescent="0.25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</row>
    <row r="202" spans="1:26" x14ac:dyDescent="0.25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</row>
    <row r="203" spans="1:26" x14ac:dyDescent="0.25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</row>
    <row r="204" spans="1:26" x14ac:dyDescent="0.25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</row>
    <row r="205" spans="1:26" x14ac:dyDescent="0.25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</row>
    <row r="206" spans="1:26" x14ac:dyDescent="0.25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</row>
    <row r="207" spans="1:26" x14ac:dyDescent="0.25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</row>
    <row r="208" spans="1:26" x14ac:dyDescent="0.25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</row>
    <row r="209" spans="1:26" x14ac:dyDescent="0.25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</row>
    <row r="210" spans="1:26" x14ac:dyDescent="0.25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</row>
    <row r="211" spans="1:26" x14ac:dyDescent="0.25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</row>
    <row r="212" spans="1:26" x14ac:dyDescent="0.25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</row>
    <row r="213" spans="1:26" x14ac:dyDescent="0.25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</row>
    <row r="214" spans="1:26" x14ac:dyDescent="0.25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</row>
    <row r="215" spans="1:26" x14ac:dyDescent="0.25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</row>
    <row r="216" spans="1:26" x14ac:dyDescent="0.25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</row>
    <row r="217" spans="1:26" x14ac:dyDescent="0.25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</row>
    <row r="218" spans="1:26" x14ac:dyDescent="0.25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</row>
    <row r="219" spans="1:26" x14ac:dyDescent="0.25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</row>
    <row r="220" spans="1:26" x14ac:dyDescent="0.25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</row>
    <row r="221" spans="1:26" x14ac:dyDescent="0.25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</row>
    <row r="222" spans="1:26" x14ac:dyDescent="0.25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</row>
    <row r="223" spans="1:26" x14ac:dyDescent="0.25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</row>
    <row r="224" spans="1:26" x14ac:dyDescent="0.25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</row>
    <row r="225" spans="1:26" x14ac:dyDescent="0.25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</row>
    <row r="226" spans="1:26" x14ac:dyDescent="0.25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</row>
    <row r="227" spans="1:26" x14ac:dyDescent="0.25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</row>
    <row r="228" spans="1:26" x14ac:dyDescent="0.25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</row>
    <row r="229" spans="1:26" x14ac:dyDescent="0.2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</row>
    <row r="230" spans="1:26" x14ac:dyDescent="0.2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</row>
    <row r="231" spans="1:26" x14ac:dyDescent="0.2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</row>
    <row r="232" spans="1:26" x14ac:dyDescent="0.2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</row>
    <row r="233" spans="1:26" x14ac:dyDescent="0.2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</row>
    <row r="234" spans="1:26" x14ac:dyDescent="0.2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</row>
    <row r="235" spans="1:26" x14ac:dyDescent="0.2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</row>
    <row r="236" spans="1:26" x14ac:dyDescent="0.2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</row>
    <row r="237" spans="1:26" x14ac:dyDescent="0.2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</row>
    <row r="238" spans="1:26" x14ac:dyDescent="0.2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</row>
    <row r="239" spans="1:26" x14ac:dyDescent="0.2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</row>
    <row r="240" spans="1:26" x14ac:dyDescent="0.2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</row>
    <row r="241" spans="1:26" x14ac:dyDescent="0.2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</row>
    <row r="242" spans="1:26" x14ac:dyDescent="0.2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</row>
    <row r="243" spans="1:26" x14ac:dyDescent="0.2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</row>
    <row r="244" spans="1:26" x14ac:dyDescent="0.2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</row>
    <row r="245" spans="1:26" x14ac:dyDescent="0.2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</row>
    <row r="246" spans="1:26" x14ac:dyDescent="0.2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</row>
    <row r="247" spans="1:26" x14ac:dyDescent="0.2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</row>
    <row r="248" spans="1:26" x14ac:dyDescent="0.2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</row>
    <row r="249" spans="1:26" x14ac:dyDescent="0.2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</row>
    <row r="250" spans="1:26" x14ac:dyDescent="0.2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</row>
    <row r="251" spans="1:26" x14ac:dyDescent="0.2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</row>
    <row r="252" spans="1:26" x14ac:dyDescent="0.2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</row>
    <row r="253" spans="1:26" x14ac:dyDescent="0.2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</row>
    <row r="254" spans="1:26" x14ac:dyDescent="0.2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</row>
    <row r="255" spans="1:26" x14ac:dyDescent="0.2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</row>
    <row r="256" spans="1:26" x14ac:dyDescent="0.2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</row>
    <row r="257" spans="1:26" x14ac:dyDescent="0.2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</row>
    <row r="258" spans="1:26" x14ac:dyDescent="0.2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</row>
    <row r="259" spans="1:26" x14ac:dyDescent="0.2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</row>
    <row r="260" spans="1:26" x14ac:dyDescent="0.2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</row>
    <row r="261" spans="1:26" x14ac:dyDescent="0.2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</row>
    <row r="262" spans="1:26" x14ac:dyDescent="0.2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</row>
    <row r="263" spans="1:26" x14ac:dyDescent="0.2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</row>
    <row r="264" spans="1:26" x14ac:dyDescent="0.2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</row>
    <row r="265" spans="1:26" x14ac:dyDescent="0.2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</row>
    <row r="266" spans="1:26" x14ac:dyDescent="0.2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</row>
    <row r="267" spans="1:26" x14ac:dyDescent="0.2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</row>
    <row r="268" spans="1:26" x14ac:dyDescent="0.2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</row>
    <row r="269" spans="1:26" x14ac:dyDescent="0.2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</row>
    <row r="270" spans="1:26" x14ac:dyDescent="0.2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</row>
    <row r="271" spans="1:26" x14ac:dyDescent="0.2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</row>
    <row r="272" spans="1:26" x14ac:dyDescent="0.2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</row>
    <row r="273" spans="1:26" x14ac:dyDescent="0.2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</row>
    <row r="274" spans="1:26" x14ac:dyDescent="0.2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</row>
    <row r="275" spans="1:26" x14ac:dyDescent="0.2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</row>
    <row r="276" spans="1:26" x14ac:dyDescent="0.2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</row>
    <row r="277" spans="1:26" x14ac:dyDescent="0.2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</row>
    <row r="278" spans="1:26" x14ac:dyDescent="0.2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</row>
    <row r="279" spans="1:26" x14ac:dyDescent="0.2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</row>
    <row r="280" spans="1:26" x14ac:dyDescent="0.2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</row>
    <row r="281" spans="1:26" x14ac:dyDescent="0.2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</row>
    <row r="282" spans="1:26" x14ac:dyDescent="0.2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</row>
    <row r="283" spans="1:26" x14ac:dyDescent="0.2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</row>
    <row r="284" spans="1:26" x14ac:dyDescent="0.2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</row>
    <row r="285" spans="1:26" x14ac:dyDescent="0.2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</row>
    <row r="286" spans="1:26" x14ac:dyDescent="0.2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</row>
    <row r="287" spans="1:26" x14ac:dyDescent="0.2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</row>
    <row r="288" spans="1:26" x14ac:dyDescent="0.2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</row>
    <row r="289" spans="1:26" x14ac:dyDescent="0.2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</row>
    <row r="290" spans="1:26" x14ac:dyDescent="0.2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</row>
    <row r="291" spans="1:26" x14ac:dyDescent="0.2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</row>
    <row r="292" spans="1:26" x14ac:dyDescent="0.2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</row>
    <row r="293" spans="1:26" x14ac:dyDescent="0.2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</row>
    <row r="294" spans="1:26" x14ac:dyDescent="0.2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</row>
    <row r="295" spans="1:26" x14ac:dyDescent="0.2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</row>
    <row r="296" spans="1:26" x14ac:dyDescent="0.2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</row>
    <row r="297" spans="1:26" x14ac:dyDescent="0.2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</row>
    <row r="298" spans="1:26" x14ac:dyDescent="0.2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</row>
    <row r="299" spans="1:26" x14ac:dyDescent="0.2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</row>
    <row r="300" spans="1:26" x14ac:dyDescent="0.2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</row>
    <row r="301" spans="1:26" x14ac:dyDescent="0.2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</row>
    <row r="302" spans="1:26" x14ac:dyDescent="0.2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</row>
    <row r="303" spans="1:26" x14ac:dyDescent="0.2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</row>
    <row r="304" spans="1:26" x14ac:dyDescent="0.2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</row>
    <row r="305" spans="1:26" x14ac:dyDescent="0.2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</row>
    <row r="306" spans="1:26" x14ac:dyDescent="0.2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</row>
    <row r="307" spans="1:26" x14ac:dyDescent="0.2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</row>
    <row r="308" spans="1:26" x14ac:dyDescent="0.2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</row>
    <row r="309" spans="1:26" x14ac:dyDescent="0.2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</row>
    <row r="310" spans="1:26" x14ac:dyDescent="0.2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</row>
    <row r="311" spans="1:26" x14ac:dyDescent="0.2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</row>
    <row r="312" spans="1:26" x14ac:dyDescent="0.2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</row>
    <row r="313" spans="1:26" x14ac:dyDescent="0.2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</row>
    <row r="314" spans="1:26" x14ac:dyDescent="0.2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</row>
    <row r="315" spans="1:26" x14ac:dyDescent="0.2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</row>
    <row r="316" spans="1:26" x14ac:dyDescent="0.2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</row>
    <row r="317" spans="1:26" x14ac:dyDescent="0.2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</row>
    <row r="318" spans="1:26" x14ac:dyDescent="0.2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</row>
    <row r="319" spans="1:26" x14ac:dyDescent="0.2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</row>
    <row r="320" spans="1:26" x14ac:dyDescent="0.2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</row>
    <row r="321" spans="1:26" x14ac:dyDescent="0.2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</row>
    <row r="322" spans="1:26" x14ac:dyDescent="0.2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</row>
    <row r="323" spans="1:26" x14ac:dyDescent="0.2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</row>
    <row r="324" spans="1:26" x14ac:dyDescent="0.2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</row>
    <row r="325" spans="1:26" x14ac:dyDescent="0.2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</row>
    <row r="326" spans="1:26" x14ac:dyDescent="0.2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</row>
    <row r="327" spans="1:26" x14ac:dyDescent="0.2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</row>
    <row r="328" spans="1:26" x14ac:dyDescent="0.2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</row>
    <row r="329" spans="1:26" x14ac:dyDescent="0.2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</row>
    <row r="330" spans="1:26" x14ac:dyDescent="0.2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</row>
    <row r="331" spans="1:26" x14ac:dyDescent="0.2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</row>
    <row r="332" spans="1:26" x14ac:dyDescent="0.2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</row>
    <row r="333" spans="1:26" x14ac:dyDescent="0.2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</row>
    <row r="334" spans="1:26" x14ac:dyDescent="0.2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</row>
    <row r="335" spans="1:26" x14ac:dyDescent="0.2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</row>
    <row r="336" spans="1:26" x14ac:dyDescent="0.2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</row>
    <row r="337" spans="1:26" x14ac:dyDescent="0.2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</row>
    <row r="338" spans="1:26" x14ac:dyDescent="0.2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</row>
    <row r="339" spans="1:26" x14ac:dyDescent="0.2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</row>
    <row r="340" spans="1:26" x14ac:dyDescent="0.2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</row>
    <row r="341" spans="1:26" x14ac:dyDescent="0.2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</row>
    <row r="342" spans="1:26" x14ac:dyDescent="0.2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</row>
    <row r="343" spans="1:26" x14ac:dyDescent="0.2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</row>
    <row r="344" spans="1:26" x14ac:dyDescent="0.2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</row>
    <row r="345" spans="1:26" x14ac:dyDescent="0.2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</row>
    <row r="346" spans="1:26" x14ac:dyDescent="0.2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</row>
    <row r="347" spans="1:26" x14ac:dyDescent="0.2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</row>
    <row r="348" spans="1:26" x14ac:dyDescent="0.2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</row>
    <row r="349" spans="1:26" x14ac:dyDescent="0.2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</row>
    <row r="350" spans="1:26" x14ac:dyDescent="0.2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</row>
    <row r="351" spans="1:26" x14ac:dyDescent="0.2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</row>
    <row r="352" spans="1:26" x14ac:dyDescent="0.2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</row>
    <row r="353" spans="1:26" x14ac:dyDescent="0.2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</row>
    <row r="354" spans="1:26" x14ac:dyDescent="0.2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</row>
    <row r="355" spans="1:26" x14ac:dyDescent="0.2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</row>
    <row r="356" spans="1:26" x14ac:dyDescent="0.2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</row>
    <row r="357" spans="1:26" x14ac:dyDescent="0.2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</row>
    <row r="358" spans="1:26" x14ac:dyDescent="0.2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</row>
    <row r="359" spans="1:26" x14ac:dyDescent="0.2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</row>
    <row r="360" spans="1:26" x14ac:dyDescent="0.2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</row>
    <row r="361" spans="1:26" x14ac:dyDescent="0.2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</row>
    <row r="362" spans="1:26" x14ac:dyDescent="0.2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</row>
    <row r="363" spans="1:26" x14ac:dyDescent="0.2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</row>
    <row r="364" spans="1:26" x14ac:dyDescent="0.2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</row>
    <row r="365" spans="1:26" x14ac:dyDescent="0.2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</row>
    <row r="366" spans="1:26" x14ac:dyDescent="0.2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</row>
    <row r="367" spans="1:26" x14ac:dyDescent="0.2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</row>
    <row r="368" spans="1:26" x14ac:dyDescent="0.2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</row>
    <row r="369" spans="1:26" x14ac:dyDescent="0.2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</row>
    <row r="370" spans="1:26" x14ac:dyDescent="0.2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</row>
    <row r="371" spans="1:26" x14ac:dyDescent="0.2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</row>
    <row r="372" spans="1:26" x14ac:dyDescent="0.2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</row>
    <row r="373" spans="1:26" x14ac:dyDescent="0.2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</row>
    <row r="374" spans="1:26" x14ac:dyDescent="0.2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</row>
    <row r="375" spans="1:26" x14ac:dyDescent="0.2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</row>
    <row r="376" spans="1:26" x14ac:dyDescent="0.2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</row>
    <row r="377" spans="1:26" x14ac:dyDescent="0.2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</row>
    <row r="378" spans="1:26" x14ac:dyDescent="0.2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</row>
    <row r="379" spans="1:26" x14ac:dyDescent="0.2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</row>
    <row r="380" spans="1:26" x14ac:dyDescent="0.2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</row>
    <row r="381" spans="1:26" x14ac:dyDescent="0.2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</row>
    <row r="382" spans="1:26" x14ac:dyDescent="0.2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</row>
    <row r="383" spans="1:26" x14ac:dyDescent="0.2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</row>
    <row r="384" spans="1:26" x14ac:dyDescent="0.2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</row>
    <row r="385" spans="1:26" x14ac:dyDescent="0.2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</row>
    <row r="386" spans="1:26" x14ac:dyDescent="0.2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</row>
    <row r="387" spans="1:26" x14ac:dyDescent="0.2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</row>
    <row r="388" spans="1:26" x14ac:dyDescent="0.2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</row>
    <row r="389" spans="1:26" x14ac:dyDescent="0.2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</row>
    <row r="390" spans="1:26" x14ac:dyDescent="0.2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</row>
    <row r="391" spans="1:26" x14ac:dyDescent="0.2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</row>
    <row r="392" spans="1:26" x14ac:dyDescent="0.2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</row>
    <row r="393" spans="1:26" x14ac:dyDescent="0.2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</row>
    <row r="394" spans="1:26" x14ac:dyDescent="0.2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</row>
    <row r="395" spans="1:26" x14ac:dyDescent="0.2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</row>
    <row r="396" spans="1:26" x14ac:dyDescent="0.2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</row>
    <row r="397" spans="1:26" x14ac:dyDescent="0.2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</row>
    <row r="398" spans="1:26" x14ac:dyDescent="0.2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</row>
    <row r="399" spans="1:26" x14ac:dyDescent="0.2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</row>
    <row r="400" spans="1:26" x14ac:dyDescent="0.2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</row>
    <row r="401" spans="1:26" x14ac:dyDescent="0.2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</row>
    <row r="402" spans="1:26" x14ac:dyDescent="0.2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</row>
    <row r="403" spans="1:26" x14ac:dyDescent="0.2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</row>
    <row r="404" spans="1:26" x14ac:dyDescent="0.2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</row>
    <row r="405" spans="1:26" x14ac:dyDescent="0.2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</row>
    <row r="406" spans="1:26" x14ac:dyDescent="0.2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</row>
    <row r="407" spans="1:26" x14ac:dyDescent="0.2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</row>
    <row r="408" spans="1:26" x14ac:dyDescent="0.2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</row>
    <row r="409" spans="1:26" x14ac:dyDescent="0.2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</row>
    <row r="410" spans="1:26" x14ac:dyDescent="0.2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</row>
    <row r="411" spans="1:26" x14ac:dyDescent="0.2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</row>
    <row r="412" spans="1:26" x14ac:dyDescent="0.2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</row>
    <row r="413" spans="1:26" x14ac:dyDescent="0.2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</row>
    <row r="414" spans="1:26" x14ac:dyDescent="0.2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</row>
    <row r="415" spans="1:26" x14ac:dyDescent="0.2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</row>
    <row r="416" spans="1:26" x14ac:dyDescent="0.2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</row>
    <row r="417" spans="1:26" x14ac:dyDescent="0.2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</row>
    <row r="418" spans="1:26" x14ac:dyDescent="0.2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</row>
    <row r="419" spans="1:26" x14ac:dyDescent="0.2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</row>
    <row r="420" spans="1:26" x14ac:dyDescent="0.25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</row>
    <row r="421" spans="1:26" x14ac:dyDescent="0.25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</row>
    <row r="422" spans="1:26" x14ac:dyDescent="0.25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</row>
    <row r="423" spans="1:26" x14ac:dyDescent="0.25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</row>
    <row r="424" spans="1:26" x14ac:dyDescent="0.25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</row>
    <row r="425" spans="1:26" x14ac:dyDescent="0.25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</row>
    <row r="426" spans="1:26" x14ac:dyDescent="0.25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</row>
    <row r="427" spans="1:26" x14ac:dyDescent="0.25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</row>
    <row r="428" spans="1:26" x14ac:dyDescent="0.25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</row>
    <row r="429" spans="1:26" x14ac:dyDescent="0.25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</row>
    <row r="430" spans="1:26" x14ac:dyDescent="0.25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</row>
    <row r="431" spans="1:26" x14ac:dyDescent="0.25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</row>
    <row r="432" spans="1:26" x14ac:dyDescent="0.25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</row>
    <row r="433" spans="1:26" x14ac:dyDescent="0.25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</row>
    <row r="434" spans="1:26" x14ac:dyDescent="0.25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</row>
    <row r="435" spans="1:26" x14ac:dyDescent="0.25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</row>
    <row r="436" spans="1:26" x14ac:dyDescent="0.25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</row>
    <row r="437" spans="1:26" x14ac:dyDescent="0.25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</row>
    <row r="438" spans="1:26" x14ac:dyDescent="0.25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</row>
    <row r="439" spans="1:26" x14ac:dyDescent="0.25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</row>
    <row r="440" spans="1:26" x14ac:dyDescent="0.25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</row>
    <row r="441" spans="1:26" x14ac:dyDescent="0.25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</row>
    <row r="442" spans="1:26" x14ac:dyDescent="0.25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</row>
    <row r="443" spans="1:26" x14ac:dyDescent="0.25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</row>
    <row r="444" spans="1:26" x14ac:dyDescent="0.25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</row>
    <row r="445" spans="1:26" x14ac:dyDescent="0.25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</row>
    <row r="446" spans="1:26" x14ac:dyDescent="0.25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</row>
    <row r="447" spans="1:26" x14ac:dyDescent="0.25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</row>
    <row r="448" spans="1:26" x14ac:dyDescent="0.25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</row>
    <row r="449" spans="1:26" x14ac:dyDescent="0.25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</row>
    <row r="450" spans="1:26" x14ac:dyDescent="0.25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</row>
    <row r="451" spans="1:26" x14ac:dyDescent="0.25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</row>
    <row r="452" spans="1:26" x14ac:dyDescent="0.25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</row>
    <row r="453" spans="1:26" x14ac:dyDescent="0.25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</row>
    <row r="454" spans="1:26" x14ac:dyDescent="0.25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</row>
    <row r="455" spans="1:26" x14ac:dyDescent="0.25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</row>
    <row r="456" spans="1:26" x14ac:dyDescent="0.25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</row>
    <row r="457" spans="1:26" x14ac:dyDescent="0.25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</row>
    <row r="458" spans="1:26" x14ac:dyDescent="0.25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</row>
    <row r="459" spans="1:26" x14ac:dyDescent="0.25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</row>
    <row r="460" spans="1:26" x14ac:dyDescent="0.25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</row>
    <row r="461" spans="1:26" x14ac:dyDescent="0.25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</row>
    <row r="462" spans="1:26" x14ac:dyDescent="0.25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</row>
    <row r="463" spans="1:26" x14ac:dyDescent="0.25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</row>
    <row r="464" spans="1:26" x14ac:dyDescent="0.25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</row>
    <row r="465" spans="1:26" x14ac:dyDescent="0.25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</row>
    <row r="466" spans="1:26" x14ac:dyDescent="0.25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</row>
    <row r="467" spans="1:26" x14ac:dyDescent="0.25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</row>
    <row r="468" spans="1:26" x14ac:dyDescent="0.25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</row>
    <row r="469" spans="1:26" x14ac:dyDescent="0.25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</row>
    <row r="470" spans="1:26" x14ac:dyDescent="0.25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</row>
    <row r="471" spans="1:26" x14ac:dyDescent="0.25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</row>
    <row r="472" spans="1:26" x14ac:dyDescent="0.25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</row>
    <row r="473" spans="1:26" x14ac:dyDescent="0.25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</row>
    <row r="474" spans="1:26" x14ac:dyDescent="0.25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</row>
    <row r="475" spans="1:26" x14ac:dyDescent="0.25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</row>
    <row r="476" spans="1:26" x14ac:dyDescent="0.25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</row>
    <row r="477" spans="1:26" x14ac:dyDescent="0.25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</row>
    <row r="478" spans="1:26" x14ac:dyDescent="0.25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</row>
    <row r="479" spans="1:26" x14ac:dyDescent="0.25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</row>
    <row r="480" spans="1:26" x14ac:dyDescent="0.25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</row>
    <row r="481" spans="1:26" x14ac:dyDescent="0.25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</row>
    <row r="482" spans="1:26" x14ac:dyDescent="0.25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</row>
    <row r="483" spans="1:26" x14ac:dyDescent="0.25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</row>
    <row r="484" spans="1:26" x14ac:dyDescent="0.25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</row>
    <row r="485" spans="1:26" x14ac:dyDescent="0.25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</row>
    <row r="486" spans="1:26" x14ac:dyDescent="0.25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</row>
    <row r="487" spans="1:26" x14ac:dyDescent="0.25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</row>
    <row r="488" spans="1:26" x14ac:dyDescent="0.25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</row>
    <row r="489" spans="1:26" x14ac:dyDescent="0.25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</row>
    <row r="490" spans="1:26" x14ac:dyDescent="0.25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</row>
    <row r="491" spans="1:26" x14ac:dyDescent="0.25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</row>
    <row r="492" spans="1:26" x14ac:dyDescent="0.25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</row>
    <row r="493" spans="1:26" x14ac:dyDescent="0.25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</row>
    <row r="494" spans="1:26" x14ac:dyDescent="0.25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</row>
    <row r="495" spans="1:26" x14ac:dyDescent="0.25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</row>
    <row r="496" spans="1:26" x14ac:dyDescent="0.25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</row>
    <row r="497" spans="1:26" x14ac:dyDescent="0.25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</row>
    <row r="498" spans="1:26" x14ac:dyDescent="0.25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</row>
    <row r="499" spans="1:26" x14ac:dyDescent="0.25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</row>
    <row r="500" spans="1:26" x14ac:dyDescent="0.25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</row>
    <row r="501" spans="1:26" x14ac:dyDescent="0.25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</row>
    <row r="502" spans="1:26" x14ac:dyDescent="0.25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</row>
    <row r="503" spans="1:26" x14ac:dyDescent="0.25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</row>
    <row r="504" spans="1:26" x14ac:dyDescent="0.25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</row>
    <row r="505" spans="1:26" x14ac:dyDescent="0.25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</row>
    <row r="506" spans="1:26" x14ac:dyDescent="0.25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</row>
    <row r="507" spans="1:26" x14ac:dyDescent="0.25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</row>
    <row r="508" spans="1:26" x14ac:dyDescent="0.25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</row>
    <row r="509" spans="1:26" x14ac:dyDescent="0.25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</row>
    <row r="510" spans="1:26" x14ac:dyDescent="0.25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</row>
    <row r="511" spans="1:26" x14ac:dyDescent="0.25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</row>
    <row r="512" spans="1:26" x14ac:dyDescent="0.25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</row>
    <row r="513" spans="1:26" x14ac:dyDescent="0.25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</row>
    <row r="514" spans="1:26" x14ac:dyDescent="0.25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</row>
    <row r="515" spans="1:26" x14ac:dyDescent="0.25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</row>
    <row r="516" spans="1:26" x14ac:dyDescent="0.25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</row>
    <row r="517" spans="1:26" x14ac:dyDescent="0.25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</row>
    <row r="518" spans="1:26" x14ac:dyDescent="0.25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</row>
    <row r="519" spans="1:26" x14ac:dyDescent="0.25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</row>
    <row r="520" spans="1:26" x14ac:dyDescent="0.25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</row>
    <row r="521" spans="1:26" x14ac:dyDescent="0.25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</row>
    <row r="522" spans="1:26" x14ac:dyDescent="0.25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</row>
    <row r="523" spans="1:26" x14ac:dyDescent="0.25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</row>
    <row r="524" spans="1:26" x14ac:dyDescent="0.25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</row>
    <row r="525" spans="1:26" x14ac:dyDescent="0.25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</row>
    <row r="526" spans="1:26" x14ac:dyDescent="0.25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</row>
    <row r="527" spans="1:26" x14ac:dyDescent="0.25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</row>
    <row r="528" spans="1:26" x14ac:dyDescent="0.25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</row>
    <row r="529" spans="1:26" x14ac:dyDescent="0.25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</row>
    <row r="530" spans="1:26" x14ac:dyDescent="0.25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</row>
    <row r="531" spans="1:26" x14ac:dyDescent="0.25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</row>
    <row r="532" spans="1:26" x14ac:dyDescent="0.25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</row>
    <row r="533" spans="1:26" x14ac:dyDescent="0.25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</row>
    <row r="534" spans="1:26" x14ac:dyDescent="0.25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</row>
    <row r="535" spans="1:26" x14ac:dyDescent="0.25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</row>
    <row r="536" spans="1:26" x14ac:dyDescent="0.25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</row>
    <row r="537" spans="1:26" x14ac:dyDescent="0.25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</row>
    <row r="538" spans="1:26" x14ac:dyDescent="0.25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</row>
    <row r="539" spans="1:26" x14ac:dyDescent="0.25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</row>
    <row r="540" spans="1:26" x14ac:dyDescent="0.25">
      <c r="A540" s="92"/>
      <c r="B540" s="92"/>
      <c r="C540" s="92"/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</row>
    <row r="541" spans="1:26" x14ac:dyDescent="0.25">
      <c r="A541" s="92"/>
      <c r="B541" s="92"/>
      <c r="C541" s="92"/>
      <c r="D541" s="92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</row>
    <row r="542" spans="1:26" x14ac:dyDescent="0.25">
      <c r="A542" s="92"/>
      <c r="B542" s="92"/>
      <c r="C542" s="92"/>
      <c r="D542" s="92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</row>
    <row r="543" spans="1:26" x14ac:dyDescent="0.25">
      <c r="A543" s="92"/>
      <c r="B543" s="92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</row>
    <row r="544" spans="1:26" x14ac:dyDescent="0.25">
      <c r="A544" s="92"/>
      <c r="B544" s="92"/>
      <c r="C544" s="92"/>
      <c r="D544" s="92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</row>
    <row r="545" spans="1:26" x14ac:dyDescent="0.25">
      <c r="A545" s="92"/>
      <c r="B545" s="92"/>
      <c r="C545" s="92"/>
      <c r="D545" s="92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</row>
    <row r="546" spans="1:26" x14ac:dyDescent="0.25">
      <c r="A546" s="92"/>
      <c r="B546" s="92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</row>
    <row r="547" spans="1:26" x14ac:dyDescent="0.25">
      <c r="A547" s="92"/>
      <c r="B547" s="92"/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</row>
    <row r="548" spans="1:26" x14ac:dyDescent="0.25">
      <c r="A548" s="92"/>
      <c r="B548" s="92"/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</row>
    <row r="549" spans="1:26" x14ac:dyDescent="0.25">
      <c r="A549" s="92"/>
      <c r="B549" s="92"/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</row>
    <row r="550" spans="1:26" x14ac:dyDescent="0.25">
      <c r="A550" s="92"/>
      <c r="B550" s="92"/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</row>
    <row r="551" spans="1:26" x14ac:dyDescent="0.25">
      <c r="A551" s="92"/>
      <c r="B551" s="92"/>
      <c r="C551" s="92"/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</row>
    <row r="552" spans="1:26" x14ac:dyDescent="0.25">
      <c r="A552" s="92"/>
      <c r="B552" s="92"/>
      <c r="C552" s="92"/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</row>
    <row r="553" spans="1:26" x14ac:dyDescent="0.25">
      <c r="A553" s="92"/>
      <c r="B553" s="92"/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X553" s="92"/>
      <c r="Y553" s="92"/>
      <c r="Z553" s="92"/>
    </row>
    <row r="554" spans="1:26" x14ac:dyDescent="0.25">
      <c r="A554" s="92"/>
      <c r="B554" s="92"/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</row>
    <row r="555" spans="1:26" x14ac:dyDescent="0.25">
      <c r="A555" s="92"/>
      <c r="B555" s="92"/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</row>
    <row r="556" spans="1:26" x14ac:dyDescent="0.25">
      <c r="A556" s="92"/>
      <c r="B556" s="92"/>
      <c r="C556" s="92"/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</row>
    <row r="557" spans="1:26" x14ac:dyDescent="0.25">
      <c r="A557" s="92"/>
      <c r="B557" s="92"/>
      <c r="C557" s="92"/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X557" s="92"/>
      <c r="Y557" s="92"/>
      <c r="Z557" s="92"/>
    </row>
    <row r="558" spans="1:26" x14ac:dyDescent="0.25">
      <c r="A558" s="92"/>
      <c r="B558" s="92"/>
      <c r="C558" s="92"/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</row>
    <row r="559" spans="1:26" x14ac:dyDescent="0.25">
      <c r="A559" s="92"/>
      <c r="B559" s="92"/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</row>
    <row r="560" spans="1:26" x14ac:dyDescent="0.25">
      <c r="A560" s="92"/>
      <c r="B560" s="92"/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</row>
    <row r="561" spans="1:26" x14ac:dyDescent="0.25">
      <c r="A561" s="92"/>
      <c r="B561" s="92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</row>
    <row r="562" spans="1:26" x14ac:dyDescent="0.25">
      <c r="A562" s="92"/>
      <c r="B562" s="92"/>
      <c r="C562" s="92"/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</row>
    <row r="563" spans="1:26" x14ac:dyDescent="0.25">
      <c r="A563" s="92"/>
      <c r="B563" s="92"/>
      <c r="C563" s="92"/>
      <c r="D563" s="92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</row>
    <row r="564" spans="1:26" x14ac:dyDescent="0.25">
      <c r="A564" s="92"/>
      <c r="B564" s="92"/>
      <c r="C564" s="92"/>
      <c r="D564" s="92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</row>
    <row r="565" spans="1:26" x14ac:dyDescent="0.25">
      <c r="A565" s="92"/>
      <c r="B565" s="92"/>
      <c r="C565" s="92"/>
      <c r="D565" s="92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</row>
    <row r="566" spans="1:26" x14ac:dyDescent="0.25">
      <c r="A566" s="92"/>
      <c r="B566" s="92"/>
      <c r="C566" s="92"/>
      <c r="D566" s="92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</row>
    <row r="567" spans="1:26" x14ac:dyDescent="0.25">
      <c r="A567" s="92"/>
      <c r="B567" s="92"/>
      <c r="C567" s="92"/>
      <c r="D567" s="92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</row>
    <row r="568" spans="1:26" x14ac:dyDescent="0.25">
      <c r="A568" s="92"/>
      <c r="B568" s="92"/>
      <c r="C568" s="92"/>
      <c r="D568" s="92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</row>
    <row r="569" spans="1:26" x14ac:dyDescent="0.25">
      <c r="A569" s="92"/>
      <c r="B569" s="92"/>
      <c r="C569" s="92"/>
      <c r="D569" s="92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</row>
    <row r="570" spans="1:26" x14ac:dyDescent="0.25">
      <c r="A570" s="92"/>
      <c r="B570" s="92"/>
      <c r="C570" s="92"/>
      <c r="D570" s="92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</row>
    <row r="571" spans="1:26" x14ac:dyDescent="0.25">
      <c r="A571" s="92"/>
      <c r="B571" s="92"/>
      <c r="C571" s="92"/>
      <c r="D571" s="92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</row>
    <row r="572" spans="1:26" x14ac:dyDescent="0.25">
      <c r="A572" s="92"/>
      <c r="B572" s="92"/>
      <c r="C572" s="92"/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</row>
    <row r="573" spans="1:26" x14ac:dyDescent="0.25">
      <c r="A573" s="92"/>
      <c r="B573" s="92"/>
      <c r="C573" s="92"/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</row>
    <row r="574" spans="1:26" x14ac:dyDescent="0.25">
      <c r="A574" s="92"/>
      <c r="B574" s="92"/>
      <c r="C574" s="92"/>
      <c r="D574" s="92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</row>
    <row r="575" spans="1:26" x14ac:dyDescent="0.25">
      <c r="A575" s="92"/>
      <c r="B575" s="92"/>
      <c r="C575" s="92"/>
      <c r="D575" s="92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</row>
    <row r="576" spans="1:26" x14ac:dyDescent="0.25">
      <c r="A576" s="92"/>
      <c r="B576" s="92"/>
      <c r="C576" s="92"/>
      <c r="D576" s="92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</row>
    <row r="577" spans="1:26" x14ac:dyDescent="0.25">
      <c r="A577" s="92"/>
      <c r="B577" s="92"/>
      <c r="C577" s="92"/>
      <c r="D577" s="92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</row>
    <row r="578" spans="1:26" x14ac:dyDescent="0.25">
      <c r="A578" s="92"/>
      <c r="B578" s="92"/>
      <c r="C578" s="92"/>
      <c r="D578" s="92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</row>
    <row r="579" spans="1:26" x14ac:dyDescent="0.25">
      <c r="A579" s="92"/>
      <c r="B579" s="92"/>
      <c r="C579" s="92"/>
      <c r="D579" s="92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</row>
    <row r="580" spans="1:26" x14ac:dyDescent="0.25">
      <c r="A580" s="92"/>
      <c r="B580" s="92"/>
      <c r="C580" s="92"/>
      <c r="D580" s="92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</row>
    <row r="581" spans="1:26" x14ac:dyDescent="0.25">
      <c r="A581" s="92"/>
      <c r="B581" s="92"/>
      <c r="C581" s="92"/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</row>
    <row r="582" spans="1:26" x14ac:dyDescent="0.25">
      <c r="A582" s="92"/>
      <c r="B582" s="92"/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</row>
    <row r="583" spans="1:26" x14ac:dyDescent="0.25">
      <c r="A583" s="92"/>
      <c r="B583" s="92"/>
      <c r="C583" s="92"/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</row>
    <row r="584" spans="1:26" x14ac:dyDescent="0.25">
      <c r="A584" s="92"/>
      <c r="B584" s="92"/>
      <c r="C584" s="92"/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</row>
    <row r="585" spans="1:26" x14ac:dyDescent="0.25">
      <c r="A585" s="92"/>
      <c r="B585" s="92"/>
      <c r="C585" s="92"/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</row>
    <row r="586" spans="1:26" x14ac:dyDescent="0.25">
      <c r="A586" s="92"/>
      <c r="B586" s="92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</row>
    <row r="587" spans="1:26" x14ac:dyDescent="0.25">
      <c r="A587" s="92"/>
      <c r="B587" s="92"/>
      <c r="C587" s="92"/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</row>
    <row r="588" spans="1:26" x14ac:dyDescent="0.25">
      <c r="A588" s="92"/>
      <c r="B588" s="92"/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</row>
    <row r="589" spans="1:26" x14ac:dyDescent="0.25">
      <c r="A589" s="92"/>
      <c r="B589" s="92"/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</row>
    <row r="590" spans="1:26" x14ac:dyDescent="0.25">
      <c r="A590" s="92"/>
      <c r="B590" s="92"/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</row>
    <row r="591" spans="1:26" x14ac:dyDescent="0.25">
      <c r="A591" s="92"/>
      <c r="B591" s="92"/>
      <c r="C591" s="92"/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</row>
    <row r="592" spans="1:26" x14ac:dyDescent="0.25">
      <c r="A592" s="92"/>
      <c r="B592" s="92"/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</row>
    <row r="593" spans="1:26" x14ac:dyDescent="0.25">
      <c r="A593" s="92"/>
      <c r="B593" s="92"/>
      <c r="C593" s="92"/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</row>
    <row r="594" spans="1:26" x14ac:dyDescent="0.25">
      <c r="A594" s="92"/>
      <c r="B594" s="92"/>
      <c r="C594" s="92"/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</row>
    <row r="595" spans="1:26" x14ac:dyDescent="0.25">
      <c r="A595" s="92"/>
      <c r="B595" s="92"/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</row>
    <row r="596" spans="1:26" x14ac:dyDescent="0.25">
      <c r="A596" s="92"/>
      <c r="B596" s="92"/>
      <c r="C596" s="92"/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</row>
    <row r="597" spans="1:26" x14ac:dyDescent="0.25">
      <c r="A597" s="92"/>
      <c r="B597" s="92"/>
      <c r="C597" s="92"/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</row>
    <row r="598" spans="1:26" x14ac:dyDescent="0.25">
      <c r="A598" s="92"/>
      <c r="B598" s="92"/>
      <c r="C598" s="92"/>
      <c r="D598" s="92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</row>
    <row r="599" spans="1:26" x14ac:dyDescent="0.25">
      <c r="A599" s="92"/>
      <c r="B599" s="92"/>
      <c r="C599" s="92"/>
      <c r="D599" s="92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</row>
    <row r="600" spans="1:26" x14ac:dyDescent="0.25">
      <c r="A600" s="92"/>
      <c r="B600" s="92"/>
      <c r="C600" s="92"/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91"/>
    <col min="4" max="4" width="16" style="91" customWidth="1"/>
    <col min="5" max="5" width="13.7109375" style="91" customWidth="1"/>
    <col min="6" max="6" width="9.140625" style="91"/>
    <col min="7" max="7" width="27.42578125" style="91" customWidth="1"/>
    <col min="8" max="16384" width="9.140625" style="91"/>
  </cols>
  <sheetData>
    <row r="1" spans="1:26" ht="26.25" x14ac:dyDescent="0.4">
      <c r="B1" s="98" t="s">
        <v>198</v>
      </c>
      <c r="C1" s="98"/>
      <c r="D1" s="98"/>
      <c r="E1" s="98" t="s">
        <v>197</v>
      </c>
      <c r="F1" s="98"/>
      <c r="G1" s="98"/>
      <c r="H1" s="98" t="s">
        <v>195</v>
      </c>
    </row>
    <row r="3" spans="1:26" ht="20.25" x14ac:dyDescent="0.3">
      <c r="F3" s="103" t="str">
        <f>Season</f>
        <v>2022/2023</v>
      </c>
    </row>
    <row r="4" spans="1:26" x14ac:dyDescent="0.25">
      <c r="C4" s="91" t="s">
        <v>184</v>
      </c>
    </row>
    <row r="5" spans="1:26" x14ac:dyDescent="0.25">
      <c r="A5" s="92" t="s">
        <v>193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</row>
    <row r="6" spans="1:26" x14ac:dyDescent="0.25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</row>
    <row r="7" spans="1:26" ht="16.5" thickBot="1" x14ac:dyDescent="0.3">
      <c r="A7" s="92"/>
      <c r="B7" s="92" t="s">
        <v>147</v>
      </c>
      <c r="C7" s="92" t="s">
        <v>55</v>
      </c>
      <c r="D7" s="93"/>
      <c r="E7" s="93"/>
      <c r="F7" s="93"/>
      <c r="G7" s="93"/>
      <c r="H7" s="93"/>
      <c r="I7" s="93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x14ac:dyDescent="0.25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ht="16.5" thickBot="1" x14ac:dyDescent="0.3">
      <c r="A9" s="92"/>
      <c r="B9" s="92" t="s">
        <v>172</v>
      </c>
      <c r="C9" s="92" t="s">
        <v>55</v>
      </c>
      <c r="D9" s="93"/>
      <c r="E9" s="93"/>
      <c r="F9" s="93"/>
      <c r="G9" s="93"/>
      <c r="H9" s="93"/>
      <c r="I9" s="93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x14ac:dyDescent="0.25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ht="16.5" thickBot="1" x14ac:dyDescent="0.3">
      <c r="A11" s="92"/>
      <c r="B11" s="92" t="s">
        <v>127</v>
      </c>
      <c r="C11" s="92" t="s">
        <v>55</v>
      </c>
      <c r="D11" s="93"/>
      <c r="E11" s="93"/>
      <c r="F11" s="93"/>
      <c r="G11" s="93"/>
      <c r="H11" s="93"/>
      <c r="I11" s="93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x14ac:dyDescent="0.25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ht="16.5" thickBot="1" x14ac:dyDescent="0.3">
      <c r="A13" s="92"/>
      <c r="B13" s="92" t="s">
        <v>128</v>
      </c>
      <c r="C13" s="92" t="s">
        <v>55</v>
      </c>
      <c r="D13" s="93"/>
      <c r="E13" s="93"/>
      <c r="F13" s="93"/>
      <c r="G13" s="93"/>
      <c r="H13" s="93"/>
      <c r="I13" s="93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x14ac:dyDescent="0.25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ht="16.5" thickBot="1" x14ac:dyDescent="0.3">
      <c r="A15" s="92"/>
      <c r="B15" s="92" t="s">
        <v>129</v>
      </c>
      <c r="C15" s="92" t="s">
        <v>55</v>
      </c>
      <c r="D15" s="93"/>
      <c r="E15" s="93"/>
      <c r="F15" s="93"/>
      <c r="G15" s="93"/>
      <c r="H15" s="93"/>
      <c r="I15" s="93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x14ac:dyDescent="0.25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x14ac:dyDescent="0.25">
      <c r="A17" s="92" t="s">
        <v>194</v>
      </c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x14ac:dyDescent="0.25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ht="16.5" thickBot="1" x14ac:dyDescent="0.3">
      <c r="A19" s="92"/>
      <c r="B19" s="92" t="s">
        <v>127</v>
      </c>
      <c r="C19" s="92" t="s">
        <v>283</v>
      </c>
      <c r="D19" s="93"/>
      <c r="E19" s="93"/>
      <c r="F19" s="93"/>
      <c r="G19" s="93"/>
      <c r="H19" s="93"/>
      <c r="I19" s="93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x14ac:dyDescent="0.25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ht="16.5" thickBot="1" x14ac:dyDescent="0.3">
      <c r="A21" s="92"/>
      <c r="B21" s="92" t="s">
        <v>128</v>
      </c>
      <c r="C21" s="92" t="s">
        <v>283</v>
      </c>
      <c r="D21" s="93"/>
      <c r="E21" s="93"/>
      <c r="F21" s="93"/>
      <c r="G21" s="93"/>
      <c r="H21" s="93"/>
      <c r="I21" s="93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x14ac:dyDescent="0.25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ht="16.5" thickBot="1" x14ac:dyDescent="0.3">
      <c r="A23" s="92"/>
      <c r="B23" s="92" t="s">
        <v>129</v>
      </c>
      <c r="C23" s="92" t="s">
        <v>111</v>
      </c>
      <c r="D23" s="93"/>
      <c r="E23" s="93"/>
      <c r="F23" s="93"/>
      <c r="G23" s="93"/>
      <c r="H23" s="93"/>
      <c r="I23" s="93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ht="16.5" thickBot="1" x14ac:dyDescent="0.3">
      <c r="A25" s="92"/>
      <c r="B25" s="92" t="s">
        <v>130</v>
      </c>
      <c r="C25" s="92" t="s">
        <v>111</v>
      </c>
      <c r="D25" s="93"/>
      <c r="E25" s="93"/>
      <c r="F25" s="93"/>
      <c r="G25" s="93"/>
      <c r="H25" s="93"/>
      <c r="I25" s="93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x14ac:dyDescent="0.25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ht="16.5" thickBot="1" x14ac:dyDescent="0.3">
      <c r="A27" s="92"/>
      <c r="B27" s="92" t="s">
        <v>131</v>
      </c>
      <c r="C27" s="92" t="s">
        <v>117</v>
      </c>
      <c r="D27" s="93"/>
      <c r="E27" s="93"/>
      <c r="F27" s="93"/>
      <c r="G27" s="93"/>
      <c r="H27" s="93"/>
      <c r="I27" s="93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x14ac:dyDescent="0.25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ht="16.5" thickBot="1" x14ac:dyDescent="0.3">
      <c r="A29" s="92"/>
      <c r="B29" s="92" t="s">
        <v>132</v>
      </c>
      <c r="C29" s="92" t="s">
        <v>340</v>
      </c>
      <c r="D29" s="93"/>
      <c r="E29" s="93"/>
      <c r="F29" s="93"/>
      <c r="G29" s="93"/>
      <c r="H29" s="93"/>
      <c r="I29" s="93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x14ac:dyDescent="0.25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ht="16.5" thickBot="1" x14ac:dyDescent="0.3">
      <c r="A31" s="92"/>
      <c r="B31" s="92" t="s">
        <v>133</v>
      </c>
      <c r="C31" s="92" t="s">
        <v>111</v>
      </c>
      <c r="D31" s="93"/>
      <c r="E31" s="93"/>
      <c r="F31" s="93"/>
      <c r="G31" s="93"/>
      <c r="H31" s="93"/>
      <c r="I31" s="93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x14ac:dyDescent="0.25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ht="16.5" thickBot="1" x14ac:dyDescent="0.3">
      <c r="A33" s="92"/>
      <c r="B33" s="92" t="s">
        <v>134</v>
      </c>
      <c r="C33" s="92" t="s">
        <v>340</v>
      </c>
      <c r="D33" s="93"/>
      <c r="E33" s="93"/>
      <c r="F33" s="93"/>
      <c r="G33" s="93"/>
      <c r="H33" s="93"/>
      <c r="I33" s="93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x14ac:dyDescent="0.25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ht="16.5" thickBot="1" x14ac:dyDescent="0.3">
      <c r="A35" s="92"/>
      <c r="B35" s="92" t="s">
        <v>135</v>
      </c>
      <c r="C35" s="92" t="s">
        <v>68</v>
      </c>
      <c r="D35" s="93"/>
      <c r="E35" s="93"/>
      <c r="F35" s="93"/>
      <c r="G35" s="93"/>
      <c r="H35" s="93"/>
      <c r="I35" s="93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x14ac:dyDescent="0.25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ht="16.5" thickBot="1" x14ac:dyDescent="0.3">
      <c r="A37" s="92"/>
      <c r="B37" s="92" t="s">
        <v>136</v>
      </c>
      <c r="C37" s="92" t="s">
        <v>68</v>
      </c>
      <c r="D37" s="93"/>
      <c r="E37" s="93"/>
      <c r="F37" s="93"/>
      <c r="G37" s="93"/>
      <c r="H37" s="93"/>
      <c r="I37" s="93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x14ac:dyDescent="0.25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x14ac:dyDescent="0.25">
      <c r="A39" s="92" t="s">
        <v>196</v>
      </c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x14ac:dyDescent="0.25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ht="16.5" thickBot="1" x14ac:dyDescent="0.3">
      <c r="A41" s="92"/>
      <c r="B41" s="92" t="s">
        <v>129</v>
      </c>
      <c r="C41" s="92" t="s">
        <v>290</v>
      </c>
      <c r="D41" s="93"/>
      <c r="E41" s="93"/>
      <c r="F41" s="93"/>
      <c r="G41" s="93"/>
      <c r="H41" s="93"/>
      <c r="I41" s="93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x14ac:dyDescent="0.25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ht="16.5" thickBot="1" x14ac:dyDescent="0.3">
      <c r="A43" s="92"/>
      <c r="B43" s="92" t="s">
        <v>130</v>
      </c>
      <c r="C43" s="92" t="s">
        <v>117</v>
      </c>
      <c r="D43" s="93"/>
      <c r="E43" s="93"/>
      <c r="F43" s="93"/>
      <c r="G43" s="93"/>
      <c r="H43" s="93"/>
      <c r="I43" s="93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x14ac:dyDescent="0.25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ht="16.5" thickBot="1" x14ac:dyDescent="0.3">
      <c r="A45" s="92"/>
      <c r="B45" s="92" t="s">
        <v>131</v>
      </c>
      <c r="C45" s="92" t="s">
        <v>115</v>
      </c>
      <c r="D45" s="93"/>
      <c r="E45" s="93"/>
      <c r="F45" s="93"/>
      <c r="G45" s="93"/>
      <c r="H45" s="93"/>
      <c r="I45" s="93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x14ac:dyDescent="0.25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ht="16.5" thickBot="1" x14ac:dyDescent="0.3">
      <c r="A47" s="92"/>
      <c r="B47" s="92" t="s">
        <v>132</v>
      </c>
      <c r="C47" s="92" t="s">
        <v>29</v>
      </c>
      <c r="D47" s="93"/>
      <c r="E47" s="93"/>
      <c r="F47" s="93"/>
      <c r="G47" s="93"/>
      <c r="H47" s="93"/>
      <c r="I47" s="93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x14ac:dyDescent="0.25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ht="16.5" thickBot="1" x14ac:dyDescent="0.3">
      <c r="A49" s="92"/>
      <c r="B49" s="92" t="s">
        <v>133</v>
      </c>
      <c r="C49" s="92" t="s">
        <v>111</v>
      </c>
      <c r="D49" s="93"/>
      <c r="E49" s="93"/>
      <c r="F49" s="93"/>
      <c r="G49" s="93"/>
      <c r="H49" s="93"/>
      <c r="I49" s="93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x14ac:dyDescent="0.25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ht="16.5" thickBot="1" x14ac:dyDescent="0.3">
      <c r="A51" s="92"/>
      <c r="B51" s="92" t="s">
        <v>134</v>
      </c>
      <c r="C51" s="92" t="s">
        <v>45</v>
      </c>
      <c r="D51" s="93"/>
      <c r="E51" s="93"/>
      <c r="F51" s="93"/>
      <c r="G51" s="93"/>
      <c r="H51" s="93"/>
      <c r="I51" s="93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x14ac:dyDescent="0.25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ht="16.5" thickBot="1" x14ac:dyDescent="0.3">
      <c r="A53" s="92"/>
      <c r="B53" s="92" t="s">
        <v>135</v>
      </c>
      <c r="C53" s="92" t="s">
        <v>122</v>
      </c>
      <c r="D53" s="93"/>
      <c r="E53" s="93"/>
      <c r="F53" s="93"/>
      <c r="G53" s="93"/>
      <c r="H53" s="93"/>
      <c r="I53" s="93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x14ac:dyDescent="0.25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x14ac:dyDescent="0.25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x14ac:dyDescent="0.25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x14ac:dyDescent="0.25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x14ac:dyDescent="0.25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x14ac:dyDescent="0.25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x14ac:dyDescent="0.25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x14ac:dyDescent="0.25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x14ac:dyDescent="0.25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x14ac:dyDescent="0.25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x14ac:dyDescent="0.25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x14ac:dyDescent="0.25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x14ac:dyDescent="0.25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x14ac:dyDescent="0.25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x14ac:dyDescent="0.25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x14ac:dyDescent="0.25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x14ac:dyDescent="0.25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x14ac:dyDescent="0.25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x14ac:dyDescent="0.25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x14ac:dyDescent="0.25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x14ac:dyDescent="0.25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x14ac:dyDescent="0.25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x14ac:dyDescent="0.25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x14ac:dyDescent="0.25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x14ac:dyDescent="0.25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x14ac:dyDescent="0.25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x14ac:dyDescent="0.25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x14ac:dyDescent="0.25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x14ac:dyDescent="0.25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x14ac:dyDescent="0.25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x14ac:dyDescent="0.25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x14ac:dyDescent="0.25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x14ac:dyDescent="0.25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x14ac:dyDescent="0.25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x14ac:dyDescent="0.25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x14ac:dyDescent="0.25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x14ac:dyDescent="0.25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x14ac:dyDescent="0.25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x14ac:dyDescent="0.25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x14ac:dyDescent="0.25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x14ac:dyDescent="0.25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</row>
    <row r="97" spans="1:26" x14ac:dyDescent="0.25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</row>
    <row r="98" spans="1:26" x14ac:dyDescent="0.25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</row>
    <row r="99" spans="1:26" x14ac:dyDescent="0.25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x14ac:dyDescent="0.25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x14ac:dyDescent="0.25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x14ac:dyDescent="0.25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x14ac:dyDescent="0.25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x14ac:dyDescent="0.25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x14ac:dyDescent="0.25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x14ac:dyDescent="0.25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x14ac:dyDescent="0.25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x14ac:dyDescent="0.25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x14ac:dyDescent="0.25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x14ac:dyDescent="0.25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x14ac:dyDescent="0.25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x14ac:dyDescent="0.25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x14ac:dyDescent="0.25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x14ac:dyDescent="0.25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x14ac:dyDescent="0.25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x14ac:dyDescent="0.25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x14ac:dyDescent="0.25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x14ac:dyDescent="0.25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x14ac:dyDescent="0.25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x14ac:dyDescent="0.25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x14ac:dyDescent="0.25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x14ac:dyDescent="0.25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x14ac:dyDescent="0.25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x14ac:dyDescent="0.25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x14ac:dyDescent="0.25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x14ac:dyDescent="0.25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x14ac:dyDescent="0.25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x14ac:dyDescent="0.25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x14ac:dyDescent="0.25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x14ac:dyDescent="0.25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x14ac:dyDescent="0.25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x14ac:dyDescent="0.25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x14ac:dyDescent="0.25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x14ac:dyDescent="0.25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x14ac:dyDescent="0.25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x14ac:dyDescent="0.25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x14ac:dyDescent="0.25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x14ac:dyDescent="0.25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x14ac:dyDescent="0.25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x14ac:dyDescent="0.25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x14ac:dyDescent="0.25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x14ac:dyDescent="0.25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x14ac:dyDescent="0.25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x14ac:dyDescent="0.25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x14ac:dyDescent="0.25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x14ac:dyDescent="0.25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x14ac:dyDescent="0.25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x14ac:dyDescent="0.25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x14ac:dyDescent="0.25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x14ac:dyDescent="0.25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x14ac:dyDescent="0.25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x14ac:dyDescent="0.25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x14ac:dyDescent="0.25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x14ac:dyDescent="0.25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x14ac:dyDescent="0.25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x14ac:dyDescent="0.25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x14ac:dyDescent="0.25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x14ac:dyDescent="0.25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x14ac:dyDescent="0.25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x14ac:dyDescent="0.25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x14ac:dyDescent="0.25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x14ac:dyDescent="0.25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x14ac:dyDescent="0.25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x14ac:dyDescent="0.25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x14ac:dyDescent="0.25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x14ac:dyDescent="0.25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x14ac:dyDescent="0.25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x14ac:dyDescent="0.25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x14ac:dyDescent="0.25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x14ac:dyDescent="0.25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x14ac:dyDescent="0.25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x14ac:dyDescent="0.25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x14ac:dyDescent="0.25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x14ac:dyDescent="0.25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x14ac:dyDescent="0.25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x14ac:dyDescent="0.25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x14ac:dyDescent="0.25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x14ac:dyDescent="0.25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x14ac:dyDescent="0.25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x14ac:dyDescent="0.25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x14ac:dyDescent="0.25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x14ac:dyDescent="0.25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x14ac:dyDescent="0.25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x14ac:dyDescent="0.25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x14ac:dyDescent="0.25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x14ac:dyDescent="0.25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x14ac:dyDescent="0.25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x14ac:dyDescent="0.25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x14ac:dyDescent="0.25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x14ac:dyDescent="0.25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x14ac:dyDescent="0.25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x14ac:dyDescent="0.25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x14ac:dyDescent="0.25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x14ac:dyDescent="0.25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x14ac:dyDescent="0.25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</row>
    <row r="196" spans="1:26" x14ac:dyDescent="0.25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</row>
    <row r="197" spans="1:26" x14ac:dyDescent="0.25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</row>
    <row r="198" spans="1:26" x14ac:dyDescent="0.25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</row>
    <row r="199" spans="1:26" x14ac:dyDescent="0.25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</row>
    <row r="200" spans="1:26" x14ac:dyDescent="0.25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</row>
    <row r="201" spans="1:26" x14ac:dyDescent="0.25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</row>
    <row r="202" spans="1:26" x14ac:dyDescent="0.25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</row>
    <row r="203" spans="1:26" x14ac:dyDescent="0.25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</row>
    <row r="204" spans="1:26" x14ac:dyDescent="0.25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</row>
    <row r="205" spans="1:26" x14ac:dyDescent="0.25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</row>
    <row r="206" spans="1:26" x14ac:dyDescent="0.25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</row>
    <row r="207" spans="1:26" x14ac:dyDescent="0.25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</row>
    <row r="208" spans="1:26" x14ac:dyDescent="0.25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</row>
    <row r="209" spans="1:26" x14ac:dyDescent="0.25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</row>
    <row r="210" spans="1:26" x14ac:dyDescent="0.25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</row>
    <row r="211" spans="1:26" x14ac:dyDescent="0.25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</row>
    <row r="212" spans="1:26" x14ac:dyDescent="0.25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</row>
    <row r="213" spans="1:26" x14ac:dyDescent="0.25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</row>
    <row r="214" spans="1:26" x14ac:dyDescent="0.25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</row>
    <row r="215" spans="1:26" x14ac:dyDescent="0.25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</row>
    <row r="216" spans="1:26" x14ac:dyDescent="0.25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</row>
    <row r="217" spans="1:26" x14ac:dyDescent="0.25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</row>
    <row r="218" spans="1:26" x14ac:dyDescent="0.25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</row>
    <row r="219" spans="1:26" x14ac:dyDescent="0.25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</row>
    <row r="220" spans="1:26" x14ac:dyDescent="0.25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</row>
    <row r="221" spans="1:26" x14ac:dyDescent="0.25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</row>
    <row r="222" spans="1:26" x14ac:dyDescent="0.25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</row>
    <row r="223" spans="1:26" x14ac:dyDescent="0.25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</row>
    <row r="224" spans="1:26" x14ac:dyDescent="0.25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</row>
    <row r="225" spans="1:26" x14ac:dyDescent="0.25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</row>
    <row r="226" spans="1:26" x14ac:dyDescent="0.25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</row>
    <row r="227" spans="1:26" x14ac:dyDescent="0.25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</row>
    <row r="228" spans="1:26" x14ac:dyDescent="0.25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</row>
    <row r="229" spans="1:26" x14ac:dyDescent="0.2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</row>
    <row r="230" spans="1:26" x14ac:dyDescent="0.2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</row>
    <row r="231" spans="1:26" x14ac:dyDescent="0.2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</row>
    <row r="232" spans="1:26" x14ac:dyDescent="0.2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</row>
    <row r="233" spans="1:26" x14ac:dyDescent="0.2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</row>
    <row r="234" spans="1:26" x14ac:dyDescent="0.2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</row>
    <row r="235" spans="1:26" x14ac:dyDescent="0.2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</row>
    <row r="236" spans="1:26" x14ac:dyDescent="0.2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</row>
    <row r="237" spans="1:26" x14ac:dyDescent="0.2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</row>
    <row r="238" spans="1:26" x14ac:dyDescent="0.2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</row>
    <row r="239" spans="1:26" x14ac:dyDescent="0.2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</row>
    <row r="240" spans="1:26" x14ac:dyDescent="0.2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</row>
    <row r="241" spans="1:26" x14ac:dyDescent="0.2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</row>
    <row r="242" spans="1:26" x14ac:dyDescent="0.2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</row>
    <row r="243" spans="1:26" x14ac:dyDescent="0.2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</row>
    <row r="244" spans="1:26" x14ac:dyDescent="0.2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</row>
    <row r="245" spans="1:26" x14ac:dyDescent="0.2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</row>
    <row r="246" spans="1:26" x14ac:dyDescent="0.2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</row>
    <row r="247" spans="1:26" x14ac:dyDescent="0.2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</row>
    <row r="248" spans="1:26" x14ac:dyDescent="0.2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</row>
    <row r="249" spans="1:26" x14ac:dyDescent="0.2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</row>
    <row r="250" spans="1:26" x14ac:dyDescent="0.2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</row>
    <row r="251" spans="1:26" x14ac:dyDescent="0.2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</row>
    <row r="252" spans="1:26" x14ac:dyDescent="0.2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</row>
    <row r="253" spans="1:26" x14ac:dyDescent="0.2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</row>
    <row r="254" spans="1:26" x14ac:dyDescent="0.2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</row>
    <row r="255" spans="1:26" x14ac:dyDescent="0.2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</row>
    <row r="256" spans="1:26" x14ac:dyDescent="0.2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</row>
    <row r="257" spans="1:26" x14ac:dyDescent="0.2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</row>
    <row r="258" spans="1:26" x14ac:dyDescent="0.2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</row>
    <row r="259" spans="1:26" x14ac:dyDescent="0.2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</row>
    <row r="260" spans="1:26" x14ac:dyDescent="0.2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</row>
    <row r="261" spans="1:26" x14ac:dyDescent="0.2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</row>
    <row r="262" spans="1:26" x14ac:dyDescent="0.2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</row>
    <row r="263" spans="1:26" x14ac:dyDescent="0.2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</row>
    <row r="264" spans="1:26" x14ac:dyDescent="0.2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</row>
    <row r="265" spans="1:26" x14ac:dyDescent="0.2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</row>
    <row r="266" spans="1:26" x14ac:dyDescent="0.2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</row>
    <row r="267" spans="1:26" x14ac:dyDescent="0.2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</row>
    <row r="268" spans="1:26" x14ac:dyDescent="0.2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</row>
    <row r="269" spans="1:26" x14ac:dyDescent="0.2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</row>
    <row r="270" spans="1:26" x14ac:dyDescent="0.2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</row>
    <row r="271" spans="1:26" x14ac:dyDescent="0.2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</row>
    <row r="272" spans="1:26" x14ac:dyDescent="0.2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</row>
    <row r="273" spans="1:26" x14ac:dyDescent="0.2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</row>
    <row r="274" spans="1:26" x14ac:dyDescent="0.2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</row>
    <row r="275" spans="1:26" x14ac:dyDescent="0.2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</row>
    <row r="276" spans="1:26" x14ac:dyDescent="0.2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</row>
    <row r="277" spans="1:26" x14ac:dyDescent="0.2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</row>
    <row r="278" spans="1:26" x14ac:dyDescent="0.2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</row>
    <row r="279" spans="1:26" x14ac:dyDescent="0.2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</row>
    <row r="280" spans="1:26" x14ac:dyDescent="0.2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</row>
    <row r="281" spans="1:26" x14ac:dyDescent="0.2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</row>
    <row r="282" spans="1:26" x14ac:dyDescent="0.2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</row>
    <row r="283" spans="1:26" x14ac:dyDescent="0.2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</row>
    <row r="284" spans="1:26" x14ac:dyDescent="0.2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</row>
    <row r="285" spans="1:26" x14ac:dyDescent="0.2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</row>
    <row r="286" spans="1:26" x14ac:dyDescent="0.2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</row>
    <row r="287" spans="1:26" x14ac:dyDescent="0.2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</row>
    <row r="288" spans="1:26" x14ac:dyDescent="0.2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</row>
    <row r="289" spans="1:26" x14ac:dyDescent="0.2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</row>
    <row r="290" spans="1:26" x14ac:dyDescent="0.2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</row>
    <row r="291" spans="1:26" x14ac:dyDescent="0.2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</row>
    <row r="292" spans="1:26" x14ac:dyDescent="0.2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</row>
    <row r="293" spans="1:26" x14ac:dyDescent="0.2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</row>
    <row r="294" spans="1:26" x14ac:dyDescent="0.2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</row>
    <row r="295" spans="1:26" x14ac:dyDescent="0.2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</row>
    <row r="296" spans="1:26" x14ac:dyDescent="0.2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</row>
    <row r="297" spans="1:26" x14ac:dyDescent="0.2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</row>
    <row r="298" spans="1:26" x14ac:dyDescent="0.2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</row>
    <row r="299" spans="1:26" x14ac:dyDescent="0.2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</row>
    <row r="300" spans="1:26" x14ac:dyDescent="0.2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</row>
    <row r="301" spans="1:26" x14ac:dyDescent="0.2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</row>
    <row r="302" spans="1:26" x14ac:dyDescent="0.2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</row>
    <row r="303" spans="1:26" x14ac:dyDescent="0.2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</row>
    <row r="304" spans="1:26" x14ac:dyDescent="0.2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</row>
    <row r="305" spans="1:26" x14ac:dyDescent="0.2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</row>
    <row r="306" spans="1:26" x14ac:dyDescent="0.2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</row>
    <row r="307" spans="1:26" x14ac:dyDescent="0.2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</row>
    <row r="308" spans="1:26" x14ac:dyDescent="0.2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</row>
    <row r="309" spans="1:26" x14ac:dyDescent="0.2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</row>
    <row r="310" spans="1:26" x14ac:dyDescent="0.2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</row>
    <row r="311" spans="1:26" x14ac:dyDescent="0.2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</row>
    <row r="312" spans="1:26" x14ac:dyDescent="0.2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</row>
    <row r="313" spans="1:26" x14ac:dyDescent="0.2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</row>
    <row r="314" spans="1:26" x14ac:dyDescent="0.2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</row>
    <row r="315" spans="1:26" x14ac:dyDescent="0.2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</row>
    <row r="316" spans="1:26" x14ac:dyDescent="0.2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</row>
    <row r="317" spans="1:26" x14ac:dyDescent="0.2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</row>
    <row r="318" spans="1:26" x14ac:dyDescent="0.2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</row>
    <row r="319" spans="1:26" x14ac:dyDescent="0.2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</row>
    <row r="320" spans="1:26" x14ac:dyDescent="0.2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</row>
    <row r="321" spans="1:26" x14ac:dyDescent="0.2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</row>
    <row r="322" spans="1:26" x14ac:dyDescent="0.2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</row>
    <row r="323" spans="1:26" x14ac:dyDescent="0.2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</row>
    <row r="324" spans="1:26" x14ac:dyDescent="0.2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</row>
    <row r="325" spans="1:26" x14ac:dyDescent="0.2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</row>
    <row r="326" spans="1:26" x14ac:dyDescent="0.2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</row>
    <row r="327" spans="1:26" x14ac:dyDescent="0.2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</row>
    <row r="328" spans="1:26" x14ac:dyDescent="0.2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</row>
    <row r="329" spans="1:26" x14ac:dyDescent="0.2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</row>
    <row r="330" spans="1:26" x14ac:dyDescent="0.2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</row>
    <row r="331" spans="1:26" x14ac:dyDescent="0.2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</row>
    <row r="332" spans="1:26" x14ac:dyDescent="0.2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</row>
    <row r="333" spans="1:26" x14ac:dyDescent="0.2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</row>
    <row r="334" spans="1:26" x14ac:dyDescent="0.2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</row>
    <row r="335" spans="1:26" x14ac:dyDescent="0.2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</row>
    <row r="336" spans="1:26" x14ac:dyDescent="0.2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</row>
    <row r="337" spans="1:26" x14ac:dyDescent="0.2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</row>
    <row r="338" spans="1:26" x14ac:dyDescent="0.2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</row>
    <row r="339" spans="1:26" x14ac:dyDescent="0.2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</row>
    <row r="340" spans="1:26" x14ac:dyDescent="0.2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</row>
    <row r="341" spans="1:26" x14ac:dyDescent="0.2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</row>
    <row r="342" spans="1:26" x14ac:dyDescent="0.2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</row>
    <row r="343" spans="1:26" x14ac:dyDescent="0.2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</row>
    <row r="344" spans="1:26" x14ac:dyDescent="0.2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</row>
    <row r="345" spans="1:26" x14ac:dyDescent="0.2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</row>
    <row r="346" spans="1:26" x14ac:dyDescent="0.2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</row>
    <row r="347" spans="1:26" x14ac:dyDescent="0.2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</row>
    <row r="348" spans="1:26" x14ac:dyDescent="0.2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</row>
    <row r="349" spans="1:26" x14ac:dyDescent="0.2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</row>
    <row r="350" spans="1:26" x14ac:dyDescent="0.2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</row>
    <row r="351" spans="1:26" x14ac:dyDescent="0.2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</row>
    <row r="352" spans="1:26" x14ac:dyDescent="0.2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</row>
    <row r="353" spans="1:26" x14ac:dyDescent="0.2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</row>
    <row r="354" spans="1:26" x14ac:dyDescent="0.2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</row>
    <row r="355" spans="1:26" x14ac:dyDescent="0.2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</row>
    <row r="356" spans="1:26" x14ac:dyDescent="0.2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</row>
    <row r="357" spans="1:26" x14ac:dyDescent="0.2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</row>
    <row r="358" spans="1:26" x14ac:dyDescent="0.2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</row>
    <row r="359" spans="1:26" x14ac:dyDescent="0.2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</row>
    <row r="360" spans="1:26" x14ac:dyDescent="0.2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</row>
    <row r="361" spans="1:26" x14ac:dyDescent="0.2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</row>
    <row r="362" spans="1:26" x14ac:dyDescent="0.2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</row>
    <row r="363" spans="1:26" x14ac:dyDescent="0.2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</row>
    <row r="364" spans="1:26" x14ac:dyDescent="0.2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</row>
    <row r="365" spans="1:26" x14ac:dyDescent="0.2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</row>
    <row r="366" spans="1:26" x14ac:dyDescent="0.2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</row>
    <row r="367" spans="1:26" x14ac:dyDescent="0.2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</row>
    <row r="368" spans="1:26" x14ac:dyDescent="0.2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</row>
    <row r="369" spans="1:26" x14ac:dyDescent="0.2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</row>
    <row r="370" spans="1:26" x14ac:dyDescent="0.2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</row>
    <row r="371" spans="1:26" x14ac:dyDescent="0.2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</row>
    <row r="372" spans="1:26" x14ac:dyDescent="0.2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</row>
    <row r="373" spans="1:26" x14ac:dyDescent="0.2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</row>
    <row r="374" spans="1:26" x14ac:dyDescent="0.2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</row>
    <row r="375" spans="1:26" x14ac:dyDescent="0.2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</row>
    <row r="376" spans="1:26" x14ac:dyDescent="0.2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</row>
    <row r="377" spans="1:26" x14ac:dyDescent="0.2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</row>
    <row r="378" spans="1:26" x14ac:dyDescent="0.2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</row>
    <row r="379" spans="1:26" x14ac:dyDescent="0.2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</row>
    <row r="380" spans="1:26" x14ac:dyDescent="0.2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</row>
    <row r="381" spans="1:26" x14ac:dyDescent="0.2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</row>
    <row r="382" spans="1:26" x14ac:dyDescent="0.2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</row>
    <row r="383" spans="1:26" x14ac:dyDescent="0.2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</row>
    <row r="384" spans="1:26" x14ac:dyDescent="0.2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</row>
    <row r="385" spans="1:26" x14ac:dyDescent="0.2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</row>
    <row r="386" spans="1:26" x14ac:dyDescent="0.2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</row>
    <row r="387" spans="1:26" x14ac:dyDescent="0.2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</row>
    <row r="388" spans="1:26" x14ac:dyDescent="0.2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</row>
    <row r="389" spans="1:26" x14ac:dyDescent="0.2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</row>
    <row r="390" spans="1:26" x14ac:dyDescent="0.2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</row>
    <row r="391" spans="1:26" x14ac:dyDescent="0.2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</row>
    <row r="392" spans="1:26" x14ac:dyDescent="0.2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</row>
    <row r="393" spans="1:26" x14ac:dyDescent="0.2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</row>
    <row r="394" spans="1:26" x14ac:dyDescent="0.2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</row>
    <row r="395" spans="1:26" x14ac:dyDescent="0.2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</row>
    <row r="396" spans="1:26" x14ac:dyDescent="0.2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</row>
    <row r="397" spans="1:26" x14ac:dyDescent="0.2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</row>
    <row r="398" spans="1:26" x14ac:dyDescent="0.2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</row>
    <row r="399" spans="1:26" x14ac:dyDescent="0.2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</row>
    <row r="400" spans="1:26" x14ac:dyDescent="0.2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</row>
    <row r="401" spans="1:26" x14ac:dyDescent="0.2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</row>
    <row r="402" spans="1:26" x14ac:dyDescent="0.2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</row>
    <row r="403" spans="1:26" x14ac:dyDescent="0.2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</row>
    <row r="404" spans="1:26" x14ac:dyDescent="0.2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</row>
    <row r="405" spans="1:26" x14ac:dyDescent="0.2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</row>
    <row r="406" spans="1:26" x14ac:dyDescent="0.2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</row>
    <row r="407" spans="1:26" x14ac:dyDescent="0.2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</row>
    <row r="408" spans="1:26" x14ac:dyDescent="0.2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</row>
    <row r="409" spans="1:26" x14ac:dyDescent="0.2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</row>
    <row r="410" spans="1:26" x14ac:dyDescent="0.2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</row>
    <row r="411" spans="1:26" x14ac:dyDescent="0.2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</row>
    <row r="412" spans="1:26" x14ac:dyDescent="0.2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</row>
    <row r="413" spans="1:26" x14ac:dyDescent="0.2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</row>
    <row r="414" spans="1:26" x14ac:dyDescent="0.2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</row>
    <row r="415" spans="1:26" x14ac:dyDescent="0.2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</row>
    <row r="416" spans="1:26" x14ac:dyDescent="0.2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</row>
    <row r="417" spans="1:26" x14ac:dyDescent="0.2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</row>
    <row r="418" spans="1:26" x14ac:dyDescent="0.2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</row>
    <row r="419" spans="1:26" x14ac:dyDescent="0.2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</row>
    <row r="420" spans="1:26" x14ac:dyDescent="0.25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</row>
    <row r="421" spans="1:26" x14ac:dyDescent="0.25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</row>
    <row r="422" spans="1:26" x14ac:dyDescent="0.25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</row>
    <row r="423" spans="1:26" x14ac:dyDescent="0.25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</row>
    <row r="424" spans="1:26" x14ac:dyDescent="0.25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</row>
    <row r="425" spans="1:26" x14ac:dyDescent="0.25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</row>
    <row r="426" spans="1:26" x14ac:dyDescent="0.25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</row>
    <row r="427" spans="1:26" x14ac:dyDescent="0.25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</row>
    <row r="428" spans="1:26" x14ac:dyDescent="0.25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</row>
    <row r="429" spans="1:26" x14ac:dyDescent="0.25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</row>
    <row r="430" spans="1:26" x14ac:dyDescent="0.25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</row>
    <row r="431" spans="1:26" x14ac:dyDescent="0.25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</row>
    <row r="432" spans="1:26" x14ac:dyDescent="0.25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</row>
    <row r="433" spans="1:26" x14ac:dyDescent="0.25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</row>
    <row r="434" spans="1:26" x14ac:dyDescent="0.25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</row>
    <row r="435" spans="1:26" x14ac:dyDescent="0.25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</row>
    <row r="436" spans="1:26" x14ac:dyDescent="0.25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</row>
    <row r="437" spans="1:26" x14ac:dyDescent="0.25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</row>
    <row r="438" spans="1:26" x14ac:dyDescent="0.25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</row>
    <row r="439" spans="1:26" x14ac:dyDescent="0.25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</row>
    <row r="440" spans="1:26" x14ac:dyDescent="0.25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</row>
    <row r="441" spans="1:26" x14ac:dyDescent="0.25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</row>
    <row r="442" spans="1:26" x14ac:dyDescent="0.25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</row>
    <row r="443" spans="1:26" x14ac:dyDescent="0.25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</row>
    <row r="444" spans="1:26" x14ac:dyDescent="0.25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</row>
    <row r="445" spans="1:26" x14ac:dyDescent="0.25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</row>
    <row r="446" spans="1:26" x14ac:dyDescent="0.25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</row>
    <row r="447" spans="1:26" x14ac:dyDescent="0.25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</row>
    <row r="448" spans="1:26" x14ac:dyDescent="0.25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</row>
    <row r="449" spans="1:26" x14ac:dyDescent="0.25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</row>
    <row r="450" spans="1:26" x14ac:dyDescent="0.25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</row>
    <row r="451" spans="1:26" x14ac:dyDescent="0.25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</row>
    <row r="452" spans="1:26" x14ac:dyDescent="0.25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</row>
    <row r="453" spans="1:26" x14ac:dyDescent="0.25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</row>
    <row r="454" spans="1:26" x14ac:dyDescent="0.25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</row>
    <row r="455" spans="1:26" x14ac:dyDescent="0.25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</row>
    <row r="456" spans="1:26" x14ac:dyDescent="0.25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</row>
    <row r="457" spans="1:26" x14ac:dyDescent="0.25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</row>
    <row r="458" spans="1:26" x14ac:dyDescent="0.25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</row>
    <row r="459" spans="1:26" x14ac:dyDescent="0.25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</row>
    <row r="460" spans="1:26" x14ac:dyDescent="0.25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</row>
    <row r="461" spans="1:26" x14ac:dyDescent="0.25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</row>
    <row r="462" spans="1:26" x14ac:dyDescent="0.25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</row>
    <row r="463" spans="1:26" x14ac:dyDescent="0.25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</row>
    <row r="464" spans="1:26" x14ac:dyDescent="0.25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</row>
    <row r="465" spans="1:26" x14ac:dyDescent="0.25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</row>
    <row r="466" spans="1:26" x14ac:dyDescent="0.25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</row>
    <row r="467" spans="1:26" x14ac:dyDescent="0.25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</row>
    <row r="468" spans="1:26" x14ac:dyDescent="0.25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</row>
    <row r="469" spans="1:26" x14ac:dyDescent="0.25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</row>
    <row r="470" spans="1:26" x14ac:dyDescent="0.25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</row>
    <row r="471" spans="1:26" x14ac:dyDescent="0.25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</row>
    <row r="472" spans="1:26" x14ac:dyDescent="0.25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</row>
    <row r="473" spans="1:26" x14ac:dyDescent="0.25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</row>
    <row r="474" spans="1:26" x14ac:dyDescent="0.25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</row>
    <row r="475" spans="1:26" x14ac:dyDescent="0.25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</row>
    <row r="476" spans="1:26" x14ac:dyDescent="0.25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</row>
    <row r="477" spans="1:26" x14ac:dyDescent="0.25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</row>
    <row r="478" spans="1:26" x14ac:dyDescent="0.25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</row>
    <row r="479" spans="1:26" x14ac:dyDescent="0.25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</row>
    <row r="480" spans="1:26" x14ac:dyDescent="0.25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</row>
    <row r="481" spans="1:26" x14ac:dyDescent="0.25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</row>
    <row r="482" spans="1:26" x14ac:dyDescent="0.25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</row>
    <row r="483" spans="1:26" x14ac:dyDescent="0.25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</row>
    <row r="484" spans="1:26" x14ac:dyDescent="0.25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</row>
    <row r="485" spans="1:26" x14ac:dyDescent="0.25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</row>
    <row r="486" spans="1:26" x14ac:dyDescent="0.25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</row>
    <row r="487" spans="1:26" x14ac:dyDescent="0.25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</row>
    <row r="488" spans="1:26" x14ac:dyDescent="0.25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</row>
    <row r="489" spans="1:26" x14ac:dyDescent="0.25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</row>
    <row r="490" spans="1:26" x14ac:dyDescent="0.25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</row>
    <row r="491" spans="1:26" x14ac:dyDescent="0.25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</row>
    <row r="492" spans="1:26" x14ac:dyDescent="0.25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</row>
    <row r="493" spans="1:26" x14ac:dyDescent="0.25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</row>
    <row r="494" spans="1:26" x14ac:dyDescent="0.25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</row>
    <row r="495" spans="1:26" x14ac:dyDescent="0.25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</row>
    <row r="496" spans="1:26" x14ac:dyDescent="0.25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</row>
    <row r="497" spans="1:26" x14ac:dyDescent="0.25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</row>
    <row r="498" spans="1:26" x14ac:dyDescent="0.25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</row>
    <row r="499" spans="1:26" x14ac:dyDescent="0.25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</row>
    <row r="500" spans="1:26" x14ac:dyDescent="0.25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</row>
    <row r="501" spans="1:26" x14ac:dyDescent="0.25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</row>
    <row r="502" spans="1:26" x14ac:dyDescent="0.25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</row>
    <row r="503" spans="1:26" x14ac:dyDescent="0.25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</row>
    <row r="504" spans="1:26" x14ac:dyDescent="0.25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</row>
    <row r="505" spans="1:26" x14ac:dyDescent="0.25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</row>
    <row r="506" spans="1:26" x14ac:dyDescent="0.25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</row>
    <row r="507" spans="1:26" x14ac:dyDescent="0.25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</row>
    <row r="508" spans="1:26" x14ac:dyDescent="0.25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</row>
    <row r="509" spans="1:26" x14ac:dyDescent="0.25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</row>
    <row r="510" spans="1:26" x14ac:dyDescent="0.25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</row>
    <row r="511" spans="1:26" x14ac:dyDescent="0.25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</row>
    <row r="512" spans="1:26" x14ac:dyDescent="0.25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</row>
    <row r="513" spans="1:26" x14ac:dyDescent="0.25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</row>
    <row r="514" spans="1:26" x14ac:dyDescent="0.25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</row>
    <row r="515" spans="1:26" x14ac:dyDescent="0.25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</row>
    <row r="516" spans="1:26" x14ac:dyDescent="0.25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</row>
    <row r="517" spans="1:26" x14ac:dyDescent="0.25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</row>
    <row r="518" spans="1:26" x14ac:dyDescent="0.25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</row>
    <row r="519" spans="1:26" x14ac:dyDescent="0.25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</row>
    <row r="520" spans="1:26" x14ac:dyDescent="0.25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</row>
    <row r="521" spans="1:26" x14ac:dyDescent="0.25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</row>
    <row r="522" spans="1:26" x14ac:dyDescent="0.25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</row>
    <row r="523" spans="1:26" x14ac:dyDescent="0.25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</row>
    <row r="524" spans="1:26" x14ac:dyDescent="0.25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</row>
    <row r="525" spans="1:26" x14ac:dyDescent="0.25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</row>
    <row r="526" spans="1:26" x14ac:dyDescent="0.25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</row>
    <row r="527" spans="1:26" x14ac:dyDescent="0.25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</row>
    <row r="528" spans="1:26" x14ac:dyDescent="0.25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</row>
    <row r="529" spans="1:26" x14ac:dyDescent="0.25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</row>
    <row r="530" spans="1:26" x14ac:dyDescent="0.25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</row>
    <row r="531" spans="1:26" x14ac:dyDescent="0.25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</row>
    <row r="532" spans="1:26" x14ac:dyDescent="0.25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</row>
    <row r="533" spans="1:26" x14ac:dyDescent="0.25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</row>
    <row r="534" spans="1:26" x14ac:dyDescent="0.25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</row>
    <row r="535" spans="1:26" x14ac:dyDescent="0.25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</row>
    <row r="536" spans="1:26" x14ac:dyDescent="0.25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</row>
    <row r="537" spans="1:26" x14ac:dyDescent="0.25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</row>
    <row r="538" spans="1:26" x14ac:dyDescent="0.25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</row>
    <row r="539" spans="1:26" x14ac:dyDescent="0.25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</row>
    <row r="540" spans="1:26" x14ac:dyDescent="0.25">
      <c r="A540" s="92"/>
      <c r="B540" s="92"/>
      <c r="C540" s="92"/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</row>
    <row r="541" spans="1:26" x14ac:dyDescent="0.25">
      <c r="A541" s="92"/>
      <c r="B541" s="92"/>
      <c r="C541" s="92"/>
      <c r="D541" s="92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</row>
    <row r="542" spans="1:26" x14ac:dyDescent="0.25">
      <c r="A542" s="92"/>
      <c r="B542" s="92"/>
      <c r="C542" s="92"/>
      <c r="D542" s="92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</row>
    <row r="543" spans="1:26" x14ac:dyDescent="0.25">
      <c r="A543" s="92"/>
      <c r="B543" s="92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</row>
    <row r="544" spans="1:26" x14ac:dyDescent="0.25">
      <c r="A544" s="92"/>
      <c r="B544" s="92"/>
      <c r="C544" s="92"/>
      <c r="D544" s="92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</row>
    <row r="545" spans="1:26" x14ac:dyDescent="0.25">
      <c r="A545" s="92"/>
      <c r="B545" s="92"/>
      <c r="C545" s="92"/>
      <c r="D545" s="92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</row>
    <row r="546" spans="1:26" x14ac:dyDescent="0.25">
      <c r="A546" s="92"/>
      <c r="B546" s="92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</row>
    <row r="547" spans="1:26" x14ac:dyDescent="0.25">
      <c r="A547" s="92"/>
      <c r="B547" s="92"/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</row>
    <row r="548" spans="1:26" x14ac:dyDescent="0.25">
      <c r="A548" s="92"/>
      <c r="B548" s="92"/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</row>
    <row r="549" spans="1:26" x14ac:dyDescent="0.25">
      <c r="A549" s="92"/>
      <c r="B549" s="92"/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</row>
    <row r="550" spans="1:26" x14ac:dyDescent="0.25">
      <c r="A550" s="92"/>
      <c r="B550" s="92"/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</row>
    <row r="551" spans="1:26" x14ac:dyDescent="0.25">
      <c r="A551" s="92"/>
      <c r="B551" s="92"/>
      <c r="C551" s="92"/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</row>
    <row r="552" spans="1:26" x14ac:dyDescent="0.25">
      <c r="A552" s="92"/>
      <c r="B552" s="92"/>
      <c r="C552" s="92"/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</row>
    <row r="553" spans="1:26" x14ac:dyDescent="0.25">
      <c r="A553" s="92"/>
      <c r="B553" s="92"/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X553" s="92"/>
      <c r="Y553" s="92"/>
      <c r="Z553" s="92"/>
    </row>
    <row r="554" spans="1:26" x14ac:dyDescent="0.25">
      <c r="A554" s="92"/>
      <c r="B554" s="92"/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</row>
    <row r="555" spans="1:26" x14ac:dyDescent="0.25">
      <c r="A555" s="92"/>
      <c r="B555" s="92"/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</row>
    <row r="556" spans="1:26" x14ac:dyDescent="0.25">
      <c r="A556" s="92"/>
      <c r="B556" s="92"/>
      <c r="C556" s="92"/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</row>
    <row r="557" spans="1:26" x14ac:dyDescent="0.25">
      <c r="A557" s="92"/>
      <c r="B557" s="92"/>
      <c r="C557" s="92"/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X557" s="92"/>
      <c r="Y557" s="92"/>
      <c r="Z557" s="92"/>
    </row>
    <row r="558" spans="1:26" x14ac:dyDescent="0.25">
      <c r="A558" s="92"/>
      <c r="B558" s="92"/>
      <c r="C558" s="92"/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</row>
    <row r="559" spans="1:26" x14ac:dyDescent="0.25">
      <c r="A559" s="92"/>
      <c r="B559" s="92"/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</row>
    <row r="560" spans="1:26" x14ac:dyDescent="0.25">
      <c r="A560" s="92"/>
      <c r="B560" s="92"/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</row>
    <row r="561" spans="1:26" x14ac:dyDescent="0.25">
      <c r="A561" s="92"/>
      <c r="B561" s="92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</row>
    <row r="562" spans="1:26" x14ac:dyDescent="0.25">
      <c r="A562" s="92"/>
      <c r="B562" s="92"/>
      <c r="C562" s="92"/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</row>
    <row r="563" spans="1:26" x14ac:dyDescent="0.25">
      <c r="A563" s="92"/>
      <c r="B563" s="92"/>
      <c r="C563" s="92"/>
      <c r="D563" s="92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</row>
    <row r="564" spans="1:26" x14ac:dyDescent="0.25">
      <c r="A564" s="92"/>
      <c r="B564" s="92"/>
      <c r="C564" s="92"/>
      <c r="D564" s="92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</row>
    <row r="565" spans="1:26" x14ac:dyDescent="0.25">
      <c r="A565" s="92"/>
      <c r="B565" s="92"/>
      <c r="C565" s="92"/>
      <c r="D565" s="92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</row>
    <row r="566" spans="1:26" x14ac:dyDescent="0.25">
      <c r="A566" s="92"/>
      <c r="B566" s="92"/>
      <c r="C566" s="92"/>
      <c r="D566" s="92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</row>
    <row r="567" spans="1:26" x14ac:dyDescent="0.25">
      <c r="A567" s="92"/>
      <c r="B567" s="92"/>
      <c r="C567" s="92"/>
      <c r="D567" s="92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</row>
    <row r="568" spans="1:26" x14ac:dyDescent="0.25">
      <c r="A568" s="92"/>
      <c r="B568" s="92"/>
      <c r="C568" s="92"/>
      <c r="D568" s="92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</row>
    <row r="569" spans="1:26" x14ac:dyDescent="0.25">
      <c r="A569" s="92"/>
      <c r="B569" s="92"/>
      <c r="C569" s="92"/>
      <c r="D569" s="92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</row>
    <row r="570" spans="1:26" x14ac:dyDescent="0.25">
      <c r="A570" s="92"/>
      <c r="B570" s="92"/>
      <c r="C570" s="92"/>
      <c r="D570" s="92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</row>
    <row r="571" spans="1:26" x14ac:dyDescent="0.25">
      <c r="A571" s="92"/>
      <c r="B571" s="92"/>
      <c r="C571" s="92"/>
      <c r="D571" s="92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</row>
    <row r="572" spans="1:26" x14ac:dyDescent="0.25">
      <c r="A572" s="92"/>
      <c r="B572" s="92"/>
      <c r="C572" s="92"/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</row>
    <row r="573" spans="1:26" x14ac:dyDescent="0.25">
      <c r="A573" s="92"/>
      <c r="B573" s="92"/>
      <c r="C573" s="92"/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</row>
    <row r="574" spans="1:26" x14ac:dyDescent="0.25">
      <c r="A574" s="92"/>
      <c r="B574" s="92"/>
      <c r="C574" s="92"/>
      <c r="D574" s="92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</row>
    <row r="575" spans="1:26" x14ac:dyDescent="0.25">
      <c r="A575" s="92"/>
      <c r="B575" s="92"/>
      <c r="C575" s="92"/>
      <c r="D575" s="92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</row>
    <row r="576" spans="1:26" x14ac:dyDescent="0.25">
      <c r="A576" s="92"/>
      <c r="B576" s="92"/>
      <c r="C576" s="92"/>
      <c r="D576" s="92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</row>
    <row r="577" spans="1:26" x14ac:dyDescent="0.25">
      <c r="A577" s="92"/>
      <c r="B577" s="92"/>
      <c r="C577" s="92"/>
      <c r="D577" s="92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</row>
    <row r="578" spans="1:26" x14ac:dyDescent="0.25">
      <c r="A578" s="92"/>
      <c r="B578" s="92"/>
      <c r="C578" s="92"/>
      <c r="D578" s="92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</row>
    <row r="579" spans="1:26" x14ac:dyDescent="0.25">
      <c r="A579" s="92"/>
      <c r="B579" s="92"/>
      <c r="C579" s="92"/>
      <c r="D579" s="92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</row>
    <row r="580" spans="1:26" x14ac:dyDescent="0.25">
      <c r="A580" s="92"/>
      <c r="B580" s="92"/>
      <c r="C580" s="92"/>
      <c r="D580" s="92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</row>
    <row r="581" spans="1:26" x14ac:dyDescent="0.25">
      <c r="A581" s="92"/>
      <c r="B581" s="92"/>
      <c r="C581" s="92"/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</row>
    <row r="582" spans="1:26" x14ac:dyDescent="0.25">
      <c r="A582" s="92"/>
      <c r="B582" s="92"/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</row>
    <row r="583" spans="1:26" x14ac:dyDescent="0.25">
      <c r="A583" s="92"/>
      <c r="B583" s="92"/>
      <c r="C583" s="92"/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</row>
    <row r="584" spans="1:26" x14ac:dyDescent="0.25">
      <c r="A584" s="92"/>
      <c r="B584" s="92"/>
      <c r="C584" s="92"/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</row>
    <row r="585" spans="1:26" x14ac:dyDescent="0.25">
      <c r="A585" s="92"/>
      <c r="B585" s="92"/>
      <c r="C585" s="92"/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</row>
    <row r="586" spans="1:26" x14ac:dyDescent="0.25">
      <c r="A586" s="92"/>
      <c r="B586" s="92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</row>
    <row r="587" spans="1:26" x14ac:dyDescent="0.25">
      <c r="A587" s="92"/>
      <c r="B587" s="92"/>
      <c r="C587" s="92"/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</row>
    <row r="588" spans="1:26" x14ac:dyDescent="0.25">
      <c r="A588" s="92"/>
      <c r="B588" s="92"/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</row>
    <row r="589" spans="1:26" x14ac:dyDescent="0.25">
      <c r="A589" s="92"/>
      <c r="B589" s="92"/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</row>
    <row r="590" spans="1:26" x14ac:dyDescent="0.25">
      <c r="A590" s="92"/>
      <c r="B590" s="92"/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</row>
    <row r="591" spans="1:26" x14ac:dyDescent="0.25">
      <c r="A591" s="92"/>
      <c r="B591" s="92"/>
      <c r="C591" s="92"/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</row>
    <row r="592" spans="1:26" x14ac:dyDescent="0.25">
      <c r="A592" s="92"/>
      <c r="B592" s="92"/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</row>
    <row r="593" spans="1:26" x14ac:dyDescent="0.25">
      <c r="A593" s="92"/>
      <c r="B593" s="92"/>
      <c r="C593" s="92"/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</row>
    <row r="594" spans="1:26" x14ac:dyDescent="0.25">
      <c r="A594" s="92"/>
      <c r="B594" s="92"/>
      <c r="C594" s="92"/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</row>
    <row r="595" spans="1:26" x14ac:dyDescent="0.25">
      <c r="A595" s="92"/>
      <c r="B595" s="92"/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</row>
    <row r="596" spans="1:26" x14ac:dyDescent="0.25">
      <c r="A596" s="92"/>
      <c r="B596" s="92"/>
      <c r="C596" s="92"/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</row>
    <row r="597" spans="1:26" x14ac:dyDescent="0.25">
      <c r="A597" s="92"/>
      <c r="B597" s="92"/>
      <c r="C597" s="92"/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</row>
    <row r="598" spans="1:26" x14ac:dyDescent="0.25">
      <c r="A598" s="92"/>
      <c r="B598" s="92"/>
      <c r="C598" s="92"/>
      <c r="D598" s="92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</row>
    <row r="599" spans="1:26" x14ac:dyDescent="0.25">
      <c r="A599" s="92"/>
      <c r="B599" s="92"/>
      <c r="C599" s="92"/>
      <c r="D599" s="92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</row>
    <row r="600" spans="1:26" x14ac:dyDescent="0.25">
      <c r="A600" s="92"/>
      <c r="B600" s="92"/>
      <c r="C600" s="92"/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8"/>
  <sheetViews>
    <sheetView topLeftCell="A92" workbookViewId="0">
      <selection activeCell="A128" sqref="A128"/>
    </sheetView>
  </sheetViews>
  <sheetFormatPr defaultRowHeight="12.75" x14ac:dyDescent="0.2"/>
  <cols>
    <col min="1" max="1" width="11.42578125" style="8" customWidth="1"/>
    <col min="2" max="2" width="42.85546875" style="152" customWidth="1"/>
    <col min="3" max="3" width="5.140625" style="152" customWidth="1"/>
    <col min="4" max="26" width="5.140625" customWidth="1"/>
    <col min="27" max="27" width="5.140625" style="152" customWidth="1"/>
    <col min="28" max="28" width="5.140625" customWidth="1"/>
    <col min="29" max="31" width="5.140625" style="152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248</v>
      </c>
    </row>
    <row r="3" spans="1:28" x14ac:dyDescent="0.2">
      <c r="A3"/>
      <c r="B3"/>
      <c r="C3"/>
    </row>
    <row r="4" spans="1:28" ht="18.75" thickBot="1" x14ac:dyDescent="0.3">
      <c r="B4" s="153" t="s">
        <v>361</v>
      </c>
    </row>
    <row r="5" spans="1:28" ht="65.25" x14ac:dyDescent="0.25">
      <c r="A5" s="154"/>
      <c r="B5" s="155" t="s">
        <v>330</v>
      </c>
      <c r="C5" s="156" t="s">
        <v>4</v>
      </c>
      <c r="D5" s="157" t="s">
        <v>115</v>
      </c>
      <c r="E5" s="157" t="s">
        <v>288</v>
      </c>
      <c r="F5" s="157" t="s">
        <v>24</v>
      </c>
      <c r="G5" s="157" t="s">
        <v>106</v>
      </c>
      <c r="H5" s="157" t="s">
        <v>17</v>
      </c>
      <c r="I5" s="157" t="s">
        <v>45</v>
      </c>
      <c r="J5" s="157" t="s">
        <v>111</v>
      </c>
      <c r="K5" s="157" t="s">
        <v>36</v>
      </c>
      <c r="L5" s="157" t="s">
        <v>113</v>
      </c>
      <c r="M5" s="157" t="s">
        <v>112</v>
      </c>
      <c r="N5" s="157" t="s">
        <v>290</v>
      </c>
      <c r="O5" s="157" t="s">
        <v>186</v>
      </c>
      <c r="P5" s="157" t="s">
        <v>29</v>
      </c>
      <c r="Q5" s="157" t="s">
        <v>340</v>
      </c>
      <c r="R5" s="157" t="s">
        <v>122</v>
      </c>
      <c r="S5" s="157" t="s">
        <v>116</v>
      </c>
      <c r="T5" s="157" t="s">
        <v>47</v>
      </c>
      <c r="U5" s="157" t="s">
        <v>117</v>
      </c>
      <c r="V5" s="157" t="s">
        <v>55</v>
      </c>
      <c r="W5" s="157" t="s">
        <v>283</v>
      </c>
      <c r="X5" s="157" t="s">
        <v>50</v>
      </c>
      <c r="Y5" s="157" t="s">
        <v>8</v>
      </c>
      <c r="Z5" s="157" t="s">
        <v>26</v>
      </c>
      <c r="AA5" s="156" t="s">
        <v>139</v>
      </c>
      <c r="AB5" s="207" t="s">
        <v>239</v>
      </c>
    </row>
    <row r="6" spans="1:28" x14ac:dyDescent="0.2">
      <c r="A6" s="158" t="s">
        <v>6</v>
      </c>
      <c r="B6" s="159" t="s">
        <v>7</v>
      </c>
      <c r="C6" s="159">
        <v>4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>
        <v>4</v>
      </c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159">
        <v>4</v>
      </c>
      <c r="AB6" s="208">
        <v>0</v>
      </c>
    </row>
    <row r="7" spans="1:28" x14ac:dyDescent="0.2">
      <c r="A7" s="158" t="s">
        <v>9</v>
      </c>
      <c r="B7" s="159" t="s">
        <v>10</v>
      </c>
      <c r="C7" s="159">
        <v>2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>
        <v>2</v>
      </c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159">
        <v>2</v>
      </c>
      <c r="AB7" s="208">
        <v>0</v>
      </c>
    </row>
    <row r="8" spans="1:28" x14ac:dyDescent="0.2">
      <c r="A8" s="158" t="s">
        <v>11</v>
      </c>
      <c r="B8" s="159" t="s">
        <v>12</v>
      </c>
      <c r="C8" s="159">
        <v>2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>
        <v>2</v>
      </c>
      <c r="R8" s="27"/>
      <c r="S8" s="27"/>
      <c r="T8" s="27"/>
      <c r="U8" s="27"/>
      <c r="V8" s="27"/>
      <c r="W8" s="27"/>
      <c r="X8" s="27"/>
      <c r="Y8" s="27"/>
      <c r="Z8" s="27"/>
      <c r="AA8" s="159">
        <v>2</v>
      </c>
      <c r="AB8" s="208">
        <v>0</v>
      </c>
    </row>
    <row r="9" spans="1:28" x14ac:dyDescent="0.2">
      <c r="A9" s="158" t="s">
        <v>13</v>
      </c>
      <c r="B9" s="159" t="s">
        <v>14</v>
      </c>
      <c r="C9" s="159">
        <v>2</v>
      </c>
      <c r="D9" s="27"/>
      <c r="E9" s="27"/>
      <c r="F9" s="27"/>
      <c r="G9" s="27"/>
      <c r="H9" s="27"/>
      <c r="I9" s="27"/>
      <c r="J9" s="27"/>
      <c r="K9" s="27"/>
      <c r="L9" s="27"/>
      <c r="M9" s="27">
        <v>2</v>
      </c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159">
        <v>2</v>
      </c>
      <c r="AB9" s="208">
        <v>0</v>
      </c>
    </row>
    <row r="10" spans="1:28" x14ac:dyDescent="0.2">
      <c r="A10" s="158" t="s">
        <v>15</v>
      </c>
      <c r="B10" s="159" t="s">
        <v>16</v>
      </c>
      <c r="C10" s="159">
        <v>6</v>
      </c>
      <c r="D10" s="27"/>
      <c r="E10" s="27"/>
      <c r="F10" s="27"/>
      <c r="G10" s="27"/>
      <c r="H10" s="27">
        <v>6</v>
      </c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159">
        <v>6</v>
      </c>
      <c r="AB10" s="208">
        <v>0</v>
      </c>
    </row>
    <row r="11" spans="1:28" x14ac:dyDescent="0.2">
      <c r="A11" s="158" t="s">
        <v>18</v>
      </c>
      <c r="B11" s="159" t="s">
        <v>19</v>
      </c>
      <c r="C11" s="159">
        <v>4</v>
      </c>
      <c r="D11" s="27"/>
      <c r="E11" s="27"/>
      <c r="F11" s="27"/>
      <c r="G11" s="27"/>
      <c r="H11" s="27">
        <v>4</v>
      </c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159">
        <v>4</v>
      </c>
      <c r="AB11" s="208">
        <v>0</v>
      </c>
    </row>
    <row r="12" spans="1:28" x14ac:dyDescent="0.2">
      <c r="A12" s="158" t="s">
        <v>20</v>
      </c>
      <c r="B12" s="159" t="s">
        <v>21</v>
      </c>
      <c r="C12" s="159">
        <v>7</v>
      </c>
      <c r="D12" s="27"/>
      <c r="E12" s="27"/>
      <c r="F12" s="27">
        <v>7</v>
      </c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159">
        <v>7</v>
      </c>
      <c r="AB12" s="208">
        <v>0</v>
      </c>
    </row>
    <row r="13" spans="1:28" x14ac:dyDescent="0.2">
      <c r="A13" s="158" t="s">
        <v>22</v>
      </c>
      <c r="B13" s="159" t="s">
        <v>23</v>
      </c>
      <c r="C13" s="159">
        <v>2</v>
      </c>
      <c r="D13" s="27"/>
      <c r="E13" s="27"/>
      <c r="F13" s="27">
        <v>2</v>
      </c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159">
        <v>2</v>
      </c>
      <c r="AB13" s="208">
        <v>0</v>
      </c>
    </row>
    <row r="14" spans="1:28" x14ac:dyDescent="0.2">
      <c r="A14" s="158" t="s">
        <v>277</v>
      </c>
      <c r="B14" s="159" t="s">
        <v>278</v>
      </c>
      <c r="C14" s="159">
        <v>8</v>
      </c>
      <c r="D14" s="27"/>
      <c r="E14" s="27"/>
      <c r="F14" s="27">
        <v>8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159">
        <v>8</v>
      </c>
      <c r="AB14" s="208">
        <v>0</v>
      </c>
    </row>
    <row r="15" spans="1:28" x14ac:dyDescent="0.2">
      <c r="A15" s="158" t="s">
        <v>25</v>
      </c>
      <c r="B15" s="159"/>
      <c r="C15" s="159"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159"/>
      <c r="AB15" s="208">
        <v>0</v>
      </c>
    </row>
    <row r="16" spans="1:28" x14ac:dyDescent="0.2">
      <c r="A16" s="158" t="s">
        <v>27</v>
      </c>
      <c r="B16" s="159" t="s">
        <v>28</v>
      </c>
      <c r="C16" s="159">
        <v>3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>
        <v>3</v>
      </c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159">
        <v>3</v>
      </c>
      <c r="AB16" s="208">
        <v>0</v>
      </c>
    </row>
    <row r="17" spans="1:28" x14ac:dyDescent="0.2">
      <c r="A17" s="158" t="s">
        <v>30</v>
      </c>
      <c r="B17" s="159" t="s">
        <v>31</v>
      </c>
      <c r="C17" s="159">
        <v>4</v>
      </c>
      <c r="D17" s="27"/>
      <c r="E17" s="27"/>
      <c r="F17" s="27"/>
      <c r="G17" s="27"/>
      <c r="H17" s="27"/>
      <c r="I17" s="27"/>
      <c r="J17" s="27"/>
      <c r="K17" s="27">
        <v>4</v>
      </c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159">
        <v>4</v>
      </c>
      <c r="AB17" s="208">
        <v>0</v>
      </c>
    </row>
    <row r="18" spans="1:28" x14ac:dyDescent="0.2">
      <c r="A18" s="158" t="s">
        <v>32</v>
      </c>
      <c r="B18" s="159" t="s">
        <v>33</v>
      </c>
      <c r="C18" s="159">
        <v>8</v>
      </c>
      <c r="D18" s="27"/>
      <c r="E18" s="27"/>
      <c r="F18" s="27"/>
      <c r="G18" s="27"/>
      <c r="H18" s="27"/>
      <c r="I18" s="27"/>
      <c r="J18" s="27"/>
      <c r="K18" s="27">
        <v>8</v>
      </c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159">
        <v>8</v>
      </c>
      <c r="AB18" s="208">
        <v>0</v>
      </c>
    </row>
    <row r="19" spans="1:28" x14ac:dyDescent="0.2">
      <c r="A19" s="158" t="s">
        <v>34</v>
      </c>
      <c r="B19" s="159" t="s">
        <v>35</v>
      </c>
      <c r="C19" s="159">
        <v>4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>
        <v>4</v>
      </c>
      <c r="AA19" s="159">
        <v>4</v>
      </c>
      <c r="AB19" s="208">
        <v>0</v>
      </c>
    </row>
    <row r="20" spans="1:28" x14ac:dyDescent="0.2">
      <c r="A20" s="158" t="s">
        <v>37</v>
      </c>
      <c r="B20" s="159" t="s">
        <v>38</v>
      </c>
      <c r="C20" s="159">
        <v>12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>
        <v>12</v>
      </c>
      <c r="Z20" s="27"/>
      <c r="AA20" s="159">
        <v>12</v>
      </c>
      <c r="AB20" s="208">
        <v>0</v>
      </c>
    </row>
    <row r="21" spans="1:28" x14ac:dyDescent="0.2">
      <c r="A21" s="158" t="s">
        <v>39</v>
      </c>
      <c r="B21" s="159" t="s">
        <v>40</v>
      </c>
      <c r="C21" s="159">
        <v>5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>
        <v>5</v>
      </c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159">
        <v>5</v>
      </c>
      <c r="AB21" s="208">
        <v>0</v>
      </c>
    </row>
    <row r="22" spans="1:28" x14ac:dyDescent="0.2">
      <c r="A22" s="158" t="s">
        <v>41</v>
      </c>
      <c r="B22" s="159" t="s">
        <v>42</v>
      </c>
      <c r="C22" s="159">
        <v>5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>
        <v>5</v>
      </c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159">
        <v>5</v>
      </c>
      <c r="AB22" s="208">
        <v>0</v>
      </c>
    </row>
    <row r="23" spans="1:28" x14ac:dyDescent="0.2">
      <c r="A23" s="158" t="s">
        <v>43</v>
      </c>
      <c r="B23" s="159" t="s">
        <v>44</v>
      </c>
      <c r="C23" s="159">
        <v>21</v>
      </c>
      <c r="D23" s="27"/>
      <c r="E23" s="27"/>
      <c r="F23" s="27"/>
      <c r="G23" s="27"/>
      <c r="H23" s="27"/>
      <c r="I23" s="27">
        <v>21</v>
      </c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159">
        <v>21</v>
      </c>
      <c r="AB23" s="208">
        <v>0</v>
      </c>
    </row>
    <row r="24" spans="1:28" x14ac:dyDescent="0.2">
      <c r="A24" s="158" t="s">
        <v>46</v>
      </c>
      <c r="B24" s="159" t="s">
        <v>93</v>
      </c>
      <c r="C24" s="159">
        <v>6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>
        <v>6</v>
      </c>
      <c r="Z24" s="27"/>
      <c r="AA24" s="159">
        <v>6</v>
      </c>
      <c r="AB24" s="208">
        <v>0</v>
      </c>
    </row>
    <row r="25" spans="1:28" x14ac:dyDescent="0.2">
      <c r="A25" s="158" t="s">
        <v>48</v>
      </c>
      <c r="B25" s="159" t="s">
        <v>49</v>
      </c>
      <c r="C25" s="159">
        <v>4</v>
      </c>
      <c r="D25" s="27"/>
      <c r="E25" s="27"/>
      <c r="F25" s="27"/>
      <c r="G25" s="27"/>
      <c r="H25" s="27"/>
      <c r="I25" s="27"/>
      <c r="J25" s="27"/>
      <c r="K25" s="27"/>
      <c r="L25" s="27">
        <v>4</v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159">
        <v>4</v>
      </c>
      <c r="AB25" s="208">
        <v>0</v>
      </c>
    </row>
    <row r="26" spans="1:28" x14ac:dyDescent="0.2">
      <c r="A26" s="158" t="s">
        <v>51</v>
      </c>
      <c r="B26" s="159" t="s">
        <v>276</v>
      </c>
      <c r="C26" s="159">
        <v>9</v>
      </c>
      <c r="D26" s="27"/>
      <c r="E26" s="27"/>
      <c r="F26" s="27"/>
      <c r="G26" s="27"/>
      <c r="H26" s="27"/>
      <c r="I26" s="27"/>
      <c r="J26" s="27"/>
      <c r="K26" s="27"/>
      <c r="L26" s="27">
        <v>9</v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159">
        <v>9</v>
      </c>
      <c r="AB26" s="208">
        <v>0</v>
      </c>
    </row>
    <row r="27" spans="1:28" x14ac:dyDescent="0.2">
      <c r="A27" s="158" t="s">
        <v>280</v>
      </c>
      <c r="B27" s="159" t="s">
        <v>282</v>
      </c>
      <c r="C27" s="159">
        <v>4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>
        <v>4</v>
      </c>
      <c r="V27" s="27"/>
      <c r="W27" s="27"/>
      <c r="X27" s="27"/>
      <c r="Y27" s="27"/>
      <c r="Z27" s="27"/>
      <c r="AA27" s="159">
        <v>4</v>
      </c>
      <c r="AB27" s="208">
        <v>0</v>
      </c>
    </row>
    <row r="28" spans="1:28" x14ac:dyDescent="0.2">
      <c r="A28" s="158" t="s">
        <v>53</v>
      </c>
      <c r="B28" s="159" t="s">
        <v>54</v>
      </c>
      <c r="C28" s="159">
        <v>1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>
        <v>1</v>
      </c>
      <c r="W28" s="27"/>
      <c r="X28" s="27"/>
      <c r="Y28" s="27"/>
      <c r="Z28" s="27"/>
      <c r="AA28" s="159">
        <v>1</v>
      </c>
      <c r="AB28" s="208">
        <v>0</v>
      </c>
    </row>
    <row r="29" spans="1:28" x14ac:dyDescent="0.2">
      <c r="A29" s="158" t="s">
        <v>56</v>
      </c>
      <c r="B29" s="159" t="s">
        <v>57</v>
      </c>
      <c r="C29" s="159">
        <v>4</v>
      </c>
      <c r="D29" s="27"/>
      <c r="E29" s="27"/>
      <c r="F29" s="27"/>
      <c r="G29" s="27"/>
      <c r="H29" s="27"/>
      <c r="I29" s="27"/>
      <c r="J29" s="27"/>
      <c r="K29" s="27"/>
      <c r="L29" s="27">
        <v>4</v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159">
        <v>4</v>
      </c>
      <c r="AB29" s="208">
        <v>0</v>
      </c>
    </row>
    <row r="30" spans="1:28" x14ac:dyDescent="0.2">
      <c r="A30" s="158" t="s">
        <v>58</v>
      </c>
      <c r="B30" s="159" t="s">
        <v>59</v>
      </c>
      <c r="C30" s="159">
        <v>1</v>
      </c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>
        <v>1</v>
      </c>
      <c r="AA30" s="159">
        <v>1</v>
      </c>
      <c r="AB30" s="208">
        <v>0</v>
      </c>
    </row>
    <row r="31" spans="1:28" x14ac:dyDescent="0.2">
      <c r="A31" s="158" t="s">
        <v>60</v>
      </c>
      <c r="B31" s="159" t="s">
        <v>61</v>
      </c>
      <c r="C31" s="159">
        <v>2</v>
      </c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>
        <v>2</v>
      </c>
      <c r="X31" s="27"/>
      <c r="Y31" s="27"/>
      <c r="Z31" s="27"/>
      <c r="AA31" s="159">
        <v>2</v>
      </c>
      <c r="AB31" s="208">
        <v>0</v>
      </c>
    </row>
    <row r="32" spans="1:28" x14ac:dyDescent="0.2">
      <c r="A32" s="158" t="s">
        <v>62</v>
      </c>
      <c r="B32" s="159" t="s">
        <v>63</v>
      </c>
      <c r="C32" s="159">
        <v>2</v>
      </c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>
        <v>2</v>
      </c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159">
        <v>2</v>
      </c>
      <c r="AB32" s="208">
        <v>0</v>
      </c>
    </row>
    <row r="33" spans="1:28" x14ac:dyDescent="0.2">
      <c r="A33" s="158" t="s">
        <v>64</v>
      </c>
      <c r="B33" s="159" t="s">
        <v>65</v>
      </c>
      <c r="C33" s="159">
        <v>2</v>
      </c>
      <c r="D33" s="27"/>
      <c r="E33" s="27"/>
      <c r="F33" s="27"/>
      <c r="G33" s="27"/>
      <c r="H33" s="27"/>
      <c r="I33" s="27"/>
      <c r="J33" s="27"/>
      <c r="K33" s="27">
        <v>2</v>
      </c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159">
        <v>2</v>
      </c>
      <c r="AB33" s="208">
        <v>0</v>
      </c>
    </row>
    <row r="34" spans="1:28" x14ac:dyDescent="0.2">
      <c r="A34" s="158" t="s">
        <v>70</v>
      </c>
      <c r="B34" s="159" t="s">
        <v>71</v>
      </c>
      <c r="C34" s="159">
        <v>3</v>
      </c>
      <c r="D34" s="27"/>
      <c r="E34" s="27"/>
      <c r="F34" s="27"/>
      <c r="G34" s="27"/>
      <c r="H34" s="27"/>
      <c r="I34" s="27"/>
      <c r="J34" s="27"/>
      <c r="K34" s="27">
        <v>3</v>
      </c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159">
        <v>3</v>
      </c>
      <c r="AB34" s="208">
        <v>0</v>
      </c>
    </row>
    <row r="35" spans="1:28" x14ac:dyDescent="0.2">
      <c r="A35" s="158" t="s">
        <v>100</v>
      </c>
      <c r="B35" s="159" t="s">
        <v>236</v>
      </c>
      <c r="C35" s="159">
        <v>5</v>
      </c>
      <c r="D35" s="27"/>
      <c r="E35" s="27"/>
      <c r="F35" s="27"/>
      <c r="G35" s="27"/>
      <c r="H35" s="27"/>
      <c r="I35" s="27">
        <v>5</v>
      </c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159">
        <v>5</v>
      </c>
      <c r="AB35" s="208">
        <v>0</v>
      </c>
    </row>
    <row r="36" spans="1:28" x14ac:dyDescent="0.2">
      <c r="A36" s="158" t="s">
        <v>259</v>
      </c>
      <c r="B36" s="159" t="s">
        <v>260</v>
      </c>
      <c r="C36" s="159">
        <v>1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>
        <v>1</v>
      </c>
      <c r="T36" s="27"/>
      <c r="U36" s="27"/>
      <c r="V36" s="27"/>
      <c r="W36" s="27"/>
      <c r="X36" s="27"/>
      <c r="Y36" s="27"/>
      <c r="Z36" s="27"/>
      <c r="AA36" s="159">
        <v>1</v>
      </c>
      <c r="AB36" s="208">
        <v>0</v>
      </c>
    </row>
    <row r="37" spans="1:28" x14ac:dyDescent="0.2">
      <c r="A37" s="158" t="s">
        <v>261</v>
      </c>
      <c r="B37" s="159" t="s">
        <v>262</v>
      </c>
      <c r="C37" s="159">
        <v>1</v>
      </c>
      <c r="D37" s="27"/>
      <c r="E37" s="27"/>
      <c r="F37" s="27"/>
      <c r="G37" s="27">
        <v>1</v>
      </c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159">
        <v>1</v>
      </c>
      <c r="AB37" s="208">
        <v>0</v>
      </c>
    </row>
    <row r="38" spans="1:28" x14ac:dyDescent="0.2">
      <c r="A38" s="158"/>
      <c r="B38" s="159"/>
      <c r="C38" s="159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159"/>
      <c r="AB38" s="208"/>
    </row>
    <row r="39" spans="1:28" ht="13.5" thickBot="1" x14ac:dyDescent="0.25">
      <c r="A39" s="160"/>
      <c r="B39" s="161" t="s">
        <v>362</v>
      </c>
      <c r="C39" s="162">
        <v>144</v>
      </c>
      <c r="D39" s="119">
        <v>0</v>
      </c>
      <c r="E39" s="119">
        <v>0</v>
      </c>
      <c r="F39" s="119">
        <v>17</v>
      </c>
      <c r="G39" s="119">
        <v>1</v>
      </c>
      <c r="H39" s="119">
        <v>10</v>
      </c>
      <c r="I39" s="119">
        <v>26</v>
      </c>
      <c r="J39" s="119">
        <v>0</v>
      </c>
      <c r="K39" s="119">
        <v>17</v>
      </c>
      <c r="L39" s="119">
        <v>17</v>
      </c>
      <c r="M39" s="119">
        <v>2</v>
      </c>
      <c r="N39" s="119">
        <v>2</v>
      </c>
      <c r="O39" s="119">
        <v>6</v>
      </c>
      <c r="P39" s="119">
        <v>13</v>
      </c>
      <c r="Q39" s="119">
        <v>2</v>
      </c>
      <c r="R39" s="119">
        <v>0</v>
      </c>
      <c r="S39" s="119">
        <v>1</v>
      </c>
      <c r="T39" s="119">
        <v>0</v>
      </c>
      <c r="U39" s="119">
        <v>4</v>
      </c>
      <c r="V39" s="119">
        <v>1</v>
      </c>
      <c r="W39" s="119">
        <v>2</v>
      </c>
      <c r="X39" s="119">
        <v>0</v>
      </c>
      <c r="Y39" s="119">
        <v>18</v>
      </c>
      <c r="Z39" s="119">
        <v>5</v>
      </c>
      <c r="AA39" s="162">
        <v>144</v>
      </c>
      <c r="AB39" s="209">
        <v>0</v>
      </c>
    </row>
    <row r="43" spans="1:28" ht="18.75" thickBot="1" x14ac:dyDescent="0.3">
      <c r="B43" s="153" t="s">
        <v>363</v>
      </c>
    </row>
    <row r="44" spans="1:28" ht="65.25" x14ac:dyDescent="0.25">
      <c r="A44" s="154"/>
      <c r="B44" s="155" t="s">
        <v>330</v>
      </c>
      <c r="C44" s="156" t="s">
        <v>4</v>
      </c>
      <c r="D44" s="157" t="s">
        <v>115</v>
      </c>
      <c r="E44" s="157" t="s">
        <v>288</v>
      </c>
      <c r="F44" s="157" t="s">
        <v>24</v>
      </c>
      <c r="G44" s="157" t="s">
        <v>106</v>
      </c>
      <c r="H44" s="157" t="s">
        <v>17</v>
      </c>
      <c r="I44" s="157" t="s">
        <v>45</v>
      </c>
      <c r="J44" s="157" t="s">
        <v>111</v>
      </c>
      <c r="K44" s="157" t="s">
        <v>36</v>
      </c>
      <c r="L44" s="157" t="s">
        <v>113</v>
      </c>
      <c r="M44" s="157" t="s">
        <v>112</v>
      </c>
      <c r="N44" s="157" t="s">
        <v>290</v>
      </c>
      <c r="O44" s="157" t="s">
        <v>186</v>
      </c>
      <c r="P44" s="157" t="s">
        <v>29</v>
      </c>
      <c r="Q44" s="157" t="s">
        <v>340</v>
      </c>
      <c r="R44" s="157" t="s">
        <v>122</v>
      </c>
      <c r="S44" s="157" t="s">
        <v>116</v>
      </c>
      <c r="T44" s="157" t="s">
        <v>47</v>
      </c>
      <c r="U44" s="157" t="s">
        <v>117</v>
      </c>
      <c r="V44" s="157" t="s">
        <v>55</v>
      </c>
      <c r="W44" s="157" t="s">
        <v>283</v>
      </c>
      <c r="X44" s="157" t="s">
        <v>50</v>
      </c>
      <c r="Y44" s="157" t="s">
        <v>8</v>
      </c>
      <c r="Z44" s="157" t="s">
        <v>26</v>
      </c>
      <c r="AA44" s="156" t="s">
        <v>139</v>
      </c>
      <c r="AB44" s="207" t="s">
        <v>239</v>
      </c>
    </row>
    <row r="45" spans="1:28" x14ac:dyDescent="0.2">
      <c r="A45" s="158" t="s">
        <v>66</v>
      </c>
      <c r="B45" s="159" t="s">
        <v>126</v>
      </c>
      <c r="C45" s="159"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159">
        <v>0</v>
      </c>
      <c r="AB45" s="208">
        <v>0</v>
      </c>
    </row>
    <row r="46" spans="1:28" x14ac:dyDescent="0.2">
      <c r="A46" s="158" t="s">
        <v>67</v>
      </c>
      <c r="B46" s="159" t="s">
        <v>207</v>
      </c>
      <c r="C46" s="159"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159">
        <v>0</v>
      </c>
      <c r="AB46" s="208">
        <v>0</v>
      </c>
    </row>
    <row r="47" spans="1:28" x14ac:dyDescent="0.2">
      <c r="A47" s="158" t="s">
        <v>69</v>
      </c>
      <c r="B47" s="159" t="s">
        <v>200</v>
      </c>
      <c r="C47" s="159">
        <v>5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>
        <v>10</v>
      </c>
      <c r="U47" s="27"/>
      <c r="V47" s="27"/>
      <c r="W47" s="27"/>
      <c r="X47" s="27"/>
      <c r="Y47" s="27"/>
      <c r="Z47" s="27"/>
      <c r="AA47" s="159">
        <v>10</v>
      </c>
      <c r="AB47" s="208">
        <v>5</v>
      </c>
    </row>
    <row r="48" spans="1:28" x14ac:dyDescent="0.2">
      <c r="A48" s="158" t="s">
        <v>74</v>
      </c>
      <c r="B48" s="159" t="s">
        <v>210</v>
      </c>
      <c r="C48" s="159">
        <v>6</v>
      </c>
      <c r="D48" s="27"/>
      <c r="E48" s="27"/>
      <c r="F48" s="27"/>
      <c r="G48" s="27"/>
      <c r="H48" s="27"/>
      <c r="I48" s="27"/>
      <c r="J48" s="27">
        <v>1</v>
      </c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>
        <v>1</v>
      </c>
      <c r="W48" s="27"/>
      <c r="X48" s="27">
        <v>2</v>
      </c>
      <c r="Y48" s="27">
        <v>2</v>
      </c>
      <c r="Z48" s="27"/>
      <c r="AA48" s="159">
        <v>6</v>
      </c>
      <c r="AB48" s="208">
        <v>0</v>
      </c>
    </row>
    <row r="49" spans="1:28" x14ac:dyDescent="0.2">
      <c r="A49" s="158" t="s">
        <v>311</v>
      </c>
      <c r="B49" s="159" t="s">
        <v>312</v>
      </c>
      <c r="C49" s="159">
        <v>18</v>
      </c>
      <c r="D49" s="27">
        <v>3</v>
      </c>
      <c r="E49" s="27"/>
      <c r="F49" s="27">
        <v>2</v>
      </c>
      <c r="G49" s="27">
        <v>2</v>
      </c>
      <c r="H49" s="27"/>
      <c r="I49" s="27"/>
      <c r="J49" s="27"/>
      <c r="K49" s="27"/>
      <c r="L49" s="27"/>
      <c r="M49" s="27"/>
      <c r="N49" s="27"/>
      <c r="O49" s="27"/>
      <c r="P49" s="27"/>
      <c r="Q49" s="27">
        <v>2</v>
      </c>
      <c r="R49" s="27"/>
      <c r="S49" s="27">
        <v>1</v>
      </c>
      <c r="T49" s="27"/>
      <c r="U49" s="27">
        <v>2</v>
      </c>
      <c r="V49" s="27">
        <v>2</v>
      </c>
      <c r="W49" s="27"/>
      <c r="X49" s="27">
        <v>3</v>
      </c>
      <c r="Y49" s="27"/>
      <c r="Z49" s="27">
        <v>1</v>
      </c>
      <c r="AA49" s="159">
        <v>18</v>
      </c>
      <c r="AB49" s="208">
        <v>0</v>
      </c>
    </row>
    <row r="50" spans="1:28" x14ac:dyDescent="0.2">
      <c r="A50" s="158" t="s">
        <v>141</v>
      </c>
      <c r="B50" s="159" t="s">
        <v>219</v>
      </c>
      <c r="C50" s="159">
        <v>3</v>
      </c>
      <c r="D50" s="27"/>
      <c r="E50" s="27"/>
      <c r="F50" s="27"/>
      <c r="G50" s="27"/>
      <c r="H50" s="27">
        <v>1</v>
      </c>
      <c r="I50" s="27"/>
      <c r="J50" s="27"/>
      <c r="K50" s="27"/>
      <c r="L50" s="27"/>
      <c r="M50" s="27"/>
      <c r="N50" s="27"/>
      <c r="O50" s="27"/>
      <c r="P50" s="27"/>
      <c r="Q50" s="27"/>
      <c r="R50" s="27">
        <v>1</v>
      </c>
      <c r="S50" s="27"/>
      <c r="T50" s="27"/>
      <c r="U50" s="27">
        <v>1</v>
      </c>
      <c r="V50" s="27"/>
      <c r="W50" s="27"/>
      <c r="X50" s="27"/>
      <c r="Y50" s="27"/>
      <c r="Z50" s="27"/>
      <c r="AA50" s="159">
        <v>3</v>
      </c>
      <c r="AB50" s="208">
        <v>0</v>
      </c>
    </row>
    <row r="51" spans="1:28" x14ac:dyDescent="0.2">
      <c r="A51" s="158" t="s">
        <v>140</v>
      </c>
      <c r="B51" s="159" t="s">
        <v>220</v>
      </c>
      <c r="C51" s="159">
        <v>1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>
        <v>1</v>
      </c>
      <c r="W51" s="27"/>
      <c r="X51" s="27"/>
      <c r="Y51" s="27"/>
      <c r="Z51" s="27"/>
      <c r="AA51" s="159">
        <v>1</v>
      </c>
      <c r="AB51" s="208">
        <v>0</v>
      </c>
    </row>
    <row r="52" spans="1:28" x14ac:dyDescent="0.2">
      <c r="A52" s="158" t="s">
        <v>142</v>
      </c>
      <c r="B52" s="159" t="s">
        <v>221</v>
      </c>
      <c r="C52" s="159">
        <v>3</v>
      </c>
      <c r="D52" s="27">
        <v>3</v>
      </c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159">
        <v>3</v>
      </c>
      <c r="AB52" s="208">
        <v>0</v>
      </c>
    </row>
    <row r="53" spans="1:28" x14ac:dyDescent="0.2">
      <c r="A53" s="158" t="s">
        <v>143</v>
      </c>
      <c r="B53" s="159" t="s">
        <v>222</v>
      </c>
      <c r="C53" s="159">
        <v>1</v>
      </c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v>1</v>
      </c>
      <c r="U53" s="27"/>
      <c r="V53" s="27"/>
      <c r="W53" s="27"/>
      <c r="X53" s="27"/>
      <c r="Y53" s="27"/>
      <c r="Z53" s="27"/>
      <c r="AA53" s="159">
        <v>1</v>
      </c>
      <c r="AB53" s="208">
        <v>0</v>
      </c>
    </row>
    <row r="54" spans="1:28" x14ac:dyDescent="0.2">
      <c r="A54" s="158" t="s">
        <v>170</v>
      </c>
      <c r="B54" s="159" t="s">
        <v>293</v>
      </c>
      <c r="C54" s="159">
        <v>7</v>
      </c>
      <c r="D54" s="27"/>
      <c r="E54" s="27"/>
      <c r="F54" s="27"/>
      <c r="G54" s="27"/>
      <c r="H54" s="27"/>
      <c r="I54" s="27"/>
      <c r="J54" s="27"/>
      <c r="K54" s="27"/>
      <c r="L54" s="27"/>
      <c r="M54" s="27">
        <v>1</v>
      </c>
      <c r="N54" s="27"/>
      <c r="O54" s="27"/>
      <c r="P54" s="27"/>
      <c r="Q54" s="27"/>
      <c r="R54" s="27"/>
      <c r="S54" s="27"/>
      <c r="T54" s="27"/>
      <c r="U54" s="27">
        <v>2</v>
      </c>
      <c r="V54" s="27"/>
      <c r="W54" s="27"/>
      <c r="X54" s="27">
        <v>3</v>
      </c>
      <c r="Y54" s="27"/>
      <c r="Z54" s="27">
        <v>1</v>
      </c>
      <c r="AA54" s="159">
        <v>7</v>
      </c>
      <c r="AB54" s="208">
        <v>0</v>
      </c>
    </row>
    <row r="55" spans="1:28" x14ac:dyDescent="0.2">
      <c r="A55" s="158" t="s">
        <v>171</v>
      </c>
      <c r="B55" s="159" t="s">
        <v>301</v>
      </c>
      <c r="C55" s="159">
        <v>6</v>
      </c>
      <c r="D55" s="27"/>
      <c r="E55" s="27"/>
      <c r="F55" s="27"/>
      <c r="G55" s="27"/>
      <c r="H55" s="27"/>
      <c r="I55" s="27"/>
      <c r="J55" s="27">
        <v>2</v>
      </c>
      <c r="K55" s="27"/>
      <c r="L55" s="27"/>
      <c r="M55" s="27"/>
      <c r="N55" s="27"/>
      <c r="O55" s="27"/>
      <c r="P55" s="27"/>
      <c r="Q55" s="27"/>
      <c r="R55" s="27"/>
      <c r="S55" s="27"/>
      <c r="T55" s="27">
        <v>2</v>
      </c>
      <c r="U55" s="27"/>
      <c r="V55" s="27"/>
      <c r="W55" s="27"/>
      <c r="X55" s="27"/>
      <c r="Y55" s="27"/>
      <c r="Z55" s="27">
        <v>2</v>
      </c>
      <c r="AA55" s="159">
        <v>6</v>
      </c>
      <c r="AB55" s="208">
        <v>0</v>
      </c>
    </row>
    <row r="56" spans="1:28" x14ac:dyDescent="0.2">
      <c r="A56" s="158" t="s">
        <v>75</v>
      </c>
      <c r="B56" s="159" t="s">
        <v>125</v>
      </c>
      <c r="C56" s="159">
        <v>7</v>
      </c>
      <c r="D56" s="27"/>
      <c r="E56" s="27"/>
      <c r="F56" s="27"/>
      <c r="G56" s="27"/>
      <c r="H56" s="27"/>
      <c r="I56" s="27"/>
      <c r="J56" s="27"/>
      <c r="K56" s="27"/>
      <c r="L56" s="27"/>
      <c r="M56" s="27">
        <v>7</v>
      </c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159">
        <v>7</v>
      </c>
      <c r="AB56" s="208">
        <v>0</v>
      </c>
    </row>
    <row r="57" spans="1:28" x14ac:dyDescent="0.2">
      <c r="A57" s="158" t="s">
        <v>76</v>
      </c>
      <c r="B57" s="159" t="s">
        <v>137</v>
      </c>
      <c r="C57" s="159">
        <v>10</v>
      </c>
      <c r="D57" s="27"/>
      <c r="E57" s="27"/>
      <c r="F57" s="27"/>
      <c r="G57" s="27">
        <v>1</v>
      </c>
      <c r="H57" s="27"/>
      <c r="I57" s="27"/>
      <c r="J57" s="27"/>
      <c r="K57" s="27"/>
      <c r="L57" s="27"/>
      <c r="M57" s="27">
        <v>3</v>
      </c>
      <c r="N57" s="27">
        <v>2</v>
      </c>
      <c r="O57" s="27">
        <v>1</v>
      </c>
      <c r="P57" s="27"/>
      <c r="Q57" s="27">
        <v>1</v>
      </c>
      <c r="R57" s="27"/>
      <c r="S57" s="27">
        <v>1</v>
      </c>
      <c r="T57" s="27"/>
      <c r="U57" s="27"/>
      <c r="V57" s="27"/>
      <c r="W57" s="27"/>
      <c r="X57" s="27"/>
      <c r="Y57" s="27">
        <v>1</v>
      </c>
      <c r="Z57" s="27"/>
      <c r="AA57" s="159">
        <v>10</v>
      </c>
      <c r="AB57" s="208">
        <v>0</v>
      </c>
    </row>
    <row r="58" spans="1:28" x14ac:dyDescent="0.2">
      <c r="A58" s="158" t="s">
        <v>77</v>
      </c>
      <c r="B58" s="159" t="s">
        <v>148</v>
      </c>
      <c r="C58" s="159">
        <v>7</v>
      </c>
      <c r="D58" s="27"/>
      <c r="E58" s="27"/>
      <c r="F58" s="27"/>
      <c r="G58" s="27">
        <v>1</v>
      </c>
      <c r="H58" s="27">
        <v>1</v>
      </c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>
        <v>1</v>
      </c>
      <c r="T58" s="27">
        <v>1</v>
      </c>
      <c r="U58" s="27">
        <v>1</v>
      </c>
      <c r="V58" s="27"/>
      <c r="W58" s="27"/>
      <c r="X58" s="27">
        <v>1</v>
      </c>
      <c r="Y58" s="27">
        <v>1</v>
      </c>
      <c r="Z58" s="27"/>
      <c r="AA58" s="159">
        <v>7</v>
      </c>
      <c r="AB58" s="208">
        <v>0</v>
      </c>
    </row>
    <row r="59" spans="1:28" x14ac:dyDescent="0.2">
      <c r="A59" s="158" t="s">
        <v>138</v>
      </c>
      <c r="B59" s="159" t="s">
        <v>211</v>
      </c>
      <c r="C59" s="159">
        <v>4</v>
      </c>
      <c r="D59" s="27"/>
      <c r="E59" s="27"/>
      <c r="F59" s="27"/>
      <c r="G59" s="27"/>
      <c r="H59" s="27"/>
      <c r="I59" s="27"/>
      <c r="J59" s="27"/>
      <c r="K59" s="27"/>
      <c r="L59" s="27">
        <v>4</v>
      </c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159">
        <v>4</v>
      </c>
      <c r="AB59" s="208">
        <v>0</v>
      </c>
    </row>
    <row r="60" spans="1:28" x14ac:dyDescent="0.2">
      <c r="A60" s="158" t="s">
        <v>144</v>
      </c>
      <c r="B60" s="159" t="s">
        <v>212</v>
      </c>
      <c r="C60" s="159">
        <v>3</v>
      </c>
      <c r="D60" s="27"/>
      <c r="E60" s="27"/>
      <c r="F60" s="27"/>
      <c r="G60" s="27"/>
      <c r="H60" s="27"/>
      <c r="I60" s="27"/>
      <c r="J60" s="27"/>
      <c r="K60" s="27"/>
      <c r="L60" s="27">
        <v>3</v>
      </c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159">
        <v>3</v>
      </c>
      <c r="AB60" s="208">
        <v>0</v>
      </c>
    </row>
    <row r="61" spans="1:28" x14ac:dyDescent="0.2">
      <c r="A61" s="158" t="s">
        <v>78</v>
      </c>
      <c r="B61" s="159" t="s">
        <v>206</v>
      </c>
      <c r="C61" s="159">
        <v>9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>
        <v>5</v>
      </c>
      <c r="W61" s="27"/>
      <c r="X61" s="27">
        <v>4</v>
      </c>
      <c r="Y61" s="27"/>
      <c r="Z61" s="27"/>
      <c r="AA61" s="159">
        <v>9</v>
      </c>
      <c r="AB61" s="208">
        <v>0</v>
      </c>
    </row>
    <row r="62" spans="1:28" x14ac:dyDescent="0.2">
      <c r="A62" s="158" t="s">
        <v>79</v>
      </c>
      <c r="B62" s="159" t="s">
        <v>208</v>
      </c>
      <c r="C62" s="159">
        <v>10</v>
      </c>
      <c r="D62" s="27"/>
      <c r="E62" s="27"/>
      <c r="F62" s="27"/>
      <c r="G62" s="27"/>
      <c r="H62" s="27"/>
      <c r="I62" s="27"/>
      <c r="J62" s="27">
        <v>2</v>
      </c>
      <c r="K62" s="27"/>
      <c r="L62" s="27"/>
      <c r="M62" s="27"/>
      <c r="N62" s="27"/>
      <c r="O62" s="27"/>
      <c r="P62" s="27"/>
      <c r="Q62" s="27">
        <v>3</v>
      </c>
      <c r="R62" s="27">
        <v>2</v>
      </c>
      <c r="S62" s="27">
        <v>1</v>
      </c>
      <c r="T62" s="27"/>
      <c r="U62" s="27">
        <v>2</v>
      </c>
      <c r="V62" s="27"/>
      <c r="W62" s="27"/>
      <c r="X62" s="27"/>
      <c r="Y62" s="27"/>
      <c r="Z62" s="27"/>
      <c r="AA62" s="159">
        <v>10</v>
      </c>
      <c r="AB62" s="208">
        <v>0</v>
      </c>
    </row>
    <row r="63" spans="1:28" x14ac:dyDescent="0.2">
      <c r="A63" s="158" t="s">
        <v>80</v>
      </c>
      <c r="B63" s="159" t="s">
        <v>209</v>
      </c>
      <c r="C63" s="159">
        <v>7</v>
      </c>
      <c r="D63" s="27">
        <v>1</v>
      </c>
      <c r="E63" s="27"/>
      <c r="F63" s="27"/>
      <c r="G63" s="27"/>
      <c r="H63" s="27"/>
      <c r="I63" s="27"/>
      <c r="J63" s="27"/>
      <c r="K63" s="27"/>
      <c r="L63" s="27"/>
      <c r="M63" s="27"/>
      <c r="N63" s="27">
        <v>1</v>
      </c>
      <c r="O63" s="27"/>
      <c r="P63" s="27"/>
      <c r="Q63" s="27"/>
      <c r="R63" s="27">
        <v>1</v>
      </c>
      <c r="S63" s="27"/>
      <c r="T63" s="27"/>
      <c r="U63" s="27">
        <v>1</v>
      </c>
      <c r="V63" s="27">
        <v>1</v>
      </c>
      <c r="W63" s="27"/>
      <c r="X63" s="27">
        <v>1</v>
      </c>
      <c r="Y63" s="27"/>
      <c r="Z63" s="27">
        <v>1</v>
      </c>
      <c r="AA63" s="159">
        <v>7</v>
      </c>
      <c r="AB63" s="208">
        <v>0</v>
      </c>
    </row>
    <row r="64" spans="1:28" x14ac:dyDescent="0.2">
      <c r="A64" s="158" t="s">
        <v>81</v>
      </c>
      <c r="B64" s="159" t="s">
        <v>294</v>
      </c>
      <c r="C64" s="159">
        <v>22</v>
      </c>
      <c r="D64" s="27">
        <v>2</v>
      </c>
      <c r="E64" s="27"/>
      <c r="F64" s="27"/>
      <c r="G64" s="27"/>
      <c r="H64" s="27">
        <v>2</v>
      </c>
      <c r="I64" s="27"/>
      <c r="J64" s="27">
        <v>3</v>
      </c>
      <c r="K64" s="27"/>
      <c r="L64" s="27"/>
      <c r="M64" s="27">
        <v>5</v>
      </c>
      <c r="N64" s="27"/>
      <c r="O64" s="27">
        <v>1</v>
      </c>
      <c r="P64" s="27"/>
      <c r="Q64" s="27"/>
      <c r="R64" s="27">
        <v>2</v>
      </c>
      <c r="S64" s="27"/>
      <c r="T64" s="27"/>
      <c r="U64" s="27"/>
      <c r="V64" s="27">
        <v>5</v>
      </c>
      <c r="W64" s="27"/>
      <c r="X64" s="27"/>
      <c r="Y64" s="27"/>
      <c r="Z64" s="27">
        <v>2</v>
      </c>
      <c r="AA64" s="159">
        <v>22</v>
      </c>
      <c r="AB64" s="208">
        <v>0</v>
      </c>
    </row>
    <row r="65" spans="1:28" x14ac:dyDescent="0.2">
      <c r="A65" s="158" t="s">
        <v>81</v>
      </c>
      <c r="B65" s="159" t="s">
        <v>295</v>
      </c>
      <c r="C65" s="159">
        <v>14</v>
      </c>
      <c r="D65" s="27">
        <v>1</v>
      </c>
      <c r="E65" s="27"/>
      <c r="F65" s="27"/>
      <c r="G65" s="27">
        <v>1</v>
      </c>
      <c r="H65" s="27">
        <v>2</v>
      </c>
      <c r="I65" s="27">
        <v>1</v>
      </c>
      <c r="J65" s="27"/>
      <c r="K65" s="27"/>
      <c r="L65" s="27"/>
      <c r="M65" s="27">
        <v>1</v>
      </c>
      <c r="N65" s="27">
        <v>1</v>
      </c>
      <c r="O65" s="27"/>
      <c r="P65" s="27"/>
      <c r="Q65" s="27"/>
      <c r="R65" s="27">
        <v>3</v>
      </c>
      <c r="S65" s="27"/>
      <c r="T65" s="27"/>
      <c r="U65" s="27">
        <v>2</v>
      </c>
      <c r="V65" s="27"/>
      <c r="W65" s="27"/>
      <c r="X65" s="27"/>
      <c r="Y65" s="27">
        <v>1</v>
      </c>
      <c r="Z65" s="27"/>
      <c r="AA65" s="159">
        <v>13</v>
      </c>
      <c r="AB65" s="208">
        <v>-1</v>
      </c>
    </row>
    <row r="66" spans="1:28" x14ac:dyDescent="0.2">
      <c r="A66" s="158" t="s">
        <v>298</v>
      </c>
      <c r="B66" s="159" t="s">
        <v>296</v>
      </c>
      <c r="C66" s="159">
        <v>22</v>
      </c>
      <c r="D66" s="27"/>
      <c r="E66" s="27"/>
      <c r="F66" s="27"/>
      <c r="G66" s="27"/>
      <c r="H66" s="27"/>
      <c r="I66" s="27">
        <v>3</v>
      </c>
      <c r="J66" s="27">
        <v>2</v>
      </c>
      <c r="K66" s="27"/>
      <c r="L66" s="27"/>
      <c r="M66" s="27"/>
      <c r="N66" s="27"/>
      <c r="O66" s="27"/>
      <c r="P66" s="27"/>
      <c r="Q66" s="27">
        <v>6</v>
      </c>
      <c r="R66" s="27">
        <v>4</v>
      </c>
      <c r="S66" s="27"/>
      <c r="T66" s="27">
        <v>2</v>
      </c>
      <c r="U66" s="27"/>
      <c r="V66" s="27">
        <v>1</v>
      </c>
      <c r="W66" s="27"/>
      <c r="X66" s="27">
        <v>4</v>
      </c>
      <c r="Y66" s="27"/>
      <c r="Z66" s="27"/>
      <c r="AA66" s="159">
        <v>22</v>
      </c>
      <c r="AB66" s="208">
        <v>0</v>
      </c>
    </row>
    <row r="67" spans="1:28" x14ac:dyDescent="0.2">
      <c r="A67" s="158" t="s">
        <v>298</v>
      </c>
      <c r="B67" s="159" t="s">
        <v>297</v>
      </c>
      <c r="C67" s="159">
        <v>14</v>
      </c>
      <c r="D67" s="27">
        <v>1</v>
      </c>
      <c r="E67" s="27"/>
      <c r="F67" s="27"/>
      <c r="G67" s="27"/>
      <c r="H67" s="27"/>
      <c r="I67" s="27"/>
      <c r="J67" s="27">
        <v>2</v>
      </c>
      <c r="K67" s="27"/>
      <c r="L67" s="27"/>
      <c r="M67" s="27"/>
      <c r="N67" s="27"/>
      <c r="O67" s="27"/>
      <c r="P67" s="27"/>
      <c r="Q67" s="27">
        <v>2</v>
      </c>
      <c r="R67" s="27">
        <v>1</v>
      </c>
      <c r="S67" s="27"/>
      <c r="T67" s="27">
        <v>3</v>
      </c>
      <c r="U67" s="27">
        <v>1</v>
      </c>
      <c r="V67" s="27">
        <v>2</v>
      </c>
      <c r="W67" s="27">
        <v>1</v>
      </c>
      <c r="X67" s="27"/>
      <c r="Y67" s="27"/>
      <c r="Z67" s="27"/>
      <c r="AA67" s="159">
        <v>13</v>
      </c>
      <c r="AB67" s="208">
        <v>-1</v>
      </c>
    </row>
    <row r="68" spans="1:28" x14ac:dyDescent="0.2">
      <c r="A68" s="158" t="s">
        <v>82</v>
      </c>
      <c r="B68" s="159" t="s">
        <v>213</v>
      </c>
      <c r="C68" s="159">
        <v>7</v>
      </c>
      <c r="D68" s="27"/>
      <c r="E68" s="27"/>
      <c r="F68" s="27"/>
      <c r="G68" s="27">
        <v>1</v>
      </c>
      <c r="H68" s="27"/>
      <c r="I68" s="27"/>
      <c r="J68" s="27">
        <v>1</v>
      </c>
      <c r="K68" s="27"/>
      <c r="L68" s="27"/>
      <c r="M68" s="27">
        <v>1</v>
      </c>
      <c r="N68" s="27"/>
      <c r="O68" s="27"/>
      <c r="P68" s="27"/>
      <c r="Q68" s="27"/>
      <c r="R68" s="27">
        <v>1</v>
      </c>
      <c r="S68" s="27"/>
      <c r="T68" s="27"/>
      <c r="U68" s="27"/>
      <c r="V68" s="27">
        <v>1</v>
      </c>
      <c r="W68" s="27">
        <v>1</v>
      </c>
      <c r="X68" s="27"/>
      <c r="Y68" s="27">
        <v>1</v>
      </c>
      <c r="Z68" s="27"/>
      <c r="AA68" s="159">
        <v>7</v>
      </c>
      <c r="AB68" s="208">
        <v>0</v>
      </c>
    </row>
    <row r="69" spans="1:28" x14ac:dyDescent="0.2">
      <c r="A69" s="158" t="s">
        <v>82</v>
      </c>
      <c r="B69" s="159" t="s">
        <v>214</v>
      </c>
      <c r="C69" s="159">
        <v>6</v>
      </c>
      <c r="D69" s="27">
        <v>1</v>
      </c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>
        <v>1</v>
      </c>
      <c r="S69" s="27">
        <v>1</v>
      </c>
      <c r="T69" s="27">
        <v>1</v>
      </c>
      <c r="U69" s="27">
        <v>1</v>
      </c>
      <c r="V69" s="27">
        <v>1</v>
      </c>
      <c r="W69" s="27"/>
      <c r="X69" s="27"/>
      <c r="Y69" s="27"/>
      <c r="Z69" s="27"/>
      <c r="AA69" s="159">
        <v>6</v>
      </c>
      <c r="AB69" s="208">
        <v>0</v>
      </c>
    </row>
    <row r="70" spans="1:28" x14ac:dyDescent="0.2">
      <c r="A70" s="158" t="s">
        <v>234</v>
      </c>
      <c r="B70" s="159" t="s">
        <v>229</v>
      </c>
      <c r="C70" s="159">
        <v>7</v>
      </c>
      <c r="D70" s="27">
        <v>2</v>
      </c>
      <c r="E70" s="27"/>
      <c r="F70" s="27"/>
      <c r="G70" s="27"/>
      <c r="H70" s="27"/>
      <c r="I70" s="27"/>
      <c r="J70" s="27">
        <v>1</v>
      </c>
      <c r="K70" s="27"/>
      <c r="L70" s="27"/>
      <c r="M70" s="27"/>
      <c r="N70" s="27"/>
      <c r="O70" s="27"/>
      <c r="P70" s="27"/>
      <c r="Q70" s="27"/>
      <c r="R70" s="27">
        <v>2</v>
      </c>
      <c r="S70" s="27"/>
      <c r="T70" s="27"/>
      <c r="U70" s="27"/>
      <c r="V70" s="27"/>
      <c r="W70" s="27">
        <v>1</v>
      </c>
      <c r="X70" s="27">
        <v>1</v>
      </c>
      <c r="Y70" s="27"/>
      <c r="Z70" s="27"/>
      <c r="AA70" s="159">
        <v>7</v>
      </c>
      <c r="AB70" s="208">
        <v>0</v>
      </c>
    </row>
    <row r="71" spans="1:28" x14ac:dyDescent="0.2">
      <c r="A71" s="158" t="s">
        <v>235</v>
      </c>
      <c r="B71" s="159" t="s">
        <v>230</v>
      </c>
      <c r="C71" s="159">
        <v>0</v>
      </c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159">
        <v>0</v>
      </c>
      <c r="AB71" s="208">
        <v>0</v>
      </c>
    </row>
    <row r="72" spans="1:28" x14ac:dyDescent="0.2">
      <c r="A72" s="158" t="s">
        <v>159</v>
      </c>
      <c r="B72" s="159" t="s">
        <v>231</v>
      </c>
      <c r="C72" s="159">
        <v>5</v>
      </c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159">
        <v>0</v>
      </c>
      <c r="AB72" s="208">
        <v>-5</v>
      </c>
    </row>
    <row r="73" spans="1:28" x14ac:dyDescent="0.2">
      <c r="A73" s="158" t="s">
        <v>160</v>
      </c>
      <c r="B73" s="159" t="s">
        <v>232</v>
      </c>
      <c r="C73" s="159">
        <v>0</v>
      </c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159">
        <v>0</v>
      </c>
      <c r="AB73" s="208">
        <v>0</v>
      </c>
    </row>
    <row r="74" spans="1:28" x14ac:dyDescent="0.2">
      <c r="A74" s="158" t="s">
        <v>83</v>
      </c>
      <c r="B74" s="159" t="s">
        <v>218</v>
      </c>
      <c r="C74" s="159">
        <v>7</v>
      </c>
      <c r="D74" s="27">
        <v>2</v>
      </c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>
        <v>1</v>
      </c>
      <c r="T74" s="27">
        <v>2</v>
      </c>
      <c r="U74" s="27">
        <v>1</v>
      </c>
      <c r="V74" s="27">
        <v>1</v>
      </c>
      <c r="W74" s="27"/>
      <c r="X74" s="27"/>
      <c r="Y74" s="27"/>
      <c r="Z74" s="27"/>
      <c r="AA74" s="159">
        <v>7</v>
      </c>
      <c r="AB74" s="208">
        <v>0</v>
      </c>
    </row>
    <row r="75" spans="1:28" x14ac:dyDescent="0.2">
      <c r="A75" s="158" t="s">
        <v>83</v>
      </c>
      <c r="B75" s="159" t="s">
        <v>217</v>
      </c>
      <c r="C75" s="159">
        <v>6</v>
      </c>
      <c r="D75" s="27">
        <v>1</v>
      </c>
      <c r="E75" s="27"/>
      <c r="F75" s="27"/>
      <c r="G75" s="27"/>
      <c r="H75" s="27"/>
      <c r="I75" s="27"/>
      <c r="J75" s="27"/>
      <c r="K75" s="27"/>
      <c r="L75" s="27"/>
      <c r="M75" s="27"/>
      <c r="N75" s="27">
        <v>1</v>
      </c>
      <c r="O75" s="27">
        <v>1</v>
      </c>
      <c r="P75" s="27"/>
      <c r="Q75" s="27">
        <v>2</v>
      </c>
      <c r="R75" s="27"/>
      <c r="S75" s="27"/>
      <c r="T75" s="27"/>
      <c r="U75" s="27"/>
      <c r="V75" s="27">
        <v>1</v>
      </c>
      <c r="W75" s="27"/>
      <c r="X75" s="27"/>
      <c r="Y75" s="27"/>
      <c r="Z75" s="27"/>
      <c r="AA75" s="159">
        <v>6</v>
      </c>
      <c r="AB75" s="208">
        <v>0</v>
      </c>
    </row>
    <row r="76" spans="1:28" x14ac:dyDescent="0.2">
      <c r="A76" s="158" t="s">
        <v>326</v>
      </c>
      <c r="B76" s="159" t="s">
        <v>328</v>
      </c>
      <c r="C76" s="159">
        <v>7</v>
      </c>
      <c r="D76" s="27"/>
      <c r="E76" s="27"/>
      <c r="F76" s="27"/>
      <c r="G76" s="27"/>
      <c r="H76" s="27"/>
      <c r="I76" s="27">
        <v>1</v>
      </c>
      <c r="J76" s="27"/>
      <c r="K76" s="27"/>
      <c r="L76" s="27"/>
      <c r="M76" s="27"/>
      <c r="N76" s="27"/>
      <c r="O76" s="27"/>
      <c r="P76" s="27"/>
      <c r="Q76" s="27"/>
      <c r="R76" s="27"/>
      <c r="S76" s="27">
        <v>1</v>
      </c>
      <c r="T76" s="27"/>
      <c r="U76" s="27">
        <v>1</v>
      </c>
      <c r="V76" s="27">
        <v>1</v>
      </c>
      <c r="W76" s="27"/>
      <c r="X76" s="27">
        <v>1</v>
      </c>
      <c r="Y76" s="27">
        <v>1</v>
      </c>
      <c r="Z76" s="27">
        <v>1</v>
      </c>
      <c r="AA76" s="159">
        <v>7</v>
      </c>
      <c r="AB76" s="208">
        <v>0</v>
      </c>
    </row>
    <row r="77" spans="1:28" x14ac:dyDescent="0.2">
      <c r="A77" s="158" t="s">
        <v>327</v>
      </c>
      <c r="B77" s="159" t="s">
        <v>329</v>
      </c>
      <c r="C77" s="159">
        <v>6</v>
      </c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>
        <v>1</v>
      </c>
      <c r="T77" s="27"/>
      <c r="U77" s="27">
        <v>1</v>
      </c>
      <c r="V77" s="27">
        <v>2</v>
      </c>
      <c r="W77" s="27">
        <v>2</v>
      </c>
      <c r="X77" s="27"/>
      <c r="Y77" s="27"/>
      <c r="Z77" s="27"/>
      <c r="AA77" s="159">
        <v>6</v>
      </c>
      <c r="AB77" s="208">
        <v>0</v>
      </c>
    </row>
    <row r="78" spans="1:28" x14ac:dyDescent="0.2">
      <c r="A78" s="158" t="s">
        <v>145</v>
      </c>
      <c r="B78" s="159" t="s">
        <v>215</v>
      </c>
      <c r="C78" s="159">
        <v>3</v>
      </c>
      <c r="D78" s="27"/>
      <c r="E78" s="27"/>
      <c r="F78" s="27"/>
      <c r="G78" s="27"/>
      <c r="H78" s="27"/>
      <c r="I78" s="27"/>
      <c r="J78" s="27">
        <v>1</v>
      </c>
      <c r="K78" s="27"/>
      <c r="L78" s="27"/>
      <c r="M78" s="27"/>
      <c r="N78" s="27"/>
      <c r="O78" s="27"/>
      <c r="P78" s="27"/>
      <c r="Q78" s="27"/>
      <c r="R78" s="27"/>
      <c r="S78" s="27">
        <v>2</v>
      </c>
      <c r="T78" s="27"/>
      <c r="U78" s="27"/>
      <c r="V78" s="27"/>
      <c r="W78" s="27"/>
      <c r="X78" s="27"/>
      <c r="Y78" s="27"/>
      <c r="Z78" s="27"/>
      <c r="AA78" s="159">
        <v>3</v>
      </c>
      <c r="AB78" s="208">
        <v>0</v>
      </c>
    </row>
    <row r="79" spans="1:28" x14ac:dyDescent="0.2">
      <c r="A79" s="158" t="s">
        <v>146</v>
      </c>
      <c r="B79" s="159" t="s">
        <v>216</v>
      </c>
      <c r="C79" s="159">
        <v>1</v>
      </c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>
        <v>1</v>
      </c>
      <c r="S79" s="27"/>
      <c r="T79" s="27"/>
      <c r="U79" s="27"/>
      <c r="V79" s="27"/>
      <c r="W79" s="27"/>
      <c r="X79" s="27"/>
      <c r="Y79" s="27"/>
      <c r="Z79" s="27"/>
      <c r="AA79" s="159">
        <v>1</v>
      </c>
      <c r="AB79" s="208">
        <v>0</v>
      </c>
    </row>
    <row r="80" spans="1:28" x14ac:dyDescent="0.2">
      <c r="A80" s="158" t="s">
        <v>313</v>
      </c>
      <c r="B80" s="159" t="s">
        <v>314</v>
      </c>
      <c r="C80" s="159">
        <v>9</v>
      </c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>
        <v>2</v>
      </c>
      <c r="O80" s="27"/>
      <c r="P80" s="27">
        <v>7</v>
      </c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159">
        <v>9</v>
      </c>
      <c r="AB80" s="208">
        <v>0</v>
      </c>
    </row>
    <row r="81" spans="1:28" x14ac:dyDescent="0.2">
      <c r="A81" s="158" t="s">
        <v>299</v>
      </c>
      <c r="B81" s="159" t="s">
        <v>99</v>
      </c>
      <c r="C81" s="159">
        <v>2</v>
      </c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v>1</v>
      </c>
      <c r="U81" s="27"/>
      <c r="V81" s="27"/>
      <c r="W81" s="27"/>
      <c r="X81" s="27"/>
      <c r="Y81" s="27"/>
      <c r="Z81" s="27"/>
      <c r="AA81" s="159">
        <v>1</v>
      </c>
      <c r="AB81" s="208">
        <v>-1</v>
      </c>
    </row>
    <row r="82" spans="1:28" x14ac:dyDescent="0.2">
      <c r="A82" s="158" t="s">
        <v>300</v>
      </c>
      <c r="B82" s="159" t="s">
        <v>233</v>
      </c>
      <c r="C82" s="159">
        <v>6</v>
      </c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>
        <v>6</v>
      </c>
      <c r="Q82" s="27">
        <v>2</v>
      </c>
      <c r="R82" s="27"/>
      <c r="S82" s="27"/>
      <c r="T82" s="27"/>
      <c r="U82" s="27"/>
      <c r="V82" s="27"/>
      <c r="W82" s="27"/>
      <c r="X82" s="27"/>
      <c r="Y82" s="27"/>
      <c r="Z82" s="27"/>
      <c r="AA82" s="159">
        <v>8</v>
      </c>
      <c r="AB82" s="208">
        <v>2</v>
      </c>
    </row>
    <row r="83" spans="1:28" x14ac:dyDescent="0.2">
      <c r="A83" s="158"/>
      <c r="B83" s="159"/>
      <c r="C83" s="159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159"/>
      <c r="AB83" s="208"/>
    </row>
    <row r="84" spans="1:28" x14ac:dyDescent="0.2">
      <c r="A84" s="158"/>
      <c r="B84" s="163" t="s">
        <v>364</v>
      </c>
      <c r="C84" s="159">
        <v>251</v>
      </c>
      <c r="D84" s="27">
        <v>17</v>
      </c>
      <c r="E84" s="27">
        <v>0</v>
      </c>
      <c r="F84" s="27">
        <v>2</v>
      </c>
      <c r="G84" s="27">
        <v>6</v>
      </c>
      <c r="H84" s="27">
        <v>6</v>
      </c>
      <c r="I84" s="27">
        <v>5</v>
      </c>
      <c r="J84" s="27">
        <v>15</v>
      </c>
      <c r="K84" s="27">
        <v>0</v>
      </c>
      <c r="L84" s="27">
        <v>7</v>
      </c>
      <c r="M84" s="27">
        <v>18</v>
      </c>
      <c r="N84" s="27">
        <v>7</v>
      </c>
      <c r="O84" s="27">
        <v>3</v>
      </c>
      <c r="P84" s="27">
        <v>13</v>
      </c>
      <c r="Q84" s="27">
        <v>18</v>
      </c>
      <c r="R84" s="27">
        <v>19</v>
      </c>
      <c r="S84" s="27">
        <v>10</v>
      </c>
      <c r="T84" s="27">
        <v>23</v>
      </c>
      <c r="U84" s="27">
        <v>16</v>
      </c>
      <c r="V84" s="27">
        <v>25</v>
      </c>
      <c r="W84" s="27">
        <v>5</v>
      </c>
      <c r="X84" s="27">
        <v>20</v>
      </c>
      <c r="Y84" s="27">
        <v>7</v>
      </c>
      <c r="Z84" s="27">
        <v>8</v>
      </c>
      <c r="AA84" s="159">
        <v>250</v>
      </c>
      <c r="AB84" s="208">
        <v>-1</v>
      </c>
    </row>
    <row r="85" spans="1:28" x14ac:dyDescent="0.2">
      <c r="A85" s="158"/>
      <c r="B85" s="159"/>
      <c r="C85" s="159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159"/>
      <c r="AB85" s="208"/>
    </row>
    <row r="86" spans="1:28" ht="13.5" thickBot="1" x14ac:dyDescent="0.25">
      <c r="A86" s="160"/>
      <c r="B86" s="161" t="s">
        <v>365</v>
      </c>
      <c r="C86" s="162">
        <v>395</v>
      </c>
      <c r="D86" s="119">
        <v>17</v>
      </c>
      <c r="E86" s="119">
        <v>0</v>
      </c>
      <c r="F86" s="119">
        <v>19</v>
      </c>
      <c r="G86" s="119">
        <v>7</v>
      </c>
      <c r="H86" s="119">
        <v>16</v>
      </c>
      <c r="I86" s="119">
        <v>31</v>
      </c>
      <c r="J86" s="119">
        <v>15</v>
      </c>
      <c r="K86" s="119">
        <v>17</v>
      </c>
      <c r="L86" s="119">
        <v>24</v>
      </c>
      <c r="M86" s="119">
        <v>20</v>
      </c>
      <c r="N86" s="119">
        <v>9</v>
      </c>
      <c r="O86" s="119">
        <v>9</v>
      </c>
      <c r="P86" s="119">
        <v>26</v>
      </c>
      <c r="Q86" s="119">
        <v>20</v>
      </c>
      <c r="R86" s="119">
        <v>19</v>
      </c>
      <c r="S86" s="119">
        <v>11</v>
      </c>
      <c r="T86" s="119">
        <v>23</v>
      </c>
      <c r="U86" s="119">
        <v>20</v>
      </c>
      <c r="V86" s="119">
        <v>26</v>
      </c>
      <c r="W86" s="119">
        <v>7</v>
      </c>
      <c r="X86" s="119">
        <v>20</v>
      </c>
      <c r="Y86" s="119">
        <v>25</v>
      </c>
      <c r="Z86" s="119">
        <v>13</v>
      </c>
      <c r="AA86" s="162">
        <v>394</v>
      </c>
      <c r="AB86" s="209">
        <v>-1</v>
      </c>
    </row>
    <row r="90" spans="1:28" ht="18.75" thickBot="1" x14ac:dyDescent="0.3">
      <c r="B90" s="153" t="s">
        <v>237</v>
      </c>
    </row>
    <row r="91" spans="1:28" ht="65.25" x14ac:dyDescent="0.25">
      <c r="A91" s="154"/>
      <c r="B91" s="155" t="s">
        <v>330</v>
      </c>
      <c r="C91" s="156" t="s">
        <v>4</v>
      </c>
      <c r="D91" s="157" t="s">
        <v>115</v>
      </c>
      <c r="E91" s="157" t="s">
        <v>288</v>
      </c>
      <c r="F91" s="157" t="s">
        <v>24</v>
      </c>
      <c r="G91" s="157" t="s">
        <v>106</v>
      </c>
      <c r="H91" s="157" t="s">
        <v>17</v>
      </c>
      <c r="I91" s="157" t="s">
        <v>45</v>
      </c>
      <c r="J91" s="157" t="s">
        <v>111</v>
      </c>
      <c r="K91" s="157" t="s">
        <v>36</v>
      </c>
      <c r="L91" s="157" t="s">
        <v>113</v>
      </c>
      <c r="M91" s="157" t="s">
        <v>112</v>
      </c>
      <c r="N91" s="157" t="s">
        <v>290</v>
      </c>
      <c r="O91" s="157" t="s">
        <v>186</v>
      </c>
      <c r="P91" s="157" t="s">
        <v>29</v>
      </c>
      <c r="Q91" s="157" t="s">
        <v>340</v>
      </c>
      <c r="R91" s="157" t="s">
        <v>122</v>
      </c>
      <c r="S91" s="157" t="s">
        <v>116</v>
      </c>
      <c r="T91" s="157" t="s">
        <v>47</v>
      </c>
      <c r="U91" s="157" t="s">
        <v>117</v>
      </c>
      <c r="V91" s="157" t="s">
        <v>55</v>
      </c>
      <c r="W91" s="157" t="s">
        <v>283</v>
      </c>
      <c r="X91" s="157" t="s">
        <v>50</v>
      </c>
      <c r="Y91" s="157" t="s">
        <v>8</v>
      </c>
      <c r="Z91" s="157" t="s">
        <v>26</v>
      </c>
      <c r="AA91" s="156" t="s">
        <v>139</v>
      </c>
      <c r="AB91" s="207" t="s">
        <v>239</v>
      </c>
    </row>
    <row r="92" spans="1:28" x14ac:dyDescent="0.2">
      <c r="A92" s="158" t="s">
        <v>6</v>
      </c>
      <c r="B92" s="159" t="s">
        <v>7</v>
      </c>
      <c r="C92" s="159">
        <v>4</v>
      </c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>
        <v>4</v>
      </c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159">
        <v>4</v>
      </c>
      <c r="AB92" s="208">
        <v>0</v>
      </c>
    </row>
    <row r="93" spans="1:28" x14ac:dyDescent="0.2">
      <c r="A93" s="158" t="s">
        <v>9</v>
      </c>
      <c r="B93" s="159" t="s">
        <v>10</v>
      </c>
      <c r="C93" s="159">
        <v>2</v>
      </c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>
        <v>2</v>
      </c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159">
        <v>2</v>
      </c>
      <c r="AB93" s="208">
        <v>0</v>
      </c>
    </row>
    <row r="94" spans="1:28" x14ac:dyDescent="0.2">
      <c r="A94" s="158" t="s">
        <v>11</v>
      </c>
      <c r="B94" s="159" t="s">
        <v>12</v>
      </c>
      <c r="C94" s="159">
        <v>2</v>
      </c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>
        <v>2</v>
      </c>
      <c r="R94" s="27"/>
      <c r="S94" s="27"/>
      <c r="T94" s="27"/>
      <c r="U94" s="27"/>
      <c r="V94" s="27"/>
      <c r="W94" s="27"/>
      <c r="X94" s="27"/>
      <c r="Y94" s="27"/>
      <c r="Z94" s="27"/>
      <c r="AA94" s="159">
        <v>2</v>
      </c>
      <c r="AB94" s="208">
        <v>0</v>
      </c>
    </row>
    <row r="95" spans="1:28" x14ac:dyDescent="0.2">
      <c r="A95" s="158" t="s">
        <v>13</v>
      </c>
      <c r="B95" s="159" t="s">
        <v>14</v>
      </c>
      <c r="C95" s="159">
        <v>2</v>
      </c>
      <c r="D95" s="27"/>
      <c r="E95" s="27"/>
      <c r="F95" s="27"/>
      <c r="G95" s="27"/>
      <c r="H95" s="27"/>
      <c r="I95" s="27"/>
      <c r="J95" s="27"/>
      <c r="K95" s="27"/>
      <c r="L95" s="27"/>
      <c r="M95" s="27">
        <v>2</v>
      </c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159">
        <v>2</v>
      </c>
      <c r="AB95" s="208">
        <v>0</v>
      </c>
    </row>
    <row r="96" spans="1:28" x14ac:dyDescent="0.2">
      <c r="A96" s="158" t="s">
        <v>15</v>
      </c>
      <c r="B96" s="159" t="s">
        <v>16</v>
      </c>
      <c r="C96" s="159">
        <v>6</v>
      </c>
      <c r="D96" s="27"/>
      <c r="E96" s="27"/>
      <c r="F96" s="27"/>
      <c r="G96" s="27"/>
      <c r="H96" s="27">
        <v>6</v>
      </c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159">
        <v>6</v>
      </c>
      <c r="AB96" s="208">
        <v>0</v>
      </c>
    </row>
    <row r="97" spans="1:28" x14ac:dyDescent="0.2">
      <c r="A97" s="158" t="s">
        <v>18</v>
      </c>
      <c r="B97" s="159" t="s">
        <v>88</v>
      </c>
      <c r="C97" s="159">
        <v>4</v>
      </c>
      <c r="D97" s="27"/>
      <c r="E97" s="27"/>
      <c r="F97" s="27"/>
      <c r="G97" s="27"/>
      <c r="H97" s="27">
        <v>4</v>
      </c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159">
        <v>4</v>
      </c>
      <c r="AB97" s="208">
        <v>0</v>
      </c>
    </row>
    <row r="98" spans="1:28" x14ac:dyDescent="0.2">
      <c r="A98" s="158" t="s">
        <v>20</v>
      </c>
      <c r="B98" s="159" t="s">
        <v>89</v>
      </c>
      <c r="C98" s="159">
        <v>7</v>
      </c>
      <c r="D98" s="27"/>
      <c r="E98" s="27"/>
      <c r="F98" s="27">
        <v>7</v>
      </c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159">
        <v>7</v>
      </c>
      <c r="AB98" s="208">
        <v>0</v>
      </c>
    </row>
    <row r="99" spans="1:28" x14ac:dyDescent="0.2">
      <c r="A99" s="158" t="s">
        <v>22</v>
      </c>
      <c r="B99" s="159" t="s">
        <v>23</v>
      </c>
      <c r="C99" s="159">
        <v>2</v>
      </c>
      <c r="D99" s="27"/>
      <c r="E99" s="27"/>
      <c r="F99" s="27">
        <v>2</v>
      </c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159">
        <v>2</v>
      </c>
      <c r="AB99" s="208">
        <v>0</v>
      </c>
    </row>
    <row r="100" spans="1:28" x14ac:dyDescent="0.2">
      <c r="A100" s="158" t="s">
        <v>277</v>
      </c>
      <c r="B100" s="159" t="s">
        <v>278</v>
      </c>
      <c r="C100" s="159">
        <v>8</v>
      </c>
      <c r="D100" s="27"/>
      <c r="E100" s="27"/>
      <c r="F100" s="27">
        <v>8</v>
      </c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159">
        <v>8</v>
      </c>
      <c r="AB100" s="208">
        <v>0</v>
      </c>
    </row>
    <row r="101" spans="1:28" x14ac:dyDescent="0.2">
      <c r="A101" s="158" t="s">
        <v>25</v>
      </c>
      <c r="B101" s="159"/>
      <c r="C101" s="159">
        <v>0</v>
      </c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159"/>
      <c r="AB101" s="208">
        <v>0</v>
      </c>
    </row>
    <row r="102" spans="1:28" x14ac:dyDescent="0.2">
      <c r="A102" s="158" t="s">
        <v>30</v>
      </c>
      <c r="B102" s="159" t="s">
        <v>90</v>
      </c>
      <c r="C102" s="159">
        <v>4</v>
      </c>
      <c r="D102" s="27"/>
      <c r="E102" s="27"/>
      <c r="F102" s="27"/>
      <c r="G102" s="27"/>
      <c r="H102" s="27"/>
      <c r="I102" s="27"/>
      <c r="J102" s="27"/>
      <c r="K102" s="27">
        <v>4</v>
      </c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159">
        <v>4</v>
      </c>
      <c r="AB102" s="208">
        <v>0</v>
      </c>
    </row>
    <row r="103" spans="1:28" x14ac:dyDescent="0.2">
      <c r="A103" s="158" t="s">
        <v>32</v>
      </c>
      <c r="B103" s="159" t="s">
        <v>91</v>
      </c>
      <c r="C103" s="159">
        <v>8</v>
      </c>
      <c r="D103" s="27"/>
      <c r="E103" s="27"/>
      <c r="F103" s="27"/>
      <c r="G103" s="27"/>
      <c r="H103" s="27"/>
      <c r="I103" s="27"/>
      <c r="J103" s="27"/>
      <c r="K103" s="27">
        <v>8</v>
      </c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159">
        <v>8</v>
      </c>
      <c r="AB103" s="208">
        <v>0</v>
      </c>
    </row>
    <row r="104" spans="1:28" x14ac:dyDescent="0.2">
      <c r="A104" s="158" t="s">
        <v>34</v>
      </c>
      <c r="B104" s="159" t="s">
        <v>35</v>
      </c>
      <c r="C104" s="159">
        <v>4</v>
      </c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v>4</v>
      </c>
      <c r="U104" s="27"/>
      <c r="V104" s="27"/>
      <c r="W104" s="27"/>
      <c r="X104" s="27"/>
      <c r="Y104" s="27"/>
      <c r="Z104" s="27"/>
      <c r="AA104" s="159">
        <v>4</v>
      </c>
      <c r="AB104" s="208">
        <v>0</v>
      </c>
    </row>
    <row r="105" spans="1:28" x14ac:dyDescent="0.2">
      <c r="A105" s="158" t="s">
        <v>37</v>
      </c>
      <c r="B105" s="159" t="s">
        <v>38</v>
      </c>
      <c r="C105" s="159">
        <v>12</v>
      </c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v>12</v>
      </c>
      <c r="U105" s="27"/>
      <c r="V105" s="27"/>
      <c r="W105" s="27"/>
      <c r="X105" s="27"/>
      <c r="Y105" s="27"/>
      <c r="Z105" s="27"/>
      <c r="AA105" s="159">
        <v>12</v>
      </c>
      <c r="AB105" s="208">
        <v>0</v>
      </c>
    </row>
    <row r="106" spans="1:28" x14ac:dyDescent="0.2">
      <c r="A106" s="158" t="s">
        <v>39</v>
      </c>
      <c r="B106" s="159" t="s">
        <v>166</v>
      </c>
      <c r="C106" s="159">
        <v>5</v>
      </c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v>5</v>
      </c>
      <c r="U106" s="27"/>
      <c r="V106" s="27"/>
      <c r="W106" s="27"/>
      <c r="X106" s="27"/>
      <c r="Y106" s="27"/>
      <c r="Z106" s="27"/>
      <c r="AA106" s="159">
        <v>5</v>
      </c>
      <c r="AB106" s="208">
        <v>0</v>
      </c>
    </row>
    <row r="107" spans="1:28" x14ac:dyDescent="0.2">
      <c r="A107" s="158" t="s">
        <v>41</v>
      </c>
      <c r="B107" s="159" t="s">
        <v>167</v>
      </c>
      <c r="C107" s="159">
        <v>5</v>
      </c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>
        <v>5</v>
      </c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159">
        <v>5</v>
      </c>
      <c r="AB107" s="208">
        <v>0</v>
      </c>
    </row>
    <row r="108" spans="1:28" x14ac:dyDescent="0.2">
      <c r="A108" s="158" t="s">
        <v>43</v>
      </c>
      <c r="B108" s="159" t="s">
        <v>92</v>
      </c>
      <c r="C108" s="159">
        <v>14</v>
      </c>
      <c r="D108" s="27"/>
      <c r="E108" s="27"/>
      <c r="F108" s="27"/>
      <c r="G108" s="27"/>
      <c r="H108" s="27"/>
      <c r="I108" s="27">
        <v>14</v>
      </c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159">
        <v>14</v>
      </c>
      <c r="AB108" s="208">
        <v>0</v>
      </c>
    </row>
    <row r="109" spans="1:28" x14ac:dyDescent="0.2">
      <c r="A109" s="158" t="s">
        <v>46</v>
      </c>
      <c r="B109" s="159" t="s">
        <v>93</v>
      </c>
      <c r="C109" s="159">
        <v>6</v>
      </c>
      <c r="D109" s="27"/>
      <c r="E109" s="27"/>
      <c r="F109" s="27"/>
      <c r="G109" s="27"/>
      <c r="H109" s="27"/>
      <c r="I109" s="27"/>
      <c r="J109" s="27"/>
      <c r="K109" s="27">
        <v>6</v>
      </c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159">
        <v>6</v>
      </c>
      <c r="AB109" s="208">
        <v>0</v>
      </c>
    </row>
    <row r="110" spans="1:28" x14ac:dyDescent="0.2">
      <c r="A110" s="158" t="s">
        <v>48</v>
      </c>
      <c r="B110" s="159" t="s">
        <v>49</v>
      </c>
      <c r="C110" s="159">
        <v>4</v>
      </c>
      <c r="D110" s="27"/>
      <c r="E110" s="27"/>
      <c r="F110" s="27"/>
      <c r="G110" s="27"/>
      <c r="H110" s="27"/>
      <c r="I110" s="27"/>
      <c r="J110" s="27"/>
      <c r="K110" s="27"/>
      <c r="L110" s="27">
        <v>4</v>
      </c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159">
        <v>4</v>
      </c>
      <c r="AB110" s="208">
        <v>0</v>
      </c>
    </row>
    <row r="111" spans="1:28" x14ac:dyDescent="0.2">
      <c r="A111" s="158" t="s">
        <v>51</v>
      </c>
      <c r="B111" s="159" t="s">
        <v>52</v>
      </c>
      <c r="C111" s="159">
        <v>9</v>
      </c>
      <c r="D111" s="27"/>
      <c r="E111" s="27"/>
      <c r="F111" s="27"/>
      <c r="G111" s="27"/>
      <c r="H111" s="27"/>
      <c r="I111" s="27"/>
      <c r="J111" s="27"/>
      <c r="K111" s="27"/>
      <c r="L111" s="27">
        <v>9</v>
      </c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159">
        <v>9</v>
      </c>
      <c r="AB111" s="208">
        <v>0</v>
      </c>
    </row>
    <row r="112" spans="1:28" x14ac:dyDescent="0.2">
      <c r="A112" s="158" t="s">
        <v>280</v>
      </c>
      <c r="B112" s="159" t="s">
        <v>281</v>
      </c>
      <c r="C112" s="159">
        <v>4</v>
      </c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>
        <v>4</v>
      </c>
      <c r="V112" s="27"/>
      <c r="W112" s="27"/>
      <c r="X112" s="27"/>
      <c r="Y112" s="27"/>
      <c r="Z112" s="27"/>
      <c r="AA112" s="159">
        <v>4</v>
      </c>
      <c r="AB112" s="208">
        <v>0</v>
      </c>
    </row>
    <row r="113" spans="1:28" x14ac:dyDescent="0.2">
      <c r="A113" s="158" t="s">
        <v>53</v>
      </c>
      <c r="B113" s="159" t="s">
        <v>54</v>
      </c>
      <c r="C113" s="159">
        <v>1</v>
      </c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>
        <v>1</v>
      </c>
      <c r="W113" s="27"/>
      <c r="X113" s="27"/>
      <c r="Y113" s="27"/>
      <c r="Z113" s="27"/>
      <c r="AA113" s="159">
        <v>1</v>
      </c>
      <c r="AB113" s="208">
        <v>0</v>
      </c>
    </row>
    <row r="114" spans="1:28" x14ac:dyDescent="0.2">
      <c r="A114" s="158" t="s">
        <v>56</v>
      </c>
      <c r="B114" s="159" t="s">
        <v>94</v>
      </c>
      <c r="C114" s="159">
        <v>4</v>
      </c>
      <c r="D114" s="27"/>
      <c r="E114" s="27"/>
      <c r="F114" s="27"/>
      <c r="G114" s="27"/>
      <c r="H114" s="27"/>
      <c r="I114" s="27"/>
      <c r="J114" s="27"/>
      <c r="K114" s="27"/>
      <c r="L114" s="27">
        <v>4</v>
      </c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159">
        <v>4</v>
      </c>
      <c r="AB114" s="208">
        <v>0</v>
      </c>
    </row>
    <row r="115" spans="1:28" x14ac:dyDescent="0.2">
      <c r="A115" s="158" t="s">
        <v>58</v>
      </c>
      <c r="B115" s="159" t="s">
        <v>59</v>
      </c>
      <c r="C115" s="159">
        <v>1</v>
      </c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>
        <v>1</v>
      </c>
      <c r="AA115" s="159">
        <v>1</v>
      </c>
      <c r="AB115" s="208">
        <v>0</v>
      </c>
    </row>
    <row r="116" spans="1:28" x14ac:dyDescent="0.2">
      <c r="A116" s="158" t="s">
        <v>60</v>
      </c>
      <c r="B116" s="159" t="s">
        <v>61</v>
      </c>
      <c r="C116" s="159">
        <v>2</v>
      </c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>
        <v>2</v>
      </c>
      <c r="X116" s="27"/>
      <c r="Y116" s="27"/>
      <c r="Z116" s="27"/>
      <c r="AA116" s="159">
        <v>2</v>
      </c>
      <c r="AB116" s="208">
        <v>0</v>
      </c>
    </row>
    <row r="117" spans="1:28" x14ac:dyDescent="0.2">
      <c r="A117" s="158" t="s">
        <v>62</v>
      </c>
      <c r="B117" s="159" t="s">
        <v>63</v>
      </c>
      <c r="C117" s="159">
        <v>2</v>
      </c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>
        <v>2</v>
      </c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159">
        <v>2</v>
      </c>
      <c r="AB117" s="208">
        <v>0</v>
      </c>
    </row>
    <row r="118" spans="1:28" x14ac:dyDescent="0.2">
      <c r="A118" s="158" t="s">
        <v>64</v>
      </c>
      <c r="B118" s="159" t="s">
        <v>95</v>
      </c>
      <c r="C118" s="159">
        <v>2</v>
      </c>
      <c r="D118" s="27"/>
      <c r="E118" s="27"/>
      <c r="F118" s="27"/>
      <c r="G118" s="27"/>
      <c r="H118" s="27"/>
      <c r="I118" s="27"/>
      <c r="J118" s="27"/>
      <c r="K118" s="27">
        <v>2</v>
      </c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159">
        <v>2</v>
      </c>
      <c r="AB118" s="208">
        <v>0</v>
      </c>
    </row>
    <row r="119" spans="1:28" x14ac:dyDescent="0.2">
      <c r="A119" s="158" t="s">
        <v>70</v>
      </c>
      <c r="B119" s="159" t="s">
        <v>71</v>
      </c>
      <c r="C119" s="159">
        <v>3</v>
      </c>
      <c r="D119" s="27"/>
      <c r="E119" s="27"/>
      <c r="F119" s="27"/>
      <c r="G119" s="27"/>
      <c r="H119" s="27"/>
      <c r="I119" s="27"/>
      <c r="J119" s="27"/>
      <c r="K119" s="27">
        <v>3</v>
      </c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159">
        <v>3</v>
      </c>
      <c r="AB119" s="208">
        <v>0</v>
      </c>
    </row>
    <row r="120" spans="1:28" x14ac:dyDescent="0.2">
      <c r="A120" s="158" t="s">
        <v>100</v>
      </c>
      <c r="B120" s="159" t="s">
        <v>236</v>
      </c>
      <c r="C120" s="159">
        <v>5</v>
      </c>
      <c r="D120" s="27"/>
      <c r="E120" s="27"/>
      <c r="F120" s="27"/>
      <c r="G120" s="27"/>
      <c r="H120" s="27"/>
      <c r="I120" s="27">
        <v>5</v>
      </c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159">
        <v>5</v>
      </c>
      <c r="AB120" s="208">
        <v>0</v>
      </c>
    </row>
    <row r="121" spans="1:28" x14ac:dyDescent="0.2">
      <c r="A121" s="158" t="s">
        <v>259</v>
      </c>
      <c r="B121" s="159" t="s">
        <v>260</v>
      </c>
      <c r="C121" s="159">
        <v>1</v>
      </c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>
        <v>1</v>
      </c>
      <c r="T121" s="27"/>
      <c r="U121" s="27"/>
      <c r="V121" s="27"/>
      <c r="W121" s="27"/>
      <c r="X121" s="27"/>
      <c r="Y121" s="27"/>
      <c r="Z121" s="27"/>
      <c r="AA121" s="159">
        <v>1</v>
      </c>
      <c r="AB121" s="208">
        <v>0</v>
      </c>
    </row>
    <row r="122" spans="1:28" x14ac:dyDescent="0.2">
      <c r="A122" s="158" t="s">
        <v>261</v>
      </c>
      <c r="B122" s="159" t="s">
        <v>262</v>
      </c>
      <c r="C122" s="159">
        <v>1</v>
      </c>
      <c r="D122" s="27"/>
      <c r="E122" s="27"/>
      <c r="F122" s="27"/>
      <c r="G122" s="27">
        <v>1</v>
      </c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159">
        <v>1</v>
      </c>
      <c r="AB122" s="208">
        <v>0</v>
      </c>
    </row>
    <row r="123" spans="1:28" x14ac:dyDescent="0.2">
      <c r="A123" s="158"/>
      <c r="B123" s="159"/>
      <c r="C123" s="159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159"/>
      <c r="AB123" s="208"/>
    </row>
    <row r="124" spans="1:28" ht="13.5" thickBot="1" x14ac:dyDescent="0.25">
      <c r="A124" s="160"/>
      <c r="B124" s="161" t="s">
        <v>240</v>
      </c>
      <c r="C124" s="162">
        <v>134</v>
      </c>
      <c r="D124" s="119">
        <v>0</v>
      </c>
      <c r="E124" s="119">
        <v>0</v>
      </c>
      <c r="F124" s="119">
        <v>17</v>
      </c>
      <c r="G124" s="119">
        <v>1</v>
      </c>
      <c r="H124" s="119">
        <v>10</v>
      </c>
      <c r="I124" s="119">
        <v>19</v>
      </c>
      <c r="J124" s="119">
        <v>0</v>
      </c>
      <c r="K124" s="119">
        <v>23</v>
      </c>
      <c r="L124" s="119">
        <v>17</v>
      </c>
      <c r="M124" s="119">
        <v>2</v>
      </c>
      <c r="N124" s="119">
        <v>2</v>
      </c>
      <c r="O124" s="119">
        <v>6</v>
      </c>
      <c r="P124" s="119">
        <v>5</v>
      </c>
      <c r="Q124" s="119">
        <v>2</v>
      </c>
      <c r="R124" s="119">
        <v>0</v>
      </c>
      <c r="S124" s="119">
        <v>1</v>
      </c>
      <c r="T124" s="119">
        <v>21</v>
      </c>
      <c r="U124" s="119">
        <v>4</v>
      </c>
      <c r="V124" s="119">
        <v>1</v>
      </c>
      <c r="W124" s="119">
        <v>2</v>
      </c>
      <c r="X124" s="119">
        <v>0</v>
      </c>
      <c r="Y124" s="119">
        <v>0</v>
      </c>
      <c r="Z124" s="119">
        <v>1</v>
      </c>
      <c r="AA124" s="162">
        <v>134</v>
      </c>
      <c r="AB124" s="209">
        <v>0</v>
      </c>
    </row>
    <row r="128" spans="1:28" ht="18.75" thickBot="1" x14ac:dyDescent="0.3">
      <c r="B128" s="153" t="s">
        <v>238</v>
      </c>
    </row>
    <row r="129" spans="1:28" ht="65.25" x14ac:dyDescent="0.25">
      <c r="A129" s="154"/>
      <c r="B129" s="155" t="s">
        <v>330</v>
      </c>
      <c r="C129" s="156" t="s">
        <v>4</v>
      </c>
      <c r="D129" s="157" t="s">
        <v>115</v>
      </c>
      <c r="E129" s="157" t="s">
        <v>288</v>
      </c>
      <c r="F129" s="157" t="s">
        <v>24</v>
      </c>
      <c r="G129" s="157" t="s">
        <v>106</v>
      </c>
      <c r="H129" s="157" t="s">
        <v>17</v>
      </c>
      <c r="I129" s="157" t="s">
        <v>45</v>
      </c>
      <c r="J129" s="157" t="s">
        <v>111</v>
      </c>
      <c r="K129" s="157" t="s">
        <v>36</v>
      </c>
      <c r="L129" s="157" t="s">
        <v>113</v>
      </c>
      <c r="M129" s="157" t="s">
        <v>112</v>
      </c>
      <c r="N129" s="157" t="s">
        <v>290</v>
      </c>
      <c r="O129" s="157" t="s">
        <v>186</v>
      </c>
      <c r="P129" s="157" t="s">
        <v>29</v>
      </c>
      <c r="Q129" s="157" t="s">
        <v>340</v>
      </c>
      <c r="R129" s="157" t="s">
        <v>122</v>
      </c>
      <c r="S129" s="157" t="s">
        <v>116</v>
      </c>
      <c r="T129" s="157" t="s">
        <v>47</v>
      </c>
      <c r="U129" s="157" t="s">
        <v>117</v>
      </c>
      <c r="V129" s="157" t="s">
        <v>55</v>
      </c>
      <c r="W129" s="157" t="s">
        <v>283</v>
      </c>
      <c r="X129" s="157" t="s">
        <v>50</v>
      </c>
      <c r="Y129" s="157" t="s">
        <v>8</v>
      </c>
      <c r="Z129" s="157" t="s">
        <v>26</v>
      </c>
      <c r="AA129" s="156" t="s">
        <v>139</v>
      </c>
      <c r="AB129" s="207" t="s">
        <v>239</v>
      </c>
    </row>
    <row r="130" spans="1:28" x14ac:dyDescent="0.2">
      <c r="A130" s="158" t="s">
        <v>69</v>
      </c>
      <c r="B130" s="159" t="s">
        <v>200</v>
      </c>
      <c r="C130" s="159">
        <v>5</v>
      </c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v>10</v>
      </c>
      <c r="U130" s="27"/>
      <c r="V130" s="27"/>
      <c r="W130" s="27"/>
      <c r="X130" s="27"/>
      <c r="Y130" s="27"/>
      <c r="Z130" s="27"/>
      <c r="AA130" s="159">
        <v>10</v>
      </c>
      <c r="AB130" s="208">
        <v>5</v>
      </c>
    </row>
    <row r="131" spans="1:28" x14ac:dyDescent="0.2">
      <c r="A131" s="158" t="s">
        <v>74</v>
      </c>
      <c r="B131" s="159" t="s">
        <v>210</v>
      </c>
      <c r="C131" s="159">
        <v>6</v>
      </c>
      <c r="D131" s="27">
        <v>1</v>
      </c>
      <c r="E131" s="27"/>
      <c r="F131" s="27"/>
      <c r="G131" s="27"/>
      <c r="H131" s="27"/>
      <c r="I131" s="27">
        <v>1</v>
      </c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>
        <v>4</v>
      </c>
      <c r="Y131" s="27"/>
      <c r="Z131" s="27"/>
      <c r="AA131" s="159">
        <v>6</v>
      </c>
      <c r="AB131" s="208">
        <v>0</v>
      </c>
    </row>
    <row r="132" spans="1:28" x14ac:dyDescent="0.2">
      <c r="A132" s="158" t="s">
        <v>311</v>
      </c>
      <c r="B132" s="159" t="s">
        <v>312</v>
      </c>
      <c r="C132" s="159">
        <v>18</v>
      </c>
      <c r="D132" s="27">
        <v>3</v>
      </c>
      <c r="E132" s="27"/>
      <c r="F132" s="27"/>
      <c r="G132" s="27">
        <v>1</v>
      </c>
      <c r="H132" s="27">
        <v>1</v>
      </c>
      <c r="I132" s="27"/>
      <c r="J132" s="27">
        <v>1</v>
      </c>
      <c r="K132" s="27"/>
      <c r="L132" s="27"/>
      <c r="M132" s="27"/>
      <c r="N132" s="27"/>
      <c r="O132" s="27"/>
      <c r="P132" s="27"/>
      <c r="Q132" s="27">
        <v>2</v>
      </c>
      <c r="R132" s="27"/>
      <c r="S132" s="27">
        <v>1</v>
      </c>
      <c r="T132" s="27"/>
      <c r="U132" s="27">
        <v>1</v>
      </c>
      <c r="V132" s="27">
        <v>3</v>
      </c>
      <c r="W132" s="27"/>
      <c r="X132" s="27">
        <v>2</v>
      </c>
      <c r="Y132" s="27">
        <v>2</v>
      </c>
      <c r="Z132" s="27">
        <v>1</v>
      </c>
      <c r="AA132" s="159">
        <v>18</v>
      </c>
      <c r="AB132" s="208">
        <v>0</v>
      </c>
    </row>
    <row r="133" spans="1:28" x14ac:dyDescent="0.2">
      <c r="A133" s="158" t="s">
        <v>141</v>
      </c>
      <c r="B133" s="159" t="s">
        <v>219</v>
      </c>
      <c r="C133" s="159">
        <v>3</v>
      </c>
      <c r="D133" s="27"/>
      <c r="E133" s="27"/>
      <c r="F133" s="27"/>
      <c r="G133" s="27"/>
      <c r="H133" s="27"/>
      <c r="I133" s="27"/>
      <c r="J133" s="27">
        <v>1</v>
      </c>
      <c r="K133" s="27"/>
      <c r="L133" s="27"/>
      <c r="M133" s="27"/>
      <c r="N133" s="27"/>
      <c r="O133" s="27"/>
      <c r="P133" s="27"/>
      <c r="Q133" s="27">
        <v>1</v>
      </c>
      <c r="R133" s="27"/>
      <c r="S133" s="27"/>
      <c r="T133" s="27"/>
      <c r="U133" s="27"/>
      <c r="V133" s="27">
        <v>1</v>
      </c>
      <c r="W133" s="27"/>
      <c r="X133" s="27"/>
      <c r="Y133" s="27"/>
      <c r="Z133" s="27"/>
      <c r="AA133" s="159">
        <v>3</v>
      </c>
      <c r="AB133" s="208">
        <v>0</v>
      </c>
    </row>
    <row r="134" spans="1:28" x14ac:dyDescent="0.2">
      <c r="A134" s="158" t="s">
        <v>140</v>
      </c>
      <c r="B134" s="159" t="s">
        <v>220</v>
      </c>
      <c r="C134" s="159">
        <v>1</v>
      </c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v>1</v>
      </c>
      <c r="U134" s="27"/>
      <c r="V134" s="27"/>
      <c r="W134" s="27"/>
      <c r="X134" s="27"/>
      <c r="Y134" s="27"/>
      <c r="Z134" s="27"/>
      <c r="AA134" s="159">
        <v>1</v>
      </c>
      <c r="AB134" s="208">
        <v>0</v>
      </c>
    </row>
    <row r="135" spans="1:28" x14ac:dyDescent="0.2">
      <c r="A135" s="158" t="s">
        <v>142</v>
      </c>
      <c r="B135" s="159" t="s">
        <v>221</v>
      </c>
      <c r="C135" s="159">
        <v>3</v>
      </c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v>1</v>
      </c>
      <c r="U135" s="27">
        <v>1</v>
      </c>
      <c r="V135" s="27">
        <v>1</v>
      </c>
      <c r="W135" s="27"/>
      <c r="X135" s="27"/>
      <c r="Y135" s="27"/>
      <c r="Z135" s="27"/>
      <c r="AA135" s="159">
        <v>3</v>
      </c>
      <c r="AB135" s="208">
        <v>0</v>
      </c>
    </row>
    <row r="136" spans="1:28" x14ac:dyDescent="0.2">
      <c r="A136" s="158" t="s">
        <v>143</v>
      </c>
      <c r="B136" s="159" t="s">
        <v>222</v>
      </c>
      <c r="C136" s="159">
        <v>1</v>
      </c>
      <c r="D136" s="27">
        <v>1</v>
      </c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159">
        <v>1</v>
      </c>
      <c r="AB136" s="208">
        <v>0</v>
      </c>
    </row>
    <row r="137" spans="1:28" x14ac:dyDescent="0.2">
      <c r="A137" s="158" t="s">
        <v>170</v>
      </c>
      <c r="B137" s="159" t="s">
        <v>223</v>
      </c>
      <c r="C137" s="159">
        <v>7</v>
      </c>
      <c r="D137" s="27"/>
      <c r="E137" s="27"/>
      <c r="F137" s="27"/>
      <c r="G137" s="27">
        <v>1</v>
      </c>
      <c r="H137" s="27">
        <v>1</v>
      </c>
      <c r="I137" s="27"/>
      <c r="J137" s="27">
        <v>2</v>
      </c>
      <c r="K137" s="27"/>
      <c r="L137" s="27"/>
      <c r="M137" s="27"/>
      <c r="N137" s="27"/>
      <c r="O137" s="27"/>
      <c r="P137" s="27"/>
      <c r="Q137" s="27">
        <v>1</v>
      </c>
      <c r="R137" s="27"/>
      <c r="S137" s="27"/>
      <c r="T137" s="27"/>
      <c r="U137" s="27"/>
      <c r="V137" s="27">
        <v>2</v>
      </c>
      <c r="W137" s="27"/>
      <c r="X137" s="27"/>
      <c r="Y137" s="27"/>
      <c r="Z137" s="27"/>
      <c r="AA137" s="159">
        <v>7</v>
      </c>
      <c r="AB137" s="208">
        <v>0</v>
      </c>
    </row>
    <row r="138" spans="1:28" x14ac:dyDescent="0.2">
      <c r="A138" s="158" t="s">
        <v>171</v>
      </c>
      <c r="B138" s="159" t="s">
        <v>224</v>
      </c>
      <c r="C138" s="159">
        <v>6</v>
      </c>
      <c r="D138" s="27">
        <v>1</v>
      </c>
      <c r="E138" s="27"/>
      <c r="F138" s="27"/>
      <c r="G138" s="27"/>
      <c r="H138" s="27"/>
      <c r="I138" s="27"/>
      <c r="J138" s="27">
        <v>1</v>
      </c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>
        <v>2</v>
      </c>
      <c r="W138" s="27"/>
      <c r="X138" s="27"/>
      <c r="Y138" s="27"/>
      <c r="Z138" s="27">
        <v>2</v>
      </c>
      <c r="AA138" s="159">
        <v>6</v>
      </c>
      <c r="AB138" s="208">
        <v>0</v>
      </c>
    </row>
    <row r="139" spans="1:28" x14ac:dyDescent="0.2">
      <c r="A139" s="158" t="s">
        <v>75</v>
      </c>
      <c r="B139" s="159" t="s">
        <v>125</v>
      </c>
      <c r="C139" s="159">
        <v>7</v>
      </c>
      <c r="D139" s="27"/>
      <c r="E139" s="27"/>
      <c r="F139" s="27"/>
      <c r="G139" s="27"/>
      <c r="H139" s="27"/>
      <c r="I139" s="27"/>
      <c r="J139" s="27"/>
      <c r="K139" s="27"/>
      <c r="L139" s="27"/>
      <c r="M139" s="27">
        <v>7</v>
      </c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159">
        <v>7</v>
      </c>
      <c r="AB139" s="208">
        <v>0</v>
      </c>
    </row>
    <row r="140" spans="1:28" x14ac:dyDescent="0.2">
      <c r="A140" s="158" t="s">
        <v>76</v>
      </c>
      <c r="B140" s="159" t="s">
        <v>137</v>
      </c>
      <c r="C140" s="159">
        <v>10</v>
      </c>
      <c r="D140" s="27"/>
      <c r="E140" s="27"/>
      <c r="F140" s="27"/>
      <c r="G140" s="27"/>
      <c r="H140" s="27"/>
      <c r="I140" s="27"/>
      <c r="J140" s="27"/>
      <c r="K140" s="27"/>
      <c r="L140" s="27"/>
      <c r="M140" s="27">
        <v>9</v>
      </c>
      <c r="N140" s="27"/>
      <c r="O140" s="27"/>
      <c r="P140" s="27"/>
      <c r="Q140" s="27"/>
      <c r="R140" s="27"/>
      <c r="S140" s="27">
        <v>1</v>
      </c>
      <c r="T140" s="27"/>
      <c r="U140" s="27"/>
      <c r="V140" s="27"/>
      <c r="W140" s="27"/>
      <c r="X140" s="27"/>
      <c r="Y140" s="27"/>
      <c r="Z140" s="27"/>
      <c r="AA140" s="159">
        <v>10</v>
      </c>
      <c r="AB140" s="208">
        <v>0</v>
      </c>
    </row>
    <row r="141" spans="1:28" x14ac:dyDescent="0.2">
      <c r="A141" s="158" t="s">
        <v>77</v>
      </c>
      <c r="B141" s="159" t="s">
        <v>148</v>
      </c>
      <c r="C141" s="159">
        <v>7</v>
      </c>
      <c r="D141" s="27"/>
      <c r="E141" s="27"/>
      <c r="F141" s="27"/>
      <c r="G141" s="27">
        <v>1</v>
      </c>
      <c r="H141" s="27">
        <v>1</v>
      </c>
      <c r="I141" s="27"/>
      <c r="J141" s="27">
        <v>1</v>
      </c>
      <c r="K141" s="27"/>
      <c r="L141" s="27"/>
      <c r="M141" s="27"/>
      <c r="N141" s="27"/>
      <c r="O141" s="27"/>
      <c r="P141" s="27"/>
      <c r="Q141" s="27"/>
      <c r="R141" s="27"/>
      <c r="S141" s="27"/>
      <c r="T141" s="27">
        <v>2</v>
      </c>
      <c r="U141" s="27"/>
      <c r="V141" s="27"/>
      <c r="W141" s="27"/>
      <c r="X141" s="27">
        <v>1</v>
      </c>
      <c r="Y141" s="27">
        <v>1</v>
      </c>
      <c r="Z141" s="27"/>
      <c r="AA141" s="159">
        <v>7</v>
      </c>
      <c r="AB141" s="208">
        <v>0</v>
      </c>
    </row>
    <row r="142" spans="1:28" x14ac:dyDescent="0.2">
      <c r="A142" s="158" t="s">
        <v>138</v>
      </c>
      <c r="B142" s="159" t="s">
        <v>211</v>
      </c>
      <c r="C142" s="159">
        <v>4</v>
      </c>
      <c r="D142" s="27"/>
      <c r="E142" s="27"/>
      <c r="F142" s="27"/>
      <c r="G142" s="27"/>
      <c r="H142" s="27"/>
      <c r="I142" s="27"/>
      <c r="J142" s="27"/>
      <c r="K142" s="27"/>
      <c r="L142" s="27">
        <v>4</v>
      </c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159">
        <v>4</v>
      </c>
      <c r="AB142" s="208">
        <v>0</v>
      </c>
    </row>
    <row r="143" spans="1:28" x14ac:dyDescent="0.2">
      <c r="A143" s="158" t="s">
        <v>144</v>
      </c>
      <c r="B143" s="159" t="s">
        <v>212</v>
      </c>
      <c r="C143" s="159">
        <v>3</v>
      </c>
      <c r="D143" s="27"/>
      <c r="E143" s="27"/>
      <c r="F143" s="27"/>
      <c r="G143" s="27"/>
      <c r="H143" s="27"/>
      <c r="I143" s="27"/>
      <c r="J143" s="27"/>
      <c r="K143" s="27"/>
      <c r="L143" s="27">
        <v>3</v>
      </c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159">
        <v>3</v>
      </c>
      <c r="AB143" s="208">
        <v>0</v>
      </c>
    </row>
    <row r="144" spans="1:28" x14ac:dyDescent="0.2">
      <c r="A144" s="158" t="s">
        <v>78</v>
      </c>
      <c r="B144" s="159" t="s">
        <v>206</v>
      </c>
      <c r="C144" s="159">
        <v>9</v>
      </c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>
        <v>5</v>
      </c>
      <c r="W144" s="27"/>
      <c r="X144" s="27">
        <v>4</v>
      </c>
      <c r="Y144" s="27"/>
      <c r="Z144" s="27"/>
      <c r="AA144" s="159">
        <v>9</v>
      </c>
      <c r="AB144" s="208">
        <v>0</v>
      </c>
    </row>
    <row r="145" spans="1:28" x14ac:dyDescent="0.2">
      <c r="A145" s="158" t="s">
        <v>79</v>
      </c>
      <c r="B145" s="159" t="s">
        <v>208</v>
      </c>
      <c r="C145" s="159">
        <v>10</v>
      </c>
      <c r="D145" s="27"/>
      <c r="E145" s="27"/>
      <c r="F145" s="27"/>
      <c r="G145" s="27"/>
      <c r="H145" s="27"/>
      <c r="I145" s="27"/>
      <c r="J145" s="27">
        <v>3</v>
      </c>
      <c r="K145" s="27"/>
      <c r="L145" s="27"/>
      <c r="M145" s="27"/>
      <c r="N145" s="27"/>
      <c r="O145" s="27"/>
      <c r="P145" s="27"/>
      <c r="Q145" s="27">
        <v>2</v>
      </c>
      <c r="R145" s="27"/>
      <c r="S145" s="27"/>
      <c r="T145" s="27"/>
      <c r="U145" s="27">
        <v>1</v>
      </c>
      <c r="V145" s="27"/>
      <c r="W145" s="27">
        <v>2</v>
      </c>
      <c r="X145" s="27">
        <v>2</v>
      </c>
      <c r="Y145" s="27"/>
      <c r="Z145" s="27"/>
      <c r="AA145" s="159">
        <v>10</v>
      </c>
      <c r="AB145" s="208">
        <v>0</v>
      </c>
    </row>
    <row r="146" spans="1:28" x14ac:dyDescent="0.2">
      <c r="A146" s="158" t="s">
        <v>80</v>
      </c>
      <c r="B146" s="159" t="s">
        <v>209</v>
      </c>
      <c r="C146" s="159">
        <v>7</v>
      </c>
      <c r="D146" s="27">
        <v>1</v>
      </c>
      <c r="E146" s="27"/>
      <c r="F146" s="27"/>
      <c r="G146" s="27"/>
      <c r="H146" s="27"/>
      <c r="I146" s="27"/>
      <c r="J146" s="27">
        <v>1</v>
      </c>
      <c r="K146" s="27"/>
      <c r="L146" s="27"/>
      <c r="M146" s="27"/>
      <c r="N146" s="27">
        <v>1</v>
      </c>
      <c r="O146" s="27"/>
      <c r="P146" s="27">
        <v>1</v>
      </c>
      <c r="Q146" s="27"/>
      <c r="R146" s="27">
        <v>1</v>
      </c>
      <c r="S146" s="27"/>
      <c r="T146" s="27"/>
      <c r="U146" s="27">
        <v>1</v>
      </c>
      <c r="V146" s="27"/>
      <c r="W146" s="27"/>
      <c r="X146" s="27">
        <v>1</v>
      </c>
      <c r="Y146" s="27"/>
      <c r="Z146" s="27"/>
      <c r="AA146" s="159">
        <v>7</v>
      </c>
      <c r="AB146" s="208">
        <v>0</v>
      </c>
    </row>
    <row r="147" spans="1:28" x14ac:dyDescent="0.2">
      <c r="A147" s="158" t="s">
        <v>97</v>
      </c>
      <c r="B147" s="159" t="s">
        <v>225</v>
      </c>
      <c r="C147" s="159">
        <v>22</v>
      </c>
      <c r="D147" s="27">
        <v>5</v>
      </c>
      <c r="E147" s="27"/>
      <c r="F147" s="27"/>
      <c r="G147" s="27">
        <v>3</v>
      </c>
      <c r="H147" s="27"/>
      <c r="I147" s="27">
        <v>3</v>
      </c>
      <c r="J147" s="27"/>
      <c r="K147" s="27"/>
      <c r="L147" s="27"/>
      <c r="M147" s="27"/>
      <c r="N147" s="27"/>
      <c r="O147" s="27"/>
      <c r="P147" s="27"/>
      <c r="Q147" s="27"/>
      <c r="R147" s="27">
        <v>2</v>
      </c>
      <c r="S147" s="27"/>
      <c r="T147" s="27"/>
      <c r="U147" s="27">
        <v>1</v>
      </c>
      <c r="V147" s="27">
        <v>7</v>
      </c>
      <c r="W147" s="27"/>
      <c r="X147" s="27"/>
      <c r="Y147" s="27">
        <v>1</v>
      </c>
      <c r="Z147" s="27"/>
      <c r="AA147" s="159">
        <v>22</v>
      </c>
      <c r="AB147" s="208">
        <v>0</v>
      </c>
    </row>
    <row r="148" spans="1:28" x14ac:dyDescent="0.2">
      <c r="A148" s="158" t="s">
        <v>97</v>
      </c>
      <c r="B148" s="159" t="s">
        <v>226</v>
      </c>
      <c r="C148" s="159">
        <v>14</v>
      </c>
      <c r="D148" s="27">
        <v>1</v>
      </c>
      <c r="E148" s="27"/>
      <c r="F148" s="27"/>
      <c r="G148" s="27">
        <v>1</v>
      </c>
      <c r="H148" s="27">
        <v>3</v>
      </c>
      <c r="I148" s="27"/>
      <c r="J148" s="27">
        <v>4</v>
      </c>
      <c r="K148" s="27"/>
      <c r="L148" s="27"/>
      <c r="M148" s="27"/>
      <c r="N148" s="27">
        <v>1</v>
      </c>
      <c r="O148" s="27">
        <v>1</v>
      </c>
      <c r="P148" s="27"/>
      <c r="Q148" s="27">
        <v>1</v>
      </c>
      <c r="R148" s="27"/>
      <c r="S148" s="27"/>
      <c r="T148" s="27"/>
      <c r="U148" s="27">
        <v>1</v>
      </c>
      <c r="V148" s="27"/>
      <c r="W148" s="27"/>
      <c r="X148" s="27"/>
      <c r="Y148" s="27">
        <v>1</v>
      </c>
      <c r="Z148" s="27"/>
      <c r="AA148" s="159">
        <v>14</v>
      </c>
      <c r="AB148" s="208">
        <v>0</v>
      </c>
    </row>
    <row r="149" spans="1:28" x14ac:dyDescent="0.2">
      <c r="A149" s="158" t="s">
        <v>98</v>
      </c>
      <c r="B149" s="159" t="s">
        <v>227</v>
      </c>
      <c r="C149" s="159">
        <v>22</v>
      </c>
      <c r="D149" s="27"/>
      <c r="E149" s="27"/>
      <c r="F149" s="27"/>
      <c r="G149" s="27"/>
      <c r="H149" s="27"/>
      <c r="I149" s="27"/>
      <c r="J149" s="27">
        <v>4</v>
      </c>
      <c r="K149" s="27"/>
      <c r="L149" s="27"/>
      <c r="M149" s="27"/>
      <c r="N149" s="27">
        <v>2</v>
      </c>
      <c r="O149" s="27"/>
      <c r="P149" s="27"/>
      <c r="Q149" s="27">
        <v>4</v>
      </c>
      <c r="R149" s="27">
        <v>2</v>
      </c>
      <c r="S149" s="27"/>
      <c r="T149" s="27">
        <v>2</v>
      </c>
      <c r="U149" s="27">
        <v>1</v>
      </c>
      <c r="V149" s="27"/>
      <c r="W149" s="27">
        <v>2</v>
      </c>
      <c r="X149" s="27">
        <v>2</v>
      </c>
      <c r="Y149" s="27">
        <v>2</v>
      </c>
      <c r="Z149" s="27">
        <v>1</v>
      </c>
      <c r="AA149" s="159">
        <v>22</v>
      </c>
      <c r="AB149" s="208">
        <v>0</v>
      </c>
    </row>
    <row r="150" spans="1:28" x14ac:dyDescent="0.2">
      <c r="A150" s="158" t="s">
        <v>98</v>
      </c>
      <c r="B150" s="159" t="s">
        <v>228</v>
      </c>
      <c r="C150" s="159">
        <v>14</v>
      </c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>
        <v>4</v>
      </c>
      <c r="S150" s="27"/>
      <c r="T150" s="27">
        <v>2</v>
      </c>
      <c r="U150" s="27">
        <v>3</v>
      </c>
      <c r="V150" s="27">
        <v>3</v>
      </c>
      <c r="W150" s="27">
        <v>1</v>
      </c>
      <c r="X150" s="27"/>
      <c r="Y150" s="27">
        <v>1</v>
      </c>
      <c r="Z150" s="27"/>
      <c r="AA150" s="159">
        <v>14</v>
      </c>
      <c r="AB150" s="208">
        <v>0</v>
      </c>
    </row>
    <row r="151" spans="1:28" x14ac:dyDescent="0.2">
      <c r="A151" s="158" t="s">
        <v>156</v>
      </c>
      <c r="B151" s="159" t="s">
        <v>213</v>
      </c>
      <c r="C151" s="159">
        <v>7</v>
      </c>
      <c r="D151" s="27"/>
      <c r="E151" s="27"/>
      <c r="F151" s="27">
        <v>2</v>
      </c>
      <c r="G151" s="27"/>
      <c r="H151" s="27"/>
      <c r="I151" s="27"/>
      <c r="J151" s="27">
        <v>1</v>
      </c>
      <c r="K151" s="27"/>
      <c r="L151" s="27"/>
      <c r="M151" s="27"/>
      <c r="N151" s="27"/>
      <c r="O151" s="27"/>
      <c r="P151" s="27"/>
      <c r="Q151" s="27">
        <v>2</v>
      </c>
      <c r="R151" s="27"/>
      <c r="S151" s="27"/>
      <c r="T151" s="27"/>
      <c r="U151" s="27">
        <v>1</v>
      </c>
      <c r="V151" s="27"/>
      <c r="W151" s="27">
        <v>1</v>
      </c>
      <c r="X151" s="27"/>
      <c r="Y151" s="27"/>
      <c r="Z151" s="27"/>
      <c r="AA151" s="159">
        <v>7</v>
      </c>
      <c r="AB151" s="208">
        <v>0</v>
      </c>
    </row>
    <row r="152" spans="1:28" x14ac:dyDescent="0.2">
      <c r="A152" s="158" t="s">
        <v>157</v>
      </c>
      <c r="B152" s="159" t="s">
        <v>214</v>
      </c>
      <c r="C152" s="159">
        <v>6</v>
      </c>
      <c r="D152" s="27">
        <v>1</v>
      </c>
      <c r="E152" s="27"/>
      <c r="F152" s="27"/>
      <c r="G152" s="27"/>
      <c r="H152" s="27"/>
      <c r="I152" s="27">
        <v>1</v>
      </c>
      <c r="J152" s="27"/>
      <c r="K152" s="27"/>
      <c r="L152" s="27"/>
      <c r="M152" s="27"/>
      <c r="N152" s="27">
        <v>1</v>
      </c>
      <c r="O152" s="27"/>
      <c r="P152" s="27"/>
      <c r="Q152" s="27"/>
      <c r="R152" s="27">
        <v>1</v>
      </c>
      <c r="S152" s="27">
        <v>1</v>
      </c>
      <c r="T152" s="27"/>
      <c r="U152" s="27"/>
      <c r="V152" s="27"/>
      <c r="W152" s="27"/>
      <c r="X152" s="27"/>
      <c r="Y152" s="27">
        <v>1</v>
      </c>
      <c r="Z152" s="27"/>
      <c r="AA152" s="159">
        <v>6</v>
      </c>
      <c r="AB152" s="208">
        <v>0</v>
      </c>
    </row>
    <row r="153" spans="1:28" x14ac:dyDescent="0.2">
      <c r="A153" s="158" t="s">
        <v>234</v>
      </c>
      <c r="B153" s="159" t="s">
        <v>229</v>
      </c>
      <c r="C153" s="159">
        <v>7</v>
      </c>
      <c r="D153" s="27">
        <v>2</v>
      </c>
      <c r="E153" s="27"/>
      <c r="F153" s="27"/>
      <c r="G153" s="27">
        <v>1</v>
      </c>
      <c r="H153" s="27">
        <v>2</v>
      </c>
      <c r="I153" s="27"/>
      <c r="J153" s="27"/>
      <c r="K153" s="27"/>
      <c r="L153" s="27"/>
      <c r="M153" s="27"/>
      <c r="N153" s="27">
        <v>1</v>
      </c>
      <c r="O153" s="27">
        <v>1</v>
      </c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159">
        <v>7</v>
      </c>
      <c r="AB153" s="208">
        <v>0</v>
      </c>
    </row>
    <row r="154" spans="1:28" x14ac:dyDescent="0.2">
      <c r="A154" s="158" t="s">
        <v>235</v>
      </c>
      <c r="B154" s="159" t="s">
        <v>230</v>
      </c>
      <c r="C154" s="159">
        <v>0</v>
      </c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159">
        <v>0</v>
      </c>
      <c r="AB154" s="208">
        <v>0</v>
      </c>
    </row>
    <row r="155" spans="1:28" x14ac:dyDescent="0.2">
      <c r="A155" s="158" t="s">
        <v>159</v>
      </c>
      <c r="B155" s="159" t="s">
        <v>231</v>
      </c>
      <c r="C155" s="159">
        <v>5</v>
      </c>
      <c r="D155" s="27"/>
      <c r="E155" s="27"/>
      <c r="F155" s="27"/>
      <c r="G155" s="27">
        <v>1</v>
      </c>
      <c r="H155" s="27">
        <v>1</v>
      </c>
      <c r="I155" s="27"/>
      <c r="J155" s="27">
        <v>1</v>
      </c>
      <c r="K155" s="27"/>
      <c r="L155" s="27"/>
      <c r="M155" s="27"/>
      <c r="N155" s="27">
        <v>1</v>
      </c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>
        <v>1</v>
      </c>
      <c r="Z155" s="27"/>
      <c r="AA155" s="159">
        <v>5</v>
      </c>
      <c r="AB155" s="208">
        <v>0</v>
      </c>
    </row>
    <row r="156" spans="1:28" x14ac:dyDescent="0.2">
      <c r="A156" s="158" t="s">
        <v>160</v>
      </c>
      <c r="B156" s="159" t="s">
        <v>232</v>
      </c>
      <c r="C156" s="159">
        <v>0</v>
      </c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159">
        <v>0</v>
      </c>
      <c r="AB156" s="208">
        <v>0</v>
      </c>
    </row>
    <row r="157" spans="1:28" x14ac:dyDescent="0.2">
      <c r="A157" s="158" t="s">
        <v>83</v>
      </c>
      <c r="B157" s="159" t="s">
        <v>218</v>
      </c>
      <c r="C157" s="159">
        <v>7</v>
      </c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>
        <v>1</v>
      </c>
      <c r="S157" s="27">
        <v>1</v>
      </c>
      <c r="T157" s="27"/>
      <c r="U157" s="27"/>
      <c r="V157" s="27">
        <v>3</v>
      </c>
      <c r="W157" s="27">
        <v>2</v>
      </c>
      <c r="X157" s="27"/>
      <c r="Y157" s="27"/>
      <c r="Z157" s="27"/>
      <c r="AA157" s="159">
        <v>7</v>
      </c>
      <c r="AB157" s="208">
        <v>0</v>
      </c>
    </row>
    <row r="158" spans="1:28" x14ac:dyDescent="0.2">
      <c r="A158" s="158" t="s">
        <v>83</v>
      </c>
      <c r="B158" s="159" t="s">
        <v>217</v>
      </c>
      <c r="C158" s="159">
        <v>6</v>
      </c>
      <c r="D158" s="27">
        <v>2</v>
      </c>
      <c r="E158" s="27"/>
      <c r="F158" s="27"/>
      <c r="G158" s="27"/>
      <c r="H158" s="27"/>
      <c r="I158" s="27"/>
      <c r="J158" s="27"/>
      <c r="K158" s="27"/>
      <c r="L158" s="27"/>
      <c r="M158" s="27"/>
      <c r="N158" s="27">
        <v>1</v>
      </c>
      <c r="O158" s="27"/>
      <c r="P158" s="27"/>
      <c r="Q158" s="27">
        <v>1</v>
      </c>
      <c r="R158" s="27"/>
      <c r="S158" s="27"/>
      <c r="T158" s="27"/>
      <c r="U158" s="27"/>
      <c r="V158" s="27">
        <v>2</v>
      </c>
      <c r="W158" s="27"/>
      <c r="X158" s="27"/>
      <c r="Y158" s="27"/>
      <c r="Z158" s="27"/>
      <c r="AA158" s="159">
        <v>6</v>
      </c>
      <c r="AB158" s="208">
        <v>0</v>
      </c>
    </row>
    <row r="159" spans="1:28" x14ac:dyDescent="0.2">
      <c r="A159" s="158" t="s">
        <v>326</v>
      </c>
      <c r="B159" s="159" t="s">
        <v>328</v>
      </c>
      <c r="C159" s="159">
        <v>7</v>
      </c>
      <c r="D159" s="27"/>
      <c r="E159" s="27"/>
      <c r="F159" s="27"/>
      <c r="G159" s="27"/>
      <c r="H159" s="27">
        <v>2</v>
      </c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v>3</v>
      </c>
      <c r="U159" s="27">
        <v>1</v>
      </c>
      <c r="V159" s="27"/>
      <c r="W159" s="27"/>
      <c r="X159" s="27"/>
      <c r="Y159" s="27">
        <v>1</v>
      </c>
      <c r="Z159" s="27"/>
      <c r="AA159" s="159">
        <v>7</v>
      </c>
      <c r="AB159" s="208">
        <v>0</v>
      </c>
    </row>
    <row r="160" spans="1:28" x14ac:dyDescent="0.2">
      <c r="A160" s="158" t="s">
        <v>327</v>
      </c>
      <c r="B160" s="159" t="s">
        <v>329</v>
      </c>
      <c r="C160" s="159">
        <v>6</v>
      </c>
      <c r="D160" s="27">
        <v>2</v>
      </c>
      <c r="E160" s="27"/>
      <c r="F160" s="27"/>
      <c r="G160" s="27"/>
      <c r="H160" s="27"/>
      <c r="I160" s="27"/>
      <c r="J160" s="27">
        <v>2</v>
      </c>
      <c r="K160" s="27"/>
      <c r="L160" s="27"/>
      <c r="M160" s="27"/>
      <c r="N160" s="27"/>
      <c r="O160" s="27"/>
      <c r="P160" s="27"/>
      <c r="Q160" s="27">
        <v>1</v>
      </c>
      <c r="R160" s="27"/>
      <c r="S160" s="27"/>
      <c r="T160" s="27"/>
      <c r="U160" s="27"/>
      <c r="V160" s="27"/>
      <c r="W160" s="27">
        <v>1</v>
      </c>
      <c r="X160" s="27"/>
      <c r="Y160" s="27"/>
      <c r="Z160" s="27"/>
      <c r="AA160" s="159">
        <v>6</v>
      </c>
      <c r="AB160" s="208">
        <v>0</v>
      </c>
    </row>
    <row r="161" spans="1:28" x14ac:dyDescent="0.2">
      <c r="A161" s="158" t="s">
        <v>161</v>
      </c>
      <c r="B161" s="159" t="s">
        <v>215</v>
      </c>
      <c r="C161" s="159">
        <v>3</v>
      </c>
      <c r="D161" s="27"/>
      <c r="E161" s="27"/>
      <c r="F161" s="27"/>
      <c r="G161" s="27">
        <v>1</v>
      </c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>
        <v>2</v>
      </c>
      <c r="T161" s="27"/>
      <c r="U161" s="27"/>
      <c r="V161" s="27"/>
      <c r="W161" s="27"/>
      <c r="X161" s="27"/>
      <c r="Y161" s="27"/>
      <c r="Z161" s="27"/>
      <c r="AA161" s="159">
        <v>3</v>
      </c>
      <c r="AB161" s="208">
        <v>0</v>
      </c>
    </row>
    <row r="162" spans="1:28" x14ac:dyDescent="0.2">
      <c r="A162" s="158" t="s">
        <v>162</v>
      </c>
      <c r="B162" s="159" t="s">
        <v>216</v>
      </c>
      <c r="C162" s="159">
        <v>1</v>
      </c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>
        <v>1</v>
      </c>
      <c r="V162" s="27"/>
      <c r="W162" s="27"/>
      <c r="X162" s="27"/>
      <c r="Y162" s="27"/>
      <c r="Z162" s="27"/>
      <c r="AA162" s="159">
        <v>1</v>
      </c>
      <c r="AB162" s="208">
        <v>0</v>
      </c>
    </row>
    <row r="163" spans="1:28" x14ac:dyDescent="0.2">
      <c r="A163" s="158" t="s">
        <v>313</v>
      </c>
      <c r="B163" s="159" t="s">
        <v>314</v>
      </c>
      <c r="C163" s="159">
        <v>9</v>
      </c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>
        <v>2</v>
      </c>
      <c r="P163" s="27"/>
      <c r="Q163" s="27"/>
      <c r="R163" s="27">
        <v>7</v>
      </c>
      <c r="S163" s="27"/>
      <c r="T163" s="27"/>
      <c r="U163" s="27"/>
      <c r="V163" s="27"/>
      <c r="W163" s="27"/>
      <c r="X163" s="27"/>
      <c r="Y163" s="27"/>
      <c r="Z163" s="27"/>
      <c r="AA163" s="159">
        <v>9</v>
      </c>
      <c r="AB163" s="208">
        <v>0</v>
      </c>
    </row>
    <row r="164" spans="1:28" x14ac:dyDescent="0.2">
      <c r="A164" s="158" t="s">
        <v>84</v>
      </c>
      <c r="B164" s="159" t="s">
        <v>99</v>
      </c>
      <c r="C164" s="159">
        <v>2</v>
      </c>
      <c r="D164" s="27"/>
      <c r="E164" s="27"/>
      <c r="F164" s="27"/>
      <c r="G164" s="27"/>
      <c r="H164" s="27"/>
      <c r="I164" s="27">
        <v>2</v>
      </c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159">
        <v>2</v>
      </c>
      <c r="AB164" s="208">
        <v>0</v>
      </c>
    </row>
    <row r="165" spans="1:28" x14ac:dyDescent="0.2">
      <c r="A165" s="158" t="s">
        <v>116</v>
      </c>
      <c r="B165" s="159" t="s">
        <v>233</v>
      </c>
      <c r="C165" s="159">
        <v>6</v>
      </c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>
        <v>6</v>
      </c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159">
        <v>6</v>
      </c>
      <c r="AB165" s="208">
        <v>0</v>
      </c>
    </row>
    <row r="166" spans="1:28" x14ac:dyDescent="0.2">
      <c r="A166" s="158"/>
      <c r="B166" s="159"/>
      <c r="C166" s="159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159"/>
      <c r="AB166" s="208"/>
    </row>
    <row r="167" spans="1:28" x14ac:dyDescent="0.2">
      <c r="A167" s="158"/>
      <c r="B167" s="163" t="s">
        <v>241</v>
      </c>
      <c r="C167" s="159">
        <v>251</v>
      </c>
      <c r="D167" s="27">
        <v>20</v>
      </c>
      <c r="E167" s="27">
        <v>0</v>
      </c>
      <c r="F167" s="27">
        <v>2</v>
      </c>
      <c r="G167" s="27">
        <v>10</v>
      </c>
      <c r="H167" s="27">
        <v>11</v>
      </c>
      <c r="I167" s="27">
        <v>7</v>
      </c>
      <c r="J167" s="27">
        <v>22</v>
      </c>
      <c r="K167" s="27">
        <v>0</v>
      </c>
      <c r="L167" s="27">
        <v>7</v>
      </c>
      <c r="M167" s="27">
        <v>16</v>
      </c>
      <c r="N167" s="27">
        <v>8</v>
      </c>
      <c r="O167" s="27">
        <v>4</v>
      </c>
      <c r="P167" s="27">
        <v>7</v>
      </c>
      <c r="Q167" s="27">
        <v>15</v>
      </c>
      <c r="R167" s="27">
        <v>18</v>
      </c>
      <c r="S167" s="27">
        <v>6</v>
      </c>
      <c r="T167" s="27">
        <v>21</v>
      </c>
      <c r="U167" s="27">
        <v>13</v>
      </c>
      <c r="V167" s="27">
        <v>29</v>
      </c>
      <c r="W167" s="27">
        <v>9</v>
      </c>
      <c r="X167" s="27">
        <v>16</v>
      </c>
      <c r="Y167" s="27">
        <v>11</v>
      </c>
      <c r="Z167" s="27">
        <v>4</v>
      </c>
      <c r="AA167" s="159">
        <v>256</v>
      </c>
      <c r="AB167" s="208">
        <v>5</v>
      </c>
    </row>
    <row r="168" spans="1:28" x14ac:dyDescent="0.2">
      <c r="A168" s="158"/>
      <c r="B168" s="159"/>
      <c r="C168" s="159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159"/>
      <c r="AB168" s="208"/>
    </row>
    <row r="169" spans="1:28" ht="13.5" thickBot="1" x14ac:dyDescent="0.25">
      <c r="A169" s="189"/>
      <c r="B169" s="190" t="s">
        <v>242</v>
      </c>
      <c r="C169" s="191">
        <v>385</v>
      </c>
      <c r="D169" s="192">
        <v>20</v>
      </c>
      <c r="E169" s="192">
        <v>0</v>
      </c>
      <c r="F169" s="192">
        <v>19</v>
      </c>
      <c r="G169" s="192">
        <v>11</v>
      </c>
      <c r="H169" s="192">
        <v>21</v>
      </c>
      <c r="I169" s="192">
        <v>26</v>
      </c>
      <c r="J169" s="192">
        <v>22</v>
      </c>
      <c r="K169" s="192">
        <v>23</v>
      </c>
      <c r="L169" s="192">
        <v>24</v>
      </c>
      <c r="M169" s="192">
        <v>18</v>
      </c>
      <c r="N169" s="192">
        <v>10</v>
      </c>
      <c r="O169" s="192">
        <v>10</v>
      </c>
      <c r="P169" s="192">
        <v>12</v>
      </c>
      <c r="Q169" s="192">
        <v>17</v>
      </c>
      <c r="R169" s="192">
        <v>18</v>
      </c>
      <c r="S169" s="192">
        <v>7</v>
      </c>
      <c r="T169" s="192">
        <v>42</v>
      </c>
      <c r="U169" s="192">
        <v>17</v>
      </c>
      <c r="V169" s="192">
        <v>30</v>
      </c>
      <c r="W169" s="192">
        <v>11</v>
      </c>
      <c r="X169" s="192">
        <v>16</v>
      </c>
      <c r="Y169" s="192">
        <v>11</v>
      </c>
      <c r="Z169" s="192">
        <v>5</v>
      </c>
      <c r="AA169" s="191">
        <v>390</v>
      </c>
      <c r="AB169" s="210">
        <v>5</v>
      </c>
    </row>
    <row r="170" spans="1:28" x14ac:dyDescent="0.2">
      <c r="A170" s="154"/>
      <c r="B170" s="164"/>
      <c r="C170" s="164"/>
      <c r="D170" s="165"/>
      <c r="E170" s="165"/>
      <c r="F170" s="165"/>
      <c r="G170" s="165"/>
      <c r="H170" s="165"/>
      <c r="I170" s="165"/>
      <c r="J170" s="165"/>
      <c r="K170" s="165"/>
      <c r="L170" s="165"/>
      <c r="M170" s="165"/>
      <c r="N170" s="165"/>
      <c r="O170" s="165"/>
      <c r="P170" s="165"/>
      <c r="Q170" s="165"/>
      <c r="R170" s="165"/>
      <c r="S170" s="165"/>
      <c r="T170" s="165"/>
      <c r="U170" s="165"/>
      <c r="V170" s="165"/>
      <c r="W170" s="165"/>
      <c r="X170" s="165"/>
      <c r="Y170" s="165"/>
      <c r="Z170" s="165"/>
      <c r="AA170" s="164"/>
      <c r="AB170" s="211"/>
    </row>
    <row r="171" spans="1:28" x14ac:dyDescent="0.2">
      <c r="A171" s="158"/>
      <c r="B171" s="163" t="s">
        <v>243</v>
      </c>
      <c r="C171" s="159">
        <v>780</v>
      </c>
      <c r="D171" s="27">
        <v>37</v>
      </c>
      <c r="E171" s="27">
        <v>0</v>
      </c>
      <c r="F171" s="27">
        <v>38</v>
      </c>
      <c r="G171" s="27">
        <v>18</v>
      </c>
      <c r="H171" s="27">
        <v>37</v>
      </c>
      <c r="I171" s="27">
        <v>57</v>
      </c>
      <c r="J171" s="27">
        <v>37</v>
      </c>
      <c r="K171" s="27">
        <v>40</v>
      </c>
      <c r="L171" s="27">
        <v>48</v>
      </c>
      <c r="M171" s="27">
        <v>38</v>
      </c>
      <c r="N171" s="27">
        <v>19</v>
      </c>
      <c r="O171" s="27">
        <v>19</v>
      </c>
      <c r="P171" s="27">
        <v>38</v>
      </c>
      <c r="Q171" s="27">
        <v>37</v>
      </c>
      <c r="R171" s="27">
        <v>37</v>
      </c>
      <c r="S171" s="27">
        <v>18</v>
      </c>
      <c r="T171" s="27">
        <v>65</v>
      </c>
      <c r="U171" s="27">
        <v>37</v>
      </c>
      <c r="V171" s="27">
        <v>56</v>
      </c>
      <c r="W171" s="27">
        <v>18</v>
      </c>
      <c r="X171" s="27">
        <v>36</v>
      </c>
      <c r="Y171" s="27">
        <v>36</v>
      </c>
      <c r="Z171" s="27">
        <v>18</v>
      </c>
      <c r="AA171" s="159">
        <v>784</v>
      </c>
      <c r="AB171" s="208">
        <v>4</v>
      </c>
    </row>
    <row r="172" spans="1:28" x14ac:dyDescent="0.2">
      <c r="A172" s="158"/>
      <c r="B172" s="163" t="s">
        <v>244</v>
      </c>
      <c r="C172" s="159"/>
      <c r="D172" s="27">
        <v>2</v>
      </c>
      <c r="E172" s="27">
        <v>0</v>
      </c>
      <c r="F172" s="27">
        <v>2</v>
      </c>
      <c r="G172" s="27">
        <v>1</v>
      </c>
      <c r="H172" s="27">
        <v>2</v>
      </c>
      <c r="I172" s="27">
        <v>3</v>
      </c>
      <c r="J172" s="27">
        <v>2</v>
      </c>
      <c r="K172" s="27">
        <v>2</v>
      </c>
      <c r="L172" s="27">
        <v>2</v>
      </c>
      <c r="M172" s="27">
        <v>2</v>
      </c>
      <c r="N172" s="27">
        <v>1</v>
      </c>
      <c r="O172" s="27">
        <v>1</v>
      </c>
      <c r="P172" s="27">
        <v>2</v>
      </c>
      <c r="Q172" s="27">
        <v>2</v>
      </c>
      <c r="R172" s="27">
        <v>2</v>
      </c>
      <c r="S172" s="27">
        <v>1</v>
      </c>
      <c r="T172" s="27">
        <v>3</v>
      </c>
      <c r="U172" s="27">
        <v>2</v>
      </c>
      <c r="V172" s="27">
        <v>3</v>
      </c>
      <c r="W172" s="27">
        <v>1</v>
      </c>
      <c r="X172" s="27">
        <v>2</v>
      </c>
      <c r="Y172" s="27">
        <v>2</v>
      </c>
      <c r="Z172" s="27">
        <v>1</v>
      </c>
      <c r="AA172" s="159"/>
      <c r="AB172" s="208"/>
    </row>
    <row r="173" spans="1:28" x14ac:dyDescent="0.2">
      <c r="A173" s="158"/>
      <c r="B173" s="163" t="s">
        <v>245</v>
      </c>
      <c r="C173" s="159"/>
      <c r="D173" s="194">
        <v>-1.0487804878048763</v>
      </c>
      <c r="E173" s="193">
        <v>0</v>
      </c>
      <c r="F173" s="194">
        <v>-4.8780487804876316E-2</v>
      </c>
      <c r="G173" s="194">
        <v>-1.0243902439024382</v>
      </c>
      <c r="H173" s="194">
        <v>-1.0487804878048763</v>
      </c>
      <c r="I173" s="194">
        <v>-7.3170731707314474E-2</v>
      </c>
      <c r="J173" s="194">
        <v>-1.0487804878048763</v>
      </c>
      <c r="K173" s="193">
        <v>1.9512195121951237</v>
      </c>
      <c r="L173" s="193">
        <v>9.9512195121951237</v>
      </c>
      <c r="M173" s="194">
        <v>-4.8780487804876316E-2</v>
      </c>
      <c r="N173" s="194">
        <v>-2.4390243902438158E-2</v>
      </c>
      <c r="O173" s="194">
        <v>-2.4390243902438158E-2</v>
      </c>
      <c r="P173" s="194">
        <v>-4.8780487804876316E-2</v>
      </c>
      <c r="Q173" s="194">
        <v>-1.0487804878048763</v>
      </c>
      <c r="R173" s="194">
        <v>-1.0487804878048763</v>
      </c>
      <c r="S173" s="194">
        <v>-1.0243902439024382</v>
      </c>
      <c r="T173" s="193">
        <v>7.9268292682926855</v>
      </c>
      <c r="U173" s="194">
        <v>-1.0487804878048763</v>
      </c>
      <c r="V173" s="194">
        <v>-1.0731707317073145</v>
      </c>
      <c r="W173" s="194">
        <v>-1.0243902439024382</v>
      </c>
      <c r="X173" s="194">
        <v>-2.0487804878048763</v>
      </c>
      <c r="Y173" s="194">
        <v>-2.0487804878048763</v>
      </c>
      <c r="Z173" s="194">
        <v>-1.0243902439024382</v>
      </c>
      <c r="AA173" s="159"/>
      <c r="AB173" s="208"/>
    </row>
    <row r="174" spans="1:28" x14ac:dyDescent="0.2">
      <c r="A174" s="158"/>
      <c r="B174" s="159"/>
      <c r="C174" s="159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159"/>
      <c r="AB174" s="208"/>
    </row>
    <row r="175" spans="1:28" x14ac:dyDescent="0.2">
      <c r="A175" s="158"/>
      <c r="B175" s="159"/>
      <c r="C175" s="159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159"/>
      <c r="AB175" s="208"/>
    </row>
    <row r="176" spans="1:28" x14ac:dyDescent="0.2">
      <c r="A176" s="158"/>
      <c r="B176" s="163" t="s">
        <v>246</v>
      </c>
      <c r="C176" s="159">
        <v>780</v>
      </c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159"/>
      <c r="AB176" s="208"/>
    </row>
    <row r="177" spans="1:28" x14ac:dyDescent="0.2">
      <c r="A177" s="158"/>
      <c r="B177" s="163" t="s">
        <v>247</v>
      </c>
      <c r="C177" s="159">
        <v>41</v>
      </c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159"/>
      <c r="AB177" s="208"/>
    </row>
    <row r="178" spans="1:28" ht="13.5" thickBot="1" x14ac:dyDescent="0.25">
      <c r="A178" s="160"/>
      <c r="B178" s="166" t="s">
        <v>169</v>
      </c>
      <c r="C178" s="162">
        <v>19.024390243902438</v>
      </c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62"/>
      <c r="AB178" s="209"/>
    </row>
  </sheetData>
  <sheetProtection sheet="1" objects="1" scenarios="1"/>
  <phoneticPr fontId="13" type="noConversion"/>
  <pageMargins left="0.75" right="0.75" top="1" bottom="1" header="0.5" footer="0.5"/>
  <pageSetup paperSize="5" scale="1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HTS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HTSDayMatrix"/>
      </mc:Fallback>
    </mc:AlternateContent>
    <mc:AlternateContent xmlns:mc="http://schemas.openxmlformats.org/markup-compatibility/2006">
      <mc:Choice Requires="x14">
        <control shapeId="8194" r:id="rId10" name="HTS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HTS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"/>
  <sheetViews>
    <sheetView workbookViewId="0"/>
  </sheetViews>
  <sheetFormatPr defaultRowHeight="12.75" x14ac:dyDescent="0.2"/>
  <sheetData/>
  <phoneticPr fontId="28" type="noConversion"/>
  <pageMargins left="0.7" right="0.7" top="0.75" bottom="0.75" header="0.3" footer="0.3"/>
  <pageSetup orientation="portrait" r:id="rId1"/>
  <headerFooter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70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Sheet2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FALLFriday</vt:lpstr>
      <vt:lpstr>FALLSaturday</vt:lpstr>
      <vt:lpstr>FALLSaturdayRows</vt:lpstr>
      <vt:lpstr>FALLSunday</vt:lpstr>
      <vt:lpstr>GrandTotalHours</vt:lpstr>
      <vt:lpstr>HoursPerShare</vt:lpstr>
      <vt:lpstr>HTSDayWorkHours</vt:lpstr>
      <vt:lpstr>HTSFridayCols</vt:lpstr>
      <vt:lpstr>HTSFridayRows</vt:lpstr>
      <vt:lpstr>HTSPreShow</vt:lpstr>
      <vt:lpstr>HTSPreshowTaskClubs</vt:lpstr>
      <vt:lpstr>HTSPreshowTaskHours</vt:lpstr>
      <vt:lpstr>HTSSaturdayCols</vt:lpstr>
      <vt:lpstr>HTSSaturdayRows</vt:lpstr>
      <vt:lpstr>HTSSundayCols</vt:lpstr>
      <vt:lpstr>HTSSundayRows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2024-05-06T14:49:02Z</cp:lastPrinted>
  <dcterms:created xsi:type="dcterms:W3CDTF">2005-10-16T17:50:13Z</dcterms:created>
  <dcterms:modified xsi:type="dcterms:W3CDTF">2024-05-06T16:51:27Z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