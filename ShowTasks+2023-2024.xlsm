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03EE70E8-7834-4A1D-A6DB-3BD810E03EF7}" xr6:coauthVersionLast="47" xr6:coauthVersionMax="47" xr10:uidLastSave="{00000000-0000-0000-0000-000000000000}"/>
  <bookViews>
    <workbookView xWindow="-120" yWindow="-120" windowWidth="29040" windowHeight="15840" tabRatio="851" firstSheet="3" activeTab="6" xr2:uid="{00000000-000D-0000-FFFF-FFFF00000000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  <sheet name="Sheet2" sheetId="45" r:id="rId17"/>
  </sheets>
  <functionGroups builtInGroupCount="19"/>
  <definedNames>
    <definedName name="_xlnm._FilterDatabase" localSheetId="2" hidden="1">S.O.A.!$A$1:$D$37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S.O.A.!$C$135:$C$172</definedName>
    <definedName name="DATFriday">'DAT Friday'!$A$5</definedName>
    <definedName name="DATFridayCols">Scrap!$D$7</definedName>
    <definedName name="DATFridayRows">Scrap!$C$7</definedName>
    <definedName name="DATPreShow">S.O.A.!$A$95:$D$127</definedName>
    <definedName name="DATPreshowTaskClubs">S.O.A.!$D$95:$D$127</definedName>
    <definedName name="DATPreshowTaskHours">S.O.A.!$C$95:$C$127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Friday">'FALL Friday'!$A$5</definedName>
    <definedName name="FALLSaturday">'FALL Saturday'!$A$5</definedName>
    <definedName name="FALLSaturdayRows">Scrap!$C$5</definedName>
    <definedName name="FALLSunday">'FALL Sunday'!$A$5</definedName>
    <definedName name="GrandTotalHours">S.O.A.!$C$177</definedName>
    <definedName name="HoursPerShare">Participants!$C$38</definedName>
    <definedName name="HTSDayWorkHours">S.O.A.!$C$45:$C$84</definedName>
    <definedName name="HTSFridayCols">Scrap!$D$4</definedName>
    <definedName name="HTSFridayRows">Scrap!$C$4</definedName>
    <definedName name="HTSPreShow">S.O.A.!$A$5:$D$38</definedName>
    <definedName name="HTSPreshowTaskClubs">S.O.A.!$D$5:$D$38</definedName>
    <definedName name="HTSPreshowTaskHours">S.O.A.!$C$5:$C$38</definedName>
    <definedName name="HTSSaturdayCols">Scrap!$D$5</definedName>
    <definedName name="HTSSaturdayRows">Scrap!$C$5</definedName>
    <definedName name="HTSSundayCols">Scrap!$D$6</definedName>
    <definedName name="HTSSundayRows">Scrap!$C$6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HTSDay1">Scrap!$C$18</definedName>
    <definedName name="MatrixHTSDayN">Scrap!$D$18</definedName>
    <definedName name="MatrixHTSPre1">Scrap!$C$17</definedName>
    <definedName name="MatrixHTSPreN">Scrap!$D$17</definedName>
    <definedName name="ParticipantsCanUpdate">Scrap!$D$12</definedName>
    <definedName name="_xlnm.Print_Area" localSheetId="6">'DAT Friday'!$A$1:$Q$13</definedName>
    <definedName name="_xlnm.Print_Area" localSheetId="7">'DAT Saturday'!$A$1:$L$28</definedName>
    <definedName name="_xlnm.Print_Area" localSheetId="8">'DAT Sunday'!$A$1:$K$31</definedName>
    <definedName name="_xlnm.Print_Area" localSheetId="3">'FALL Friday'!$A$1:$Q$12</definedName>
    <definedName name="_xlnm.Print_Area" localSheetId="4">'FALL Saturday'!$A$1:$L$30</definedName>
    <definedName name="_xlnm.Print_Area" localSheetId="5">'FALL Sunday'!$A$1:$L$31</definedName>
    <definedName name="_xlnm.Print_Area" localSheetId="0">Participants!$A$2:$F$38</definedName>
    <definedName name="_xlnm.Print_Area" localSheetId="2">S.O.A.!$A$1:$E$177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J5" i="38"/>
  <c r="H4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B8" i="37"/>
  <c r="D8" i="37"/>
  <c r="H1" i="36"/>
  <c r="A5" i="36"/>
  <c r="H9" i="38"/>
  <c r="I1" i="35"/>
  <c r="A5" i="35"/>
  <c r="H8" i="38" s="1"/>
  <c r="M1" i="34"/>
  <c r="A5" i="34"/>
  <c r="H7" i="38" s="1"/>
  <c r="I1" i="6"/>
  <c r="A5" i="6"/>
  <c r="H6" i="38"/>
  <c r="I1" i="5"/>
  <c r="A5" i="5"/>
  <c r="H5" i="38"/>
  <c r="N1" i="4"/>
  <c r="A5" i="4"/>
  <c r="E3" i="28" s="1"/>
  <c r="B2" i="1"/>
  <c r="B3" i="1"/>
  <c r="C39" i="1"/>
  <c r="B43" i="1"/>
  <c r="B44" i="1"/>
  <c r="C85" i="1"/>
  <c r="D85" i="1"/>
  <c r="B93" i="1"/>
  <c r="B94" i="1"/>
  <c r="C94" i="1"/>
  <c r="D94" i="1"/>
  <c r="B103" i="1"/>
  <c r="C128" i="1"/>
  <c r="B132" i="1"/>
  <c r="B133" i="1"/>
  <c r="C173" i="1"/>
  <c r="D173" i="1"/>
  <c r="B5" i="2"/>
  <c r="C34" i="2"/>
  <c r="E36" i="2"/>
  <c r="C175" i="1"/>
  <c r="C6" i="38"/>
  <c r="C7" i="38"/>
  <c r="D8" i="38"/>
  <c r="D4" i="38"/>
  <c r="D5" i="38"/>
  <c r="C4" i="38"/>
  <c r="D6" i="38"/>
  <c r="C9" i="38"/>
  <c r="C8" i="38"/>
  <c r="D9" i="38"/>
  <c r="D7" i="38"/>
  <c r="C5" i="38"/>
  <c r="C87" i="1" l="1"/>
  <c r="C177" i="1" s="1"/>
  <c r="C36" i="2" s="1"/>
  <c r="F8" i="37"/>
  <c r="D8" i="2"/>
  <c r="D9" i="2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38" i="2" l="1"/>
</calcChain>
</file>

<file path=xl/sharedStrings.xml><?xml version="1.0" encoding="utf-8"?>
<sst xmlns="http://schemas.openxmlformats.org/spreadsheetml/2006/main" count="2300" uniqueCount="372">
  <si>
    <t>Current</t>
  </si>
  <si>
    <t>RESPONSIBLE</t>
  </si>
  <si>
    <t>Task Code</t>
  </si>
  <si>
    <t>Task Definition</t>
  </si>
  <si>
    <t>Hours</t>
  </si>
  <si>
    <t>CLUB</t>
  </si>
  <si>
    <t>A</t>
  </si>
  <si>
    <t>Leasing Facility (4)</t>
  </si>
  <si>
    <t>TNT</t>
  </si>
  <si>
    <t>B</t>
  </si>
  <si>
    <t>Facility Liason (2)</t>
  </si>
  <si>
    <t>C</t>
  </si>
  <si>
    <t>Advance Publicity (2)</t>
  </si>
  <si>
    <t>D</t>
  </si>
  <si>
    <t>Flyer creation/Duplication (2)</t>
  </si>
  <si>
    <t>USMR</t>
  </si>
  <si>
    <t>E</t>
  </si>
  <si>
    <t>PSA Mailings (6)</t>
  </si>
  <si>
    <t>LM</t>
  </si>
  <si>
    <t>F1</t>
  </si>
  <si>
    <t>Flyer Mailouts (4) - out of town dealers</t>
  </si>
  <si>
    <t>F2</t>
  </si>
  <si>
    <t>Flyer Mailouts (7) - Local mailing list</t>
  </si>
  <si>
    <t>MATA</t>
  </si>
  <si>
    <t>F3</t>
  </si>
  <si>
    <t>Email flyer distribution</t>
  </si>
  <si>
    <t>DA</t>
  </si>
  <si>
    <t>G</t>
  </si>
  <si>
    <t>TREX</t>
  </si>
  <si>
    <t>H</t>
  </si>
  <si>
    <t>Make Up/Print/Mail Contracts (3)</t>
  </si>
  <si>
    <t>NTNT</t>
  </si>
  <si>
    <t>I</t>
  </si>
  <si>
    <t>Compile and maintain Dealer Lists (4)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</si>
  <si>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</si>
  <si>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</si>
  <si>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</si>
  <si>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</si>
  <si>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</si>
  <si>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</si>
  <si>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</si>
  <si>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</si>
  <si>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Dealer Layout/Space Assignment (Friday) (5)</t>
  </si>
  <si>
    <t>N</t>
  </si>
  <si>
    <t>Ass't Space Assign/Floor Walker (Friday) (5)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</si>
  <si>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</si>
  <si>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</si>
  <si>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</si>
  <si>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</si>
  <si>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</si>
  <si>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</si>
  <si>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</si>
  <si>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</si>
  <si>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</si>
  <si>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Tour Brouchure Creation/Duplication (9)</t>
  </si>
  <si>
    <t>S</t>
  </si>
  <si>
    <t>Arranging for Switching Layout (1)</t>
  </si>
  <si>
    <t>TNOR</t>
  </si>
  <si>
    <t xml:space="preserve">T </t>
  </si>
  <si>
    <t>Cash Box setup/Change (4)</t>
  </si>
  <si>
    <t>U</t>
  </si>
  <si>
    <t>Getting Tickets (1)</t>
  </si>
  <si>
    <t>W</t>
  </si>
  <si>
    <t>Interior Sign Creation/Setup (2)</t>
  </si>
  <si>
    <t>X</t>
  </si>
  <si>
    <t>Arranging for Door Prizes (2)</t>
  </si>
  <si>
    <t>Y</t>
  </si>
  <si>
    <t>Phone Calls on Show Days</t>
  </si>
  <si>
    <t>Z1</t>
  </si>
  <si>
    <t>Z2</t>
  </si>
  <si>
    <t>ET</t>
  </si>
  <si>
    <t>AA</t>
  </si>
  <si>
    <t>PP</t>
  </si>
  <si>
    <t>Maintaining Web Site</t>
  </si>
  <si>
    <t>Total F/W Pre Show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</si>
  <si>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</si>
  <si>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</si>
  <si>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</si>
  <si>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</si>
  <si>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</si>
  <si>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</si>
  <si>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</si>
  <si>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</si>
  <si>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</si>
  <si>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</si>
  <si>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</si>
  <si>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</si>
  <si>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</si>
  <si>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Total Fort Worth Show</t>
  </si>
  <si>
    <t>TEXN</t>
  </si>
  <si>
    <t>Fyer Mailouts - Out of Town</t>
  </si>
  <si>
    <t>Fyer Mailouts - Local Mailing</t>
  </si>
  <si>
    <t>Maintain Dealer List</t>
  </si>
  <si>
    <t>Contracting With Dealers (2)</t>
  </si>
  <si>
    <t>Work Assignment Task Chart</t>
  </si>
  <si>
    <t>Arranging Clinic Schedules and Signs (6)</t>
  </si>
  <si>
    <t>Cash Box setup/Change (2)</t>
  </si>
  <si>
    <t>Phone Calls Show Days</t>
  </si>
  <si>
    <t>Total Dallas Pre Show Hours</t>
  </si>
  <si>
    <t>HHE</t>
  </si>
  <si>
    <t>HHW</t>
  </si>
  <si>
    <t>Sat Night Security to Clear Building</t>
  </si>
  <si>
    <t>QQ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</si>
  <si>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</si>
  <si>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</si>
  <si>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</si>
  <si>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</si>
  <si>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</si>
  <si>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</si>
  <si>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</si>
  <si>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</si>
  <si>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</si>
  <si>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</si>
  <si>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</si>
  <si>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</si>
  <si>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</si>
  <si>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</si>
  <si>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</si>
  <si>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</si>
  <si>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</si>
  <si>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</si>
  <si>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</si>
  <si>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</si>
  <si>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</si>
  <si>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</si>
  <si>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</si>
  <si>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</si>
  <si>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</si>
  <si>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Overnight Security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</si>
  <si>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</si>
  <si>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</si>
  <si>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</si>
  <si>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</si>
  <si>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</si>
  <si>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</si>
  <si>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</si>
  <si>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</si>
  <si>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</si>
  <si>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</si>
  <si>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</si>
  <si>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EE1</t>
  </si>
  <si>
    <t>Total</t>
  </si>
  <si>
    <t>CC1Sun</t>
  </si>
  <si>
    <t>CC1Sat</t>
  </si>
  <si>
    <t>CC2Sat</t>
  </si>
  <si>
    <t>CC2Sun</t>
  </si>
  <si>
    <t>EE2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</si>
  <si>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</si>
  <si>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</si>
  <si>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</si>
  <si>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</si>
  <si>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</si>
  <si>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</si>
  <si>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</si>
  <si>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</si>
  <si>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</si>
  <si>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</si>
  <si>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</si>
  <si>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</si>
  <si>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</si>
  <si>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</si>
  <si>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</si>
  <si>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JJ2West</t>
  </si>
  <si>
    <t>MMSat</t>
  </si>
  <si>
    <t>MMSun</t>
  </si>
  <si>
    <t>PLANO FRIDAY</t>
  </si>
  <si>
    <t>PLANO SATURDAY</t>
  </si>
  <si>
    <t>PLANO SUNDAY</t>
  </si>
  <si>
    <t xml:space="preserve">Dealer Layout/Space Assignment </t>
  </si>
  <si>
    <t xml:space="preserve">Ass't Space Assign/Floor Walker 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</si>
  <si>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</si>
  <si>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</si>
  <si>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</si>
  <si>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</si>
  <si>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</si>
  <si>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</si>
  <si>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</si>
  <si>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</si>
  <si>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</si>
  <si>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</si>
  <si>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</si>
  <si>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</si>
  <si>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</si>
  <si>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</si>
  <si>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Pre-HTS</t>
  </si>
  <si>
    <t>Pre-DAT</t>
  </si>
  <si>
    <t>Club</t>
  </si>
  <si>
    <t>Signature</t>
  </si>
  <si>
    <t>NTNG</t>
  </si>
  <si>
    <t>North Texas Narrow Gauge</t>
  </si>
  <si>
    <t>0n30 Texas Outlaws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</si>
  <si>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</si>
  <si>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</si>
  <si>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</si>
  <si>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</si>
  <si>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</si>
  <si>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</si>
  <si>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</si>
  <si>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</si>
  <si>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</si>
  <si>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</si>
  <si>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</si>
  <si>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</si>
  <si>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</si>
  <si>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</si>
  <si>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</si>
  <si>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</si>
  <si>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</si>
  <si>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</si>
  <si>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Overnight Security Saturday</t>
  </si>
  <si>
    <t>Assistant Show Manager Sat</t>
  </si>
  <si>
    <t>Assistant Show Manager Sun</t>
  </si>
  <si>
    <t>Dealer Setup Saturday</t>
  </si>
  <si>
    <t>Money Management/Change Sat</t>
  </si>
  <si>
    <t>Money Management/Change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</si>
  <si>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</si>
  <si>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</si>
  <si>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</si>
  <si>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</si>
  <si>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</si>
  <si>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</si>
  <si>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</si>
  <si>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</si>
  <si>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</si>
  <si>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</si>
  <si>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</si>
  <si>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</si>
  <si>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</si>
  <si>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</si>
  <si>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</si>
  <si>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</si>
  <si>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Layout Tour Support Table East Sat</t>
  </si>
  <si>
    <t>Layout Tour Support Table West Sat</t>
  </si>
  <si>
    <t>Layout Tour Support Table East Sun</t>
  </si>
  <si>
    <t>Layout Tour Support Table West Sun</t>
  </si>
  <si>
    <t>Post Show Parking Attendants Sun</t>
  </si>
  <si>
    <t>JJ1East</t>
  </si>
  <si>
    <t>JJ1West</t>
  </si>
  <si>
    <t>Publicist</t>
  </si>
  <si>
    <t>Participants can-update flag</t>
  </si>
  <si>
    <t>Fort Worth Pre-Show Hours</t>
  </si>
  <si>
    <t>Fort Worth Day Work Hours</t>
  </si>
  <si>
    <t>Plano Pre-Show Hours</t>
  </si>
  <si>
    <t>Plano Day Work Hours</t>
  </si>
  <si>
    <t>Diff</t>
  </si>
  <si>
    <t>Subtotals Fort Worth Pre-Show</t>
  </si>
  <si>
    <t>Subtotals Fort Worth Day Work</t>
  </si>
  <si>
    <t>Totals Fort Worth</t>
  </si>
  <si>
    <t>Subtotals Plano Pre-Show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</si>
  <si>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</si>
  <si>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</si>
  <si>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</si>
  <si>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</si>
  <si>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</si>
  <si>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</si>
  <si>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</si>
  <si>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Print matrices on two letter size pages each</t>
  </si>
  <si>
    <t>Matrix columns</t>
  </si>
  <si>
    <t>Ft Worth day work</t>
  </si>
  <si>
    <t>Ft Worth pre-show</t>
  </si>
  <si>
    <t>Plano pre-show</t>
  </si>
  <si>
    <t>Plano day work</t>
  </si>
  <si>
    <t>last</t>
  </si>
  <si>
    <t>first</t>
  </si>
  <si>
    <t>Preshow task</t>
  </si>
  <si>
    <t>CLUB can-update flag</t>
  </si>
  <si>
    <t>Issue:</t>
  </si>
  <si>
    <t>HTS</t>
  </si>
  <si>
    <t>DAT</t>
  </si>
  <si>
    <t>Plano 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</si>
  <si>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</si>
  <si>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</si>
  <si>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</si>
  <si>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</si>
  <si>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</si>
  <si>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</si>
  <si>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</si>
  <si>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</si>
  <si>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</si>
  <si>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</si>
  <si>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</si>
  <si>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</si>
  <si>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</si>
  <si>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</si>
  <si>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</si>
  <si>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</si>
  <si>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</si>
  <si>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Radio Ads</t>
  </si>
  <si>
    <t>Day sheets check names</t>
  </si>
  <si>
    <t>Tour Brochure Creation/Duplication (9)</t>
  </si>
  <si>
    <t>F4</t>
  </si>
  <si>
    <t>Survey Data</t>
  </si>
  <si>
    <t>1P if possible, Plano only (4 HOURS IN FT. WORTH) Do not double hours</t>
  </si>
  <si>
    <t>R1</t>
  </si>
  <si>
    <t>Tour Brouchure Advertising</t>
  </si>
  <si>
    <t>Tour Brochure Advertising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</si>
  <si>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</si>
  <si>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</si>
  <si>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</si>
  <si>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</si>
  <si>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</si>
  <si>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</si>
  <si>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</si>
  <si>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</si>
  <si>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</si>
  <si>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</si>
  <si>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</si>
  <si>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</si>
  <si>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</si>
  <si>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</si>
  <si>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</si>
  <si>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</si>
  <si>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</si>
  <si>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</si>
  <si>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</si>
  <si>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</si>
  <si>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</si>
  <si>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</si>
  <si>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</si>
  <si>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</si>
  <si>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>Plano Fall TS</t>
  </si>
  <si>
    <t xml:space="preserve">PLANO Winter Show Day Work Assignments </t>
  </si>
  <si>
    <t>Plano Fall Show</t>
  </si>
  <si>
    <t>Plano Fall TS Friday</t>
  </si>
  <si>
    <t>BB1</t>
  </si>
  <si>
    <t>Dealer Setup Friday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</si>
  <si>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</si>
  <si>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</si>
  <si>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</si>
  <si>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</si>
  <si>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</si>
  <si>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</si>
  <si>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</si>
  <si>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</si>
  <si>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</si>
  <si>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</si>
  <si>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</si>
  <si>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</si>
  <si>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</si>
  <si>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</si>
  <si>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</si>
  <si>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</si>
  <si>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</si>
  <si>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</si>
  <si>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CM</t>
  </si>
  <si>
    <t>Friday 9/29/2023</t>
  </si>
  <si>
    <t>Saturday 9/30/2023</t>
  </si>
  <si>
    <t>Sunday 10/1/2023</t>
  </si>
  <si>
    <t>Friday 01/19/2024</t>
  </si>
  <si>
    <t>Saturday 01/20/2024</t>
  </si>
  <si>
    <t>Sunday 01/21/2024</t>
  </si>
  <si>
    <t/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</si>
  <si>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</si>
  <si>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</si>
  <si>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</si>
  <si>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</si>
  <si>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</si>
  <si>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</si>
  <si>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</si>
  <si>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</si>
  <si>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</si>
  <si>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</si>
  <si>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</si>
  <si>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</si>
  <si>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</si>
  <si>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</si>
  <si>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</si>
  <si>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</si>
  <si>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</si>
  <si>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>Version 2   September 2024</t>
  </si>
  <si>
    <t>2024 Show Season V1 7/22/2024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</si>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</sst>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mm\ d\,\ yyyy"/>
    <numFmt numFmtId="166" formatCode="##0"/>
    <numFmt numFmtId="167" formatCode="0.000"/>
    <numFmt numFmtId="168" formatCode="[$-409]d\-mmm\-yy;@"/>
  </numFmts>
  <fonts count="32" x14ac:knownFonts="1">
    <font>
      <sz val="10"/>
      <name val="Arial"/>
    </font>
    <font>
      <sz val="10"/>
      <name val="Arial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64">
    <xf numFmtId="0" fontId="0" fillId="0" borderId="0" xfId="0"/>
    <xf numFmtId="0" fontId="0" fillId="0" borderId="1" xfId="0" applyBorder="1" applyAlignment="1">
      <alignment horizontal="left"/>
    </xf>
    <xf numFmtId="14" fontId="0" fillId="0" borderId="2" xfId="0" applyNumberFormat="1" applyBorder="1"/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2" fillId="0" borderId="2" xfId="0" applyFont="1" applyBorder="1"/>
    <xf numFmtId="0" fontId="3" fillId="0" borderId="3" xfId="0" applyFont="1" applyBorder="1" applyAlignment="1">
      <alignment horizontal="left"/>
    </xf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4" fillId="0" borderId="5" xfId="0" applyFont="1" applyBorder="1"/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1" xfId="0" applyBorder="1" applyAlignment="1">
      <alignment horizontal="right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18" xfId="0" applyFill="1" applyBorder="1"/>
    <xf numFmtId="0" fontId="0" fillId="2" borderId="0" xfId="0" applyFill="1"/>
    <xf numFmtId="0" fontId="8" fillId="0" borderId="18" xfId="0" applyFont="1" applyBorder="1" applyProtection="1">
      <protection locked="0"/>
    </xf>
    <xf numFmtId="0" fontId="8" fillId="0" borderId="0" xfId="0" applyFont="1" applyProtection="1">
      <protection locked="0"/>
    </xf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8" fillId="0" borderId="19" xfId="0" applyFont="1" applyBorder="1" applyProtection="1">
      <protection locked="0"/>
    </xf>
    <xf numFmtId="0" fontId="8" fillId="0" borderId="20" xfId="0" applyFont="1" applyBorder="1" applyProtection="1">
      <protection locked="0"/>
    </xf>
    <xf numFmtId="0" fontId="8" fillId="0" borderId="21" xfId="0" applyFont="1" applyBorder="1" applyProtection="1">
      <protection locked="0"/>
    </xf>
    <xf numFmtId="0" fontId="0" fillId="3" borderId="0" xfId="0" applyFill="1"/>
    <xf numFmtId="0" fontId="8" fillId="3" borderId="9" xfId="0" applyFont="1" applyFill="1" applyBorder="1"/>
    <xf numFmtId="0" fontId="8" fillId="0" borderId="9" xfId="0" applyFont="1" applyBorder="1" applyProtection="1">
      <protection locked="0"/>
    </xf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5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5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5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1" fontId="0" fillId="0" borderId="0" xfId="0" applyNumberFormat="1"/>
    <xf numFmtId="49" fontId="4" fillId="0" borderId="0" xfId="0" applyNumberFormat="1" applyFont="1"/>
    <xf numFmtId="49" fontId="3" fillId="0" borderId="0" xfId="0" applyNumberFormat="1" applyFont="1"/>
    <xf numFmtId="0" fontId="0" fillId="0" borderId="0" xfId="0" applyAlignment="1">
      <alignment horizontal="right"/>
    </xf>
    <xf numFmtId="0" fontId="2" fillId="5" borderId="9" xfId="0" applyFont="1" applyFill="1" applyBorder="1" applyAlignment="1">
      <alignment horizontal="center"/>
    </xf>
    <xf numFmtId="49" fontId="3" fillId="0" borderId="26" xfId="0" applyNumberFormat="1" applyFont="1" applyBorder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6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2" fillId="4" borderId="0" xfId="0" applyFont="1" applyFill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7" fontId="0" fillId="0" borderId="0" xfId="0" applyNumberFormat="1" applyAlignment="1">
      <alignment horizontal="right"/>
    </xf>
    <xf numFmtId="167" fontId="0" fillId="0" borderId="1" xfId="0" applyNumberFormat="1" applyBorder="1" applyAlignment="1">
      <alignment horizontal="right"/>
    </xf>
    <xf numFmtId="167" fontId="6" fillId="0" borderId="3" xfId="0" applyNumberFormat="1" applyFont="1" applyBorder="1" applyAlignment="1">
      <alignment horizontal="right"/>
    </xf>
    <xf numFmtId="167" fontId="0" fillId="0" borderId="16" xfId="0" applyNumberFormat="1" applyBorder="1" applyAlignment="1">
      <alignment horizontal="right"/>
    </xf>
    <xf numFmtId="167" fontId="1" fillId="0" borderId="0" xfId="0" applyNumberFormat="1" applyFont="1" applyAlignment="1">
      <alignment horizontal="right"/>
    </xf>
    <xf numFmtId="0" fontId="0" fillId="0" borderId="3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left"/>
    </xf>
    <xf numFmtId="0" fontId="0" fillId="0" borderId="31" xfId="0" applyBorder="1"/>
    <xf numFmtId="0" fontId="0" fillId="0" borderId="26" xfId="0" applyBorder="1"/>
    <xf numFmtId="0" fontId="0" fillId="0" borderId="32" xfId="0" applyBorder="1" applyAlignment="1">
      <alignment horizontal="left"/>
    </xf>
    <xf numFmtId="0" fontId="0" fillId="0" borderId="32" xfId="0" applyBorder="1" applyAlignment="1">
      <alignment horizontal="center"/>
    </xf>
    <xf numFmtId="0" fontId="4" fillId="0" borderId="15" xfId="0" applyFont="1" applyBorder="1" applyAlignment="1">
      <alignment horizontal="left"/>
    </xf>
    <xf numFmtId="0" fontId="0" fillId="0" borderId="31" xfId="0" applyBorder="1" applyAlignment="1">
      <alignment horizontal="center"/>
    </xf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26" xfId="0" applyBorder="1" applyAlignment="1">
      <alignment horizontal="right"/>
    </xf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7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7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7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right"/>
    </xf>
    <xf numFmtId="167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3" fillId="0" borderId="37" xfId="0" applyFont="1" applyBorder="1" applyAlignment="1">
      <alignment horizontal="center"/>
    </xf>
    <xf numFmtId="0" fontId="5" fillId="0" borderId="38" xfId="0" applyFont="1" applyBorder="1"/>
    <xf numFmtId="0" fontId="3" fillId="0" borderId="38" xfId="0" applyFont="1" applyBorder="1" applyAlignment="1">
      <alignment textRotation="255"/>
    </xf>
    <xf numFmtId="0" fontId="0" fillId="0" borderId="38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3" fillId="0" borderId="11" xfId="0" applyFont="1" applyBorder="1" applyAlignment="1">
      <alignment horizontal="right"/>
    </xf>
    <xf numFmtId="0" fontId="3" fillId="0" borderId="38" xfId="0" applyFont="1" applyBorder="1"/>
    <xf numFmtId="0" fontId="0" fillId="0" borderId="38" xfId="0" applyBorder="1"/>
    <xf numFmtId="164" fontId="3" fillId="0" borderId="26" xfId="0" applyNumberFormat="1" applyFont="1" applyBorder="1" applyAlignment="1">
      <alignment horizontal="right"/>
    </xf>
    <xf numFmtId="0" fontId="0" fillId="5" borderId="0" xfId="0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0" fillId="5" borderId="0" xfId="1" applyFill="1" applyAlignment="1" applyProtection="1">
      <protection locked="0"/>
    </xf>
    <xf numFmtId="0" fontId="0" fillId="4" borderId="0" xfId="0" applyFill="1" applyAlignment="1">
      <alignment horizontal="center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6" fontId="8" fillId="0" borderId="0" xfId="0" applyNumberFormat="1" applyFont="1"/>
    <xf numFmtId="0" fontId="0" fillId="6" borderId="15" xfId="0" applyFill="1" applyBorder="1" applyAlignment="1">
      <alignment horizontal="center"/>
    </xf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7" fontId="22" fillId="0" borderId="0" xfId="0" applyNumberFormat="1" applyFont="1" applyAlignment="1">
      <alignment horizontal="right"/>
    </xf>
    <xf numFmtId="167" fontId="23" fillId="0" borderId="0" xfId="0" applyNumberFormat="1" applyFont="1" applyAlignment="1">
      <alignment horizontal="right"/>
    </xf>
    <xf numFmtId="167" fontId="24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167" fontId="18" fillId="0" borderId="0" xfId="0" applyNumberFormat="1" applyFont="1" applyAlignment="1">
      <alignment horizontal="center"/>
    </xf>
    <xf numFmtId="167" fontId="26" fillId="0" borderId="3" xfId="0" applyNumberFormat="1" applyFont="1" applyBorder="1" applyAlignment="1">
      <alignment horizontal="right"/>
    </xf>
    <xf numFmtId="167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3" fillId="0" borderId="40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164" fontId="4" fillId="0" borderId="11" xfId="0" applyNumberFormat="1" applyFont="1" applyBorder="1"/>
    <xf numFmtId="164" fontId="27" fillId="0" borderId="11" xfId="0" applyNumberFormat="1" applyFont="1" applyBorder="1"/>
    <xf numFmtId="168" fontId="2" fillId="0" borderId="0" xfId="0" applyNumberFormat="1" applyFont="1"/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167" fontId="0" fillId="5" borderId="0" xfId="0" applyNumberFormat="1" applyFill="1" applyProtection="1">
      <protection locked="0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1" xfId="0" applyFont="1" applyBorder="1"/>
    <xf numFmtId="0" fontId="8" fillId="0" borderId="11" xfId="0" applyFont="1" applyBorder="1"/>
    <xf numFmtId="0" fontId="0" fillId="7" borderId="15" xfId="0" applyFill="1" applyBorder="1" applyAlignment="1">
      <alignment horizontal="center"/>
    </xf>
    <xf numFmtId="49" fontId="30" fillId="5" borderId="0" xfId="0" applyNumberFormat="1" applyFont="1" applyFill="1" applyAlignment="1">
      <alignment horizontal="center" vertical="center"/>
    </xf>
    <xf numFmtId="0" fontId="0" fillId="0" borderId="41" xfId="0" applyBorder="1" applyAlignment="1">
      <alignment textRotation="255"/>
    </xf>
    <xf numFmtId="0" fontId="0" fillId="0" borderId="15" xfId="0" applyBorder="1"/>
    <xf numFmtId="0" fontId="0" fillId="0" borderId="32" xfId="0" applyBorder="1"/>
    <xf numFmtId="0" fontId="0" fillId="0" borderId="42" xfId="0" applyBorder="1"/>
    <xf numFmtId="0" fontId="0" fillId="0" borderId="41" xfId="0" applyBorder="1"/>
    <xf numFmtId="164" fontId="3" fillId="0" borderId="11" xfId="0" applyNumberFormat="1" applyFont="1" applyBorder="1"/>
    <xf numFmtId="0" fontId="14" fillId="8" borderId="0" xfId="0" applyFont="1" applyFill="1" applyAlignment="1">
      <alignment horizontal="center" vertical="center"/>
    </xf>
    <xf numFmtId="0" fontId="14" fillId="8" borderId="0" xfId="0" applyFont="1" applyFill="1"/>
    <xf numFmtId="0" fontId="2" fillId="8" borderId="0" xfId="0" applyFont="1" applyFill="1" applyAlignment="1">
      <alignment vertical="center"/>
    </xf>
    <xf numFmtId="0" fontId="0" fillId="9" borderId="0" xfId="0" applyFill="1"/>
    <xf numFmtId="0" fontId="0" fillId="9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8" fillId="3" borderId="11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167" fontId="4" fillId="0" borderId="0" xfId="0" applyNumberFormat="1" applyFont="1" applyAlignment="1">
      <alignment horizontal="right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164" fontId="29" fillId="0" borderId="11" xfId="0" applyNumberFormat="1" applyFont="1" applyBorder="1"/>
    <xf numFmtId="49" fontId="4" fillId="0" borderId="11" xfId="0" applyNumberFormat="1" applyFont="1" applyBorder="1"/>
    <xf numFmtId="49" fontId="4" fillId="0" borderId="25" xfId="0" applyNumberFormat="1" applyFont="1" applyBorder="1"/>
    <xf numFmtId="0" fontId="8" fillId="10" borderId="11" xfId="0" applyFont="1" applyFill="1" applyBorder="1" applyAlignment="1" applyProtection="1">
      <alignment horizontal="center"/>
      <protection locked="0"/>
    </xf>
    <xf numFmtId="0" fontId="8" fillId="0" borderId="11" xfId="0" applyFont="1" applyBorder="1" applyProtection="1">
      <protection locked="0"/>
    </xf>
    <xf numFmtId="0" fontId="8" fillId="11" borderId="11" xfId="0" applyFont="1" applyFill="1" applyBorder="1"/>
    <xf numFmtId="0" fontId="8" fillId="0" borderId="9" xfId="0" applyFont="1" applyBorder="1"/>
    <xf numFmtId="0" fontId="8" fillId="0" borderId="18" xfId="0" applyFont="1" applyBorder="1"/>
    <xf numFmtId="0" fontId="12" fillId="0" borderId="18" xfId="0" applyFont="1" applyBorder="1" applyProtection="1">
      <protection locked="0"/>
    </xf>
    <xf numFmtId="0" fontId="8" fillId="11" borderId="18" xfId="0" applyFont="1" applyFill="1" applyBorder="1" applyProtection="1">
      <protection locked="0"/>
    </xf>
    <xf numFmtId="0" fontId="8" fillId="0" borderId="18" xfId="0" quotePrefix="1" applyFont="1" applyBorder="1" applyProtection="1">
      <protection locked="0"/>
    </xf>
    <xf numFmtId="0" fontId="8" fillId="11" borderId="0" xfId="0" applyFont="1" applyFill="1" applyProtection="1">
      <protection locked="0"/>
    </xf>
    <xf numFmtId="0" fontId="12" fillId="0" borderId="0" xfId="0" applyFont="1" applyProtection="1">
      <protection locked="0"/>
    </xf>
    <xf numFmtId="0" fontId="12" fillId="11" borderId="18" xfId="0" applyFont="1" applyFill="1" applyBorder="1" applyProtection="1">
      <protection locked="0"/>
    </xf>
    <xf numFmtId="0" fontId="8" fillId="11" borderId="9" xfId="0" applyFont="1" applyFill="1" applyBorder="1" applyProtection="1">
      <protection locked="0"/>
    </xf>
    <xf numFmtId="0" fontId="8" fillId="0" borderId="18" xfId="0" applyFont="1" applyBorder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12" fillId="0" borderId="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9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0" fillId="12" borderId="0" xfId="0" applyFill="1"/>
    <xf numFmtId="0" fontId="0" fillId="13" borderId="11" xfId="0" applyFill="1" applyBorder="1" applyAlignment="1">
      <alignment horizontal="center"/>
    </xf>
    <xf numFmtId="0" fontId="31" fillId="4" borderId="0" xfId="0" applyFont="1" applyFill="1" applyAlignment="1">
      <alignment horizontal="center"/>
    </xf>
    <xf numFmtId="0" fontId="4" fillId="0" borderId="38" xfId="0" applyFont="1" applyBorder="1" applyAlignment="1">
      <alignment textRotation="255"/>
    </xf>
    <xf numFmtId="0" fontId="8" fillId="0" borderId="0" xfId="0" applyFont="1" applyFill="1"/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HTS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HTS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showGridLines="0" topLeftCell="A4" zoomScale="90" zoomScaleNormal="90" zoomScaleSheetLayoutView="80" workbookViewId="0">
      <selection activeCell="C23" sqref="C23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3" customWidth="1"/>
    <col min="6" max="6" width="11.42578125" style="110" customWidth="1"/>
    <col min="7" max="7" width="20" style="185" customWidth="1"/>
    <col min="8" max="8" width="86.42578125" customWidth="1"/>
    <col min="9" max="9" width="12.28515625" bestFit="1" customWidth="1"/>
  </cols>
  <sheetData>
    <row r="1" spans="1:18" x14ac:dyDescent="0.2">
      <c r="A1" s="103"/>
      <c r="B1" s="102"/>
      <c r="C1" s="29"/>
      <c r="D1" s="30"/>
      <c r="E1" s="115"/>
      <c r="F1" s="111"/>
      <c r="G1" s="114"/>
      <c r="K1" s="3"/>
    </row>
    <row r="2" spans="1:18" ht="18" x14ac:dyDescent="0.25">
      <c r="A2" s="254" t="s">
        <v>104</v>
      </c>
      <c r="B2" s="255"/>
      <c r="C2" s="255"/>
      <c r="D2" s="256"/>
      <c r="E2" s="105"/>
      <c r="F2" s="112"/>
      <c r="G2" s="182"/>
      <c r="H2" s="18"/>
      <c r="I2" s="18"/>
      <c r="J2" s="18"/>
      <c r="K2" s="18"/>
      <c r="L2" t="s">
        <v>369</v>
      </c>
    </row>
    <row r="3" spans="1:18" ht="18" x14ac:dyDescent="0.25">
      <c r="A3" s="254"/>
      <c r="B3" s="255"/>
      <c r="C3" s="255"/>
      <c r="D3" s="256"/>
      <c r="E3" s="105"/>
      <c r="F3" s="112"/>
      <c r="G3" s="182"/>
      <c r="H3" s="18"/>
      <c r="I3" s="18"/>
      <c r="J3" s="18"/>
      <c r="K3" s="18"/>
      <c r="L3" t="s">
        <v>368</v>
      </c>
    </row>
    <row r="4" spans="1:18" ht="18" x14ac:dyDescent="0.25">
      <c r="A4" s="36"/>
      <c r="B4" s="18"/>
      <c r="C4" s="18"/>
      <c r="D4" s="35"/>
      <c r="E4" s="105"/>
      <c r="F4" s="112"/>
      <c r="G4" s="182"/>
      <c r="H4" s="18"/>
      <c r="I4" s="18"/>
      <c r="J4" s="18"/>
      <c r="K4" s="18"/>
    </row>
    <row r="5" spans="1:18" ht="16.5" thickBot="1" x14ac:dyDescent="0.3">
      <c r="A5" s="132"/>
      <c r="B5" s="133" t="str">
        <f>Issue</f>
        <v>2024 Show Season V1 7/22/2024</v>
      </c>
      <c r="C5" s="201" t="s">
        <v>343</v>
      </c>
      <c r="D5" s="134"/>
      <c r="E5" s="135"/>
      <c r="F5" s="136"/>
      <c r="G5" s="183"/>
      <c r="K5" s="3"/>
    </row>
    <row r="6" spans="1:18" ht="16.5" thickBot="1" x14ac:dyDescent="0.3">
      <c r="A6" s="132"/>
      <c r="B6" s="133"/>
      <c r="C6" s="151" t="s">
        <v>105</v>
      </c>
      <c r="D6" s="134"/>
      <c r="E6" s="137" t="s">
        <v>4</v>
      </c>
      <c r="F6" s="138"/>
      <c r="G6" s="184"/>
      <c r="H6" s="150" t="s">
        <v>266</v>
      </c>
      <c r="I6" s="257" t="s">
        <v>370</v>
      </c>
      <c r="J6" s="257"/>
      <c r="K6" s="257"/>
      <c r="L6" s="258"/>
    </row>
    <row r="7" spans="1:18" ht="15" x14ac:dyDescent="0.2">
      <c r="A7" s="251" t="s">
        <v>106</v>
      </c>
      <c r="B7" s="139"/>
      <c r="C7" s="152" t="s">
        <v>107</v>
      </c>
      <c r="D7" s="140"/>
      <c r="E7" s="141" t="s">
        <v>203</v>
      </c>
      <c r="F7" s="142" t="s">
        <v>205</v>
      </c>
      <c r="G7" s="186" t="s">
        <v>283</v>
      </c>
      <c r="K7" s="19"/>
    </row>
    <row r="8" spans="1:18" ht="15" x14ac:dyDescent="0.2">
      <c r="A8" s="248" t="s">
        <v>117</v>
      </c>
      <c r="B8" s="139" t="s">
        <v>190</v>
      </c>
      <c r="C8" s="225">
        <v>2</v>
      </c>
      <c r="D8" s="143">
        <f t="shared" ref="D8:D30" si="0">D7+1</f>
        <v>1</v>
      </c>
      <c r="E8" s="137">
        <v>38</v>
      </c>
      <c r="F8" s="187">
        <v>-4.8780487804876316E-2</v>
      </c>
      <c r="G8" s="226" t="s">
        <v>336</v>
      </c>
      <c r="H8" s="189" t="s">
        <v>367</v>
      </c>
      <c r="I8" s="168"/>
      <c r="J8" s="168"/>
      <c r="K8" s="169"/>
      <c r="L8" s="168"/>
      <c r="M8" s="168"/>
      <c r="N8" s="189"/>
      <c r="O8" s="168"/>
      <c r="P8" s="168"/>
      <c r="Q8" s="168"/>
      <c r="R8" s="168"/>
    </row>
    <row r="9" spans="1:18" ht="15" x14ac:dyDescent="0.2">
      <c r="A9" s="249" t="s">
        <v>301</v>
      </c>
      <c r="B9" s="205" t="s">
        <v>302</v>
      </c>
      <c r="C9" s="234">
        <v>0</v>
      </c>
      <c r="D9" s="143">
        <f t="shared" si="0"/>
        <v>2</v>
      </c>
      <c r="E9" s="137">
        <v>0</v>
      </c>
      <c r="F9" s="188">
        <v>0</v>
      </c>
      <c r="G9" s="226" t="s">
        <v>328</v>
      </c>
      <c r="H9" s="189"/>
      <c r="I9" s="168"/>
      <c r="J9" s="168"/>
      <c r="K9" s="169"/>
      <c r="L9" s="168"/>
      <c r="M9" s="168"/>
      <c r="N9" s="189"/>
      <c r="O9" s="168"/>
      <c r="P9" s="189"/>
      <c r="Q9" s="168"/>
      <c r="R9" s="168"/>
    </row>
    <row r="10" spans="1:18" ht="15" x14ac:dyDescent="0.2">
      <c r="A10" s="248" t="s">
        <v>26</v>
      </c>
      <c r="B10" s="139" t="s">
        <v>194</v>
      </c>
      <c r="C10" s="225">
        <v>2</v>
      </c>
      <c r="D10" s="143">
        <f t="shared" si="0"/>
        <v>3</v>
      </c>
      <c r="E10" s="137">
        <v>38</v>
      </c>
      <c r="F10" s="187">
        <v>-4.8780487804876316E-2</v>
      </c>
      <c r="G10" s="226" t="s">
        <v>275</v>
      </c>
      <c r="H10" s="168" t="s">
        <v>284</v>
      </c>
      <c r="I10" s="168"/>
      <c r="J10" s="168"/>
      <c r="K10" s="169"/>
      <c r="L10" s="168"/>
      <c r="M10" s="200"/>
      <c r="N10" s="168"/>
      <c r="O10" s="168"/>
      <c r="P10" s="168"/>
      <c r="Q10" s="168"/>
      <c r="R10" s="168"/>
    </row>
    <row r="11" spans="1:18" ht="15" x14ac:dyDescent="0.2">
      <c r="A11" s="248" t="s">
        <v>108</v>
      </c>
      <c r="B11" s="139" t="s">
        <v>109</v>
      </c>
      <c r="C11" s="225">
        <v>1</v>
      </c>
      <c r="D11" s="143">
        <f t="shared" si="0"/>
        <v>4</v>
      </c>
      <c r="E11" s="137">
        <v>19</v>
      </c>
      <c r="F11" s="187">
        <v>-2.4390243902438158E-2</v>
      </c>
      <c r="G11" s="226" t="s">
        <v>332</v>
      </c>
      <c r="H11" s="189" t="s">
        <v>292</v>
      </c>
      <c r="I11" s="168"/>
      <c r="J11" s="168"/>
      <c r="K11" s="169"/>
      <c r="L11" s="168"/>
      <c r="M11" s="168"/>
      <c r="N11" s="168"/>
      <c r="O11" s="168"/>
      <c r="P11" s="168"/>
      <c r="Q11" s="168"/>
      <c r="R11" s="168"/>
    </row>
    <row r="12" spans="1:18" ht="15" x14ac:dyDescent="0.2">
      <c r="A12" s="248" t="s">
        <v>18</v>
      </c>
      <c r="B12" s="139" t="s">
        <v>110</v>
      </c>
      <c r="C12" s="225">
        <v>2</v>
      </c>
      <c r="D12" s="143">
        <f t="shared" si="0"/>
        <v>5</v>
      </c>
      <c r="E12" s="137">
        <v>38</v>
      </c>
      <c r="F12" s="187">
        <v>-4.8780487804876316E-2</v>
      </c>
      <c r="G12" s="226" t="s">
        <v>333</v>
      </c>
      <c r="H12" s="189"/>
      <c r="I12" s="168"/>
      <c r="J12" s="168"/>
      <c r="K12" s="169"/>
      <c r="L12" s="168"/>
      <c r="M12" s="168"/>
      <c r="N12" s="168"/>
      <c r="O12" s="168"/>
      <c r="P12" s="168"/>
      <c r="Q12" s="168"/>
      <c r="R12" s="168"/>
    </row>
    <row r="13" spans="1:18" ht="15" x14ac:dyDescent="0.2">
      <c r="A13" s="248" t="s">
        <v>47</v>
      </c>
      <c r="B13" s="139" t="s">
        <v>111</v>
      </c>
      <c r="C13" s="225">
        <v>3</v>
      </c>
      <c r="D13" s="143">
        <f t="shared" si="0"/>
        <v>6</v>
      </c>
      <c r="E13" s="137">
        <v>57</v>
      </c>
      <c r="F13" s="187">
        <v>-7.3170731707314474E-2</v>
      </c>
      <c r="G13" s="226" t="s">
        <v>305</v>
      </c>
      <c r="H13" s="168"/>
      <c r="I13" s="168"/>
      <c r="J13" s="168"/>
      <c r="K13" s="169"/>
      <c r="L13" s="168"/>
      <c r="M13" s="168"/>
      <c r="N13" s="168"/>
      <c r="O13" s="168"/>
      <c r="P13" s="168"/>
      <c r="Q13" s="168"/>
      <c r="R13" s="168"/>
    </row>
    <row r="14" spans="1:18" ht="15" x14ac:dyDescent="0.2">
      <c r="A14" s="248" t="s">
        <v>113</v>
      </c>
      <c r="B14" s="205" t="s">
        <v>298</v>
      </c>
      <c r="C14" s="225">
        <v>2</v>
      </c>
      <c r="D14" s="143">
        <f t="shared" si="0"/>
        <v>7</v>
      </c>
      <c r="E14" s="137">
        <v>37</v>
      </c>
      <c r="F14" s="187">
        <v>-1.0487804878048763</v>
      </c>
      <c r="G14" s="226" t="s">
        <v>334</v>
      </c>
      <c r="H14" s="168"/>
      <c r="I14" s="168"/>
      <c r="J14" s="168"/>
      <c r="K14" s="169"/>
      <c r="L14" s="168"/>
      <c r="M14" s="168"/>
      <c r="N14" s="168"/>
      <c r="O14" s="168"/>
      <c r="P14" s="168"/>
      <c r="Q14" s="168"/>
      <c r="R14" s="168"/>
    </row>
    <row r="15" spans="1:18" ht="15" x14ac:dyDescent="0.2">
      <c r="A15" s="248" t="s">
        <v>38</v>
      </c>
      <c r="B15" s="139" t="s">
        <v>112</v>
      </c>
      <c r="C15" s="225">
        <v>2</v>
      </c>
      <c r="D15" s="143">
        <f t="shared" si="0"/>
        <v>8</v>
      </c>
      <c r="E15" s="137">
        <v>40</v>
      </c>
      <c r="F15" s="188">
        <v>1.9512195121951237</v>
      </c>
      <c r="G15" s="226" t="s">
        <v>277</v>
      </c>
      <c r="H15" s="189" t="s">
        <v>331</v>
      </c>
      <c r="I15" s="168"/>
      <c r="J15" s="168"/>
      <c r="K15" s="169"/>
      <c r="L15" s="168"/>
      <c r="M15" s="168"/>
      <c r="N15" s="168"/>
      <c r="O15" s="168"/>
      <c r="P15" s="168"/>
      <c r="Q15" s="168"/>
      <c r="R15" s="168"/>
    </row>
    <row r="16" spans="1:18" ht="15" x14ac:dyDescent="0.2">
      <c r="A16" s="248" t="s">
        <v>115</v>
      </c>
      <c r="B16" s="144" t="s">
        <v>116</v>
      </c>
      <c r="C16" s="225">
        <v>2</v>
      </c>
      <c r="D16" s="143">
        <f t="shared" si="0"/>
        <v>9</v>
      </c>
      <c r="E16" s="137">
        <v>48</v>
      </c>
      <c r="F16" s="188">
        <v>9.9512195121951237</v>
      </c>
      <c r="G16" s="226" t="s">
        <v>300</v>
      </c>
      <c r="H16" s="189"/>
      <c r="I16" s="168"/>
      <c r="J16" s="168"/>
      <c r="K16" s="169"/>
      <c r="L16" s="168"/>
      <c r="M16" s="168"/>
      <c r="N16" s="168"/>
      <c r="O16" s="168"/>
      <c r="P16" s="168"/>
      <c r="Q16" s="168"/>
      <c r="R16" s="168"/>
    </row>
    <row r="17" spans="1:18" ht="15" x14ac:dyDescent="0.2">
      <c r="A17" s="248" t="s">
        <v>114</v>
      </c>
      <c r="B17" s="139" t="s">
        <v>192</v>
      </c>
      <c r="C17" s="225">
        <v>2</v>
      </c>
      <c r="D17" s="143">
        <f t="shared" si="0"/>
        <v>10</v>
      </c>
      <c r="E17" s="137">
        <v>38</v>
      </c>
      <c r="F17" s="187">
        <v>-4.8780487804876316E-2</v>
      </c>
      <c r="G17" s="226" t="s">
        <v>282</v>
      </c>
      <c r="H17" s="189"/>
      <c r="I17" s="168"/>
      <c r="J17" s="168"/>
      <c r="K17" s="169"/>
      <c r="L17" s="168"/>
      <c r="M17" s="168"/>
      <c r="N17" s="168"/>
      <c r="O17" s="168"/>
      <c r="P17" s="168"/>
      <c r="Q17" s="168"/>
      <c r="R17" s="168"/>
    </row>
    <row r="18" spans="1:18" ht="15" x14ac:dyDescent="0.2">
      <c r="A18" s="249" t="s">
        <v>303</v>
      </c>
      <c r="B18" s="205" t="s">
        <v>304</v>
      </c>
      <c r="C18" s="225">
        <v>1</v>
      </c>
      <c r="D18" s="143">
        <f t="shared" si="0"/>
        <v>11</v>
      </c>
      <c r="E18" s="137">
        <v>19</v>
      </c>
      <c r="F18" s="187">
        <v>-2.4390243902438158E-2</v>
      </c>
      <c r="G18" s="226" t="s">
        <v>330</v>
      </c>
      <c r="H18" s="189"/>
      <c r="I18" s="168"/>
      <c r="J18" s="168"/>
      <c r="K18" s="169"/>
      <c r="L18" s="168"/>
      <c r="M18" s="168"/>
      <c r="N18" s="168"/>
      <c r="O18" s="189"/>
      <c r="P18" s="168"/>
      <c r="Q18" s="168"/>
      <c r="R18" s="168"/>
    </row>
    <row r="19" spans="1:18" ht="15" x14ac:dyDescent="0.2">
      <c r="A19" s="248" t="s">
        <v>188</v>
      </c>
      <c r="B19" s="139" t="s">
        <v>189</v>
      </c>
      <c r="C19" s="225">
        <v>1</v>
      </c>
      <c r="D19" s="143">
        <f t="shared" si="0"/>
        <v>12</v>
      </c>
      <c r="E19" s="137">
        <v>19</v>
      </c>
      <c r="F19" s="187">
        <v>-2.4390243902438158E-2</v>
      </c>
      <c r="G19" s="226" t="s">
        <v>355</v>
      </c>
      <c r="H19" s="189"/>
      <c r="I19" s="168"/>
      <c r="J19" s="168"/>
      <c r="K19" s="169"/>
      <c r="L19" s="168"/>
      <c r="M19" s="168"/>
      <c r="N19" s="168"/>
      <c r="O19" s="168"/>
      <c r="P19" s="168"/>
      <c r="Q19" s="168"/>
      <c r="R19" s="168"/>
    </row>
    <row r="20" spans="1:18" ht="15" x14ac:dyDescent="0.2">
      <c r="A20" s="248" t="s">
        <v>31</v>
      </c>
      <c r="B20" s="139" t="s">
        <v>191</v>
      </c>
      <c r="C20" s="225">
        <v>2</v>
      </c>
      <c r="D20" s="143">
        <f t="shared" si="0"/>
        <v>13</v>
      </c>
      <c r="E20" s="137">
        <v>38</v>
      </c>
      <c r="F20" s="187">
        <v>-4.8780487804876316E-2</v>
      </c>
      <c r="G20" s="226" t="s">
        <v>299</v>
      </c>
      <c r="H20" s="168" t="s">
        <v>270</v>
      </c>
      <c r="I20" s="168"/>
      <c r="J20" s="168"/>
      <c r="K20" s="169"/>
      <c r="L20" s="168"/>
      <c r="M20" s="168"/>
      <c r="N20" s="168"/>
      <c r="O20" s="168"/>
      <c r="P20" s="168"/>
      <c r="Q20" s="168"/>
      <c r="R20" s="168"/>
    </row>
    <row r="21" spans="1:18" ht="15" x14ac:dyDescent="0.2">
      <c r="A21" s="249" t="s">
        <v>353</v>
      </c>
      <c r="B21" s="205" t="s">
        <v>352</v>
      </c>
      <c r="C21" s="225">
        <v>2</v>
      </c>
      <c r="D21" s="143">
        <f t="shared" si="0"/>
        <v>14</v>
      </c>
      <c r="E21" s="137">
        <v>0</v>
      </c>
      <c r="F21" s="187">
        <v>-38.048780487804876</v>
      </c>
      <c r="G21" s="226" t="s">
        <v>356</v>
      </c>
      <c r="H21" s="189" t="s">
        <v>357</v>
      </c>
      <c r="I21" s="168"/>
      <c r="J21" s="168"/>
      <c r="K21" s="169"/>
      <c r="L21" s="168"/>
      <c r="M21" s="168"/>
      <c r="N21" s="168"/>
      <c r="O21" s="168"/>
      <c r="P21" s="168"/>
      <c r="Q21" s="168"/>
      <c r="R21" s="168"/>
    </row>
    <row r="22" spans="1:18" ht="15" x14ac:dyDescent="0.2">
      <c r="A22" s="248" t="s">
        <v>124</v>
      </c>
      <c r="B22" s="139" t="s">
        <v>125</v>
      </c>
      <c r="C22" s="225">
        <v>2</v>
      </c>
      <c r="D22" s="143">
        <f t="shared" si="0"/>
        <v>15</v>
      </c>
      <c r="E22" s="137">
        <v>37</v>
      </c>
      <c r="F22" s="187">
        <v>-1.0487804878048763</v>
      </c>
      <c r="G22" s="226" t="s">
        <v>335</v>
      </c>
      <c r="H22" s="168"/>
      <c r="I22" s="168"/>
      <c r="J22" s="168"/>
      <c r="K22" s="169"/>
      <c r="L22" s="168"/>
      <c r="M22" s="168"/>
      <c r="N22" s="168"/>
      <c r="O22" s="168"/>
      <c r="P22" s="168"/>
      <c r="Q22" s="168"/>
      <c r="R22" s="168"/>
    </row>
    <row r="23" spans="1:18" ht="15" x14ac:dyDescent="0.2">
      <c r="A23" s="248" t="s">
        <v>118</v>
      </c>
      <c r="B23" s="139" t="s">
        <v>193</v>
      </c>
      <c r="C23" s="225">
        <v>1</v>
      </c>
      <c r="D23" s="143">
        <f t="shared" si="0"/>
        <v>16</v>
      </c>
      <c r="E23" s="137">
        <v>18</v>
      </c>
      <c r="F23" s="187">
        <v>-1.0243902439024382</v>
      </c>
      <c r="G23" s="226" t="s">
        <v>329</v>
      </c>
      <c r="H23" s="168"/>
      <c r="I23" s="168"/>
      <c r="J23" s="168"/>
      <c r="K23" s="169"/>
      <c r="L23" s="168"/>
      <c r="M23" s="168"/>
      <c r="N23" s="168"/>
      <c r="O23" s="168"/>
      <c r="P23" s="168"/>
      <c r="Q23" s="168"/>
      <c r="R23" s="168"/>
    </row>
    <row r="24" spans="1:18" ht="15" x14ac:dyDescent="0.2">
      <c r="A24" s="248" t="s">
        <v>49</v>
      </c>
      <c r="B24" s="139" t="s">
        <v>121</v>
      </c>
      <c r="C24" s="225">
        <v>3</v>
      </c>
      <c r="D24" s="143">
        <f t="shared" si="0"/>
        <v>17</v>
      </c>
      <c r="E24" s="137">
        <v>56</v>
      </c>
      <c r="F24" s="187">
        <v>-1.0731707317073145</v>
      </c>
      <c r="G24" s="226" t="s">
        <v>354</v>
      </c>
      <c r="H24" s="189"/>
      <c r="I24" s="168"/>
      <c r="J24" s="168"/>
      <c r="K24" s="169"/>
      <c r="L24" s="168"/>
      <c r="M24" s="168"/>
      <c r="N24" s="168"/>
      <c r="O24" s="189"/>
      <c r="P24" s="168"/>
      <c r="Q24" s="168"/>
      <c r="R24" s="168"/>
    </row>
    <row r="25" spans="1:18" ht="15" x14ac:dyDescent="0.2">
      <c r="A25" s="248" t="s">
        <v>119</v>
      </c>
      <c r="B25" s="139" t="s">
        <v>120</v>
      </c>
      <c r="C25" s="225">
        <v>2</v>
      </c>
      <c r="D25" s="143">
        <f t="shared" si="0"/>
        <v>18</v>
      </c>
      <c r="E25" s="137">
        <v>37</v>
      </c>
      <c r="F25" s="187">
        <v>-1.0487804878048763</v>
      </c>
      <c r="G25" s="226" t="s">
        <v>278</v>
      </c>
      <c r="H25" s="168"/>
      <c r="I25" s="168"/>
      <c r="J25" s="168"/>
      <c r="K25" s="169"/>
      <c r="L25" s="168"/>
      <c r="M25" s="168"/>
      <c r="N25" s="168"/>
      <c r="O25" s="168"/>
      <c r="P25" s="168"/>
      <c r="Q25" s="168"/>
      <c r="R25" s="168"/>
    </row>
    <row r="26" spans="1:18" ht="15" x14ac:dyDescent="0.2">
      <c r="A26" s="248" t="s">
        <v>57</v>
      </c>
      <c r="B26" s="139" t="s">
        <v>201</v>
      </c>
      <c r="C26" s="225">
        <v>3</v>
      </c>
      <c r="D26" s="143">
        <f t="shared" si="0"/>
        <v>19</v>
      </c>
      <c r="E26" s="137">
        <v>56</v>
      </c>
      <c r="F26" s="187">
        <v>-1.0731707317073145</v>
      </c>
      <c r="G26" s="226" t="s">
        <v>279</v>
      </c>
      <c r="H26" s="189"/>
      <c r="I26" s="168"/>
      <c r="J26" s="168"/>
      <c r="K26" s="169"/>
      <c r="L26" s="168"/>
      <c r="M26" s="168"/>
      <c r="N26" s="168"/>
      <c r="O26" s="168"/>
      <c r="P26" s="168"/>
      <c r="Q26" s="168"/>
      <c r="R26" s="168"/>
    </row>
    <row r="27" spans="1:18" ht="15" x14ac:dyDescent="0.2">
      <c r="A27" s="249" t="s">
        <v>296</v>
      </c>
      <c r="B27" s="205" t="s">
        <v>297</v>
      </c>
      <c r="C27" s="225">
        <v>1</v>
      </c>
      <c r="D27" s="143">
        <f t="shared" si="0"/>
        <v>20</v>
      </c>
      <c r="E27" s="137">
        <v>18</v>
      </c>
      <c r="F27" s="187">
        <v>-1.0243902439024382</v>
      </c>
      <c r="G27" s="226" t="s">
        <v>276</v>
      </c>
      <c r="H27" s="189"/>
      <c r="I27" s="168"/>
      <c r="J27" s="168"/>
      <c r="K27" s="169"/>
      <c r="L27" s="168"/>
      <c r="M27" s="168"/>
      <c r="N27" s="168"/>
      <c r="O27" s="168"/>
      <c r="P27" s="168"/>
      <c r="Q27" s="168"/>
      <c r="R27" s="168"/>
    </row>
    <row r="28" spans="1:18" ht="15" x14ac:dyDescent="0.2">
      <c r="A28" s="248" t="s">
        <v>52</v>
      </c>
      <c r="B28" s="139" t="s">
        <v>123</v>
      </c>
      <c r="C28" s="225">
        <v>2</v>
      </c>
      <c r="D28" s="143">
        <f t="shared" si="0"/>
        <v>21</v>
      </c>
      <c r="E28" s="137">
        <v>37</v>
      </c>
      <c r="F28" s="187">
        <v>-1.0487804878048763</v>
      </c>
      <c r="G28" s="226" t="s">
        <v>338</v>
      </c>
      <c r="H28" s="189">
        <v>0</v>
      </c>
      <c r="I28" s="168"/>
      <c r="J28" s="168"/>
      <c r="K28" s="169"/>
      <c r="L28" s="170"/>
      <c r="M28" s="168"/>
      <c r="N28" s="168"/>
      <c r="O28" s="168"/>
      <c r="P28" s="168"/>
      <c r="Q28" s="168"/>
      <c r="R28" s="168"/>
    </row>
    <row r="29" spans="1:18" ht="15" x14ac:dyDescent="0.2">
      <c r="A29" s="248" t="s">
        <v>8</v>
      </c>
      <c r="B29" s="139" t="s">
        <v>281</v>
      </c>
      <c r="C29" s="225">
        <v>2</v>
      </c>
      <c r="D29" s="143">
        <f t="shared" si="0"/>
        <v>22</v>
      </c>
      <c r="E29" s="137">
        <v>37</v>
      </c>
      <c r="F29" s="187">
        <v>-1.0487804878048763</v>
      </c>
      <c r="G29" s="226" t="s">
        <v>337</v>
      </c>
      <c r="H29" s="189"/>
      <c r="I29" s="168"/>
      <c r="J29" s="168"/>
      <c r="K29" s="169"/>
      <c r="L29" s="168"/>
      <c r="M29" s="168"/>
      <c r="N29" s="168"/>
      <c r="O29" s="168"/>
      <c r="P29" s="168"/>
      <c r="Q29" s="168"/>
      <c r="R29" s="168"/>
    </row>
    <row r="30" spans="1:18" ht="15" x14ac:dyDescent="0.2">
      <c r="A30" s="248" t="s">
        <v>28</v>
      </c>
      <c r="B30" s="139" t="s">
        <v>122</v>
      </c>
      <c r="C30" s="225">
        <v>1</v>
      </c>
      <c r="D30" s="143">
        <f t="shared" si="0"/>
        <v>23</v>
      </c>
      <c r="E30" s="137">
        <v>18</v>
      </c>
      <c r="F30" s="187">
        <v>-1.0243902439024382</v>
      </c>
      <c r="G30" s="226" t="s">
        <v>280</v>
      </c>
      <c r="H30" s="168"/>
      <c r="I30" s="168"/>
      <c r="J30" s="168"/>
      <c r="K30" s="169"/>
      <c r="L30" s="168"/>
      <c r="M30" s="168"/>
      <c r="N30" s="168"/>
      <c r="O30" s="168"/>
      <c r="P30" s="168"/>
      <c r="Q30" s="168"/>
      <c r="R30" s="168"/>
    </row>
    <row r="31" spans="1:18" ht="15" x14ac:dyDescent="0.2">
      <c r="A31" s="250"/>
      <c r="B31" s="139"/>
      <c r="C31" s="225"/>
      <c r="D31" s="143"/>
      <c r="E31" s="137"/>
      <c r="F31" s="187"/>
      <c r="G31" s="226"/>
      <c r="H31" s="168"/>
      <c r="I31" s="168"/>
      <c r="J31" s="168"/>
      <c r="K31" s="169"/>
      <c r="L31" s="168"/>
      <c r="M31" s="168"/>
      <c r="N31" s="168"/>
      <c r="O31" s="168"/>
      <c r="P31" s="168"/>
      <c r="Q31" s="168"/>
      <c r="R31" s="168"/>
    </row>
    <row r="32" spans="1:18" ht="15" x14ac:dyDescent="0.2">
      <c r="A32" s="132"/>
      <c r="B32" s="133"/>
      <c r="C32" s="247"/>
      <c r="D32" s="146"/>
      <c r="E32" s="137"/>
      <c r="F32" s="187"/>
      <c r="G32" s="226"/>
      <c r="H32" s="168"/>
      <c r="I32" s="168"/>
      <c r="J32" s="168"/>
      <c r="K32" s="169"/>
      <c r="L32" s="168"/>
      <c r="M32" s="168"/>
      <c r="N32" s="168"/>
      <c r="O32" s="168"/>
      <c r="P32" s="168"/>
      <c r="Q32" s="168"/>
      <c r="R32" s="168"/>
    </row>
    <row r="33" spans="1:11" ht="15.75" thickBot="1" x14ac:dyDescent="0.25">
      <c r="A33" s="132"/>
      <c r="B33" s="133"/>
      <c r="C33" s="145"/>
      <c r="D33" s="146"/>
      <c r="E33" s="137"/>
      <c r="F33" s="138"/>
      <c r="K33" s="3"/>
    </row>
    <row r="34" spans="1:11" ht="16.5" thickBot="1" x14ac:dyDescent="0.3">
      <c r="A34" s="16"/>
      <c r="B34" s="150" t="s">
        <v>126</v>
      </c>
      <c r="C34" s="40">
        <f>SUM(C8:C33)</f>
        <v>41</v>
      </c>
      <c r="D34" s="39"/>
      <c r="E34" s="106"/>
      <c r="F34" s="113"/>
      <c r="K34" s="3"/>
    </row>
    <row r="35" spans="1:11" ht="15" x14ac:dyDescent="0.2">
      <c r="A35" s="133"/>
      <c r="B35" s="133"/>
      <c r="C35" s="147"/>
      <c r="D35" s="133"/>
      <c r="E35" s="147" t="s">
        <v>203</v>
      </c>
      <c r="F35" s="148"/>
    </row>
    <row r="36" spans="1:11" ht="15" x14ac:dyDescent="0.2">
      <c r="A36" s="133"/>
      <c r="B36" s="133" t="s">
        <v>170</v>
      </c>
      <c r="C36" s="147">
        <f>GrandTotalHours</f>
        <v>780</v>
      </c>
      <c r="D36" s="133"/>
      <c r="E36" s="147">
        <f>SUM(E7:E35)</f>
        <v>743</v>
      </c>
      <c r="F36" s="148"/>
    </row>
    <row r="37" spans="1:11" ht="15" x14ac:dyDescent="0.2">
      <c r="A37" s="133"/>
      <c r="B37" s="133"/>
      <c r="C37" s="147"/>
      <c r="D37" s="133"/>
      <c r="E37" s="147"/>
      <c r="F37" s="148"/>
    </row>
    <row r="38" spans="1:11" ht="15" x14ac:dyDescent="0.2">
      <c r="A38" s="133"/>
      <c r="B38" s="133" t="s">
        <v>171</v>
      </c>
      <c r="C38" s="149">
        <f>GrandTotalHours/TotalShowShares</f>
        <v>19.024390243902438</v>
      </c>
      <c r="D38" s="133"/>
      <c r="E38" s="147"/>
      <c r="F38" s="14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91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C23" sqref="C23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2" bestFit="1" customWidth="1"/>
  </cols>
  <sheetData>
    <row r="1" spans="1:10" x14ac:dyDescent="0.2">
      <c r="A1" t="s">
        <v>182</v>
      </c>
      <c r="I1" t="s">
        <v>204</v>
      </c>
    </row>
    <row r="3" spans="1:10" x14ac:dyDescent="0.2">
      <c r="C3" t="s">
        <v>177</v>
      </c>
      <c r="D3" t="s">
        <v>178</v>
      </c>
    </row>
    <row r="4" spans="1:10" x14ac:dyDescent="0.2">
      <c r="A4" t="s">
        <v>364</v>
      </c>
      <c r="C4" s="259">
        <f>FindHourlyRows("FALL Friday",FALLFriday)</f>
        <v>8</v>
      </c>
      <c r="D4" s="259" t="e">
        <f>FindHourlyCols("FALLFriday",FALLFriday)</f>
        <v>#VALUE!</v>
      </c>
      <c r="F4" s="21" t="s">
        <v>358</v>
      </c>
      <c r="H4" t="str">
        <f>FALLFriday</f>
        <v>Friday 9/29/2023</v>
      </c>
      <c r="J4">
        <f>ROW(FALLFriday)</f>
        <v>5</v>
      </c>
    </row>
    <row r="5" spans="1:10" x14ac:dyDescent="0.2">
      <c r="A5" t="s">
        <v>365</v>
      </c>
      <c r="C5" s="259" t="e">
        <f>FindHourlyRows(FALL Saturday,FALLSaturday)</f>
        <v>#VALUE!</v>
      </c>
      <c r="D5" s="259" t="e">
        <f>FindHourlyCols("HTS Saturday",FALLSaturday)</f>
        <v>#VALUE!</v>
      </c>
      <c r="F5" s="21" t="s">
        <v>359</v>
      </c>
      <c r="H5" t="str">
        <f>FALLSaturday</f>
        <v>Saturday 9/30/2023</v>
      </c>
      <c r="J5">
        <f>ROW(FALLSaturday)</f>
        <v>5</v>
      </c>
    </row>
    <row r="6" spans="1:10" x14ac:dyDescent="0.2">
      <c r="A6" t="s">
        <v>366</v>
      </c>
      <c r="C6" s="259">
        <f>FindHourlyRows("FALL Sunday",FALLSunday)</f>
        <v>27</v>
      </c>
      <c r="D6" s="259" t="e">
        <f>FindHourlyCols("HTS Sunday",FALLSunday)</f>
        <v>#VALUE!</v>
      </c>
      <c r="F6" s="21" t="s">
        <v>360</v>
      </c>
      <c r="H6" t="str">
        <f>FALLSunday</f>
        <v>Sunday 10/1/2023</v>
      </c>
      <c r="J6">
        <f>ROW(FALLSunday)</f>
        <v>5</v>
      </c>
    </row>
    <row r="7" spans="1:10" x14ac:dyDescent="0.2">
      <c r="A7" t="s">
        <v>179</v>
      </c>
      <c r="C7" s="259">
        <f>FindHourlyRows("DAT Friday",DATFriday)</f>
        <v>8</v>
      </c>
      <c r="D7" s="259">
        <f>FindHourlyCols("DAT Friday",DATFriday)</f>
        <v>16</v>
      </c>
      <c r="F7" t="s">
        <v>361</v>
      </c>
      <c r="H7" t="str">
        <f>DATFriday</f>
        <v>Friday 01/19/2024</v>
      </c>
      <c r="J7">
        <f>ROW(DATFriday)</f>
        <v>5</v>
      </c>
    </row>
    <row r="8" spans="1:10" x14ac:dyDescent="0.2">
      <c r="A8" t="s">
        <v>180</v>
      </c>
      <c r="C8" s="259">
        <f>FindHourlyRows("DAT Saturday",DATSaturday)</f>
        <v>25</v>
      </c>
      <c r="D8" s="259">
        <f>FindHourlyCols("DAT Saturday",DATSaturday)</f>
        <v>12</v>
      </c>
      <c r="F8" t="s">
        <v>362</v>
      </c>
      <c r="H8" t="str">
        <f>DATSaturday</f>
        <v>Saturday 01/20/2024</v>
      </c>
      <c r="J8">
        <f>ROW(DATSaturday)</f>
        <v>5</v>
      </c>
    </row>
    <row r="9" spans="1:10" x14ac:dyDescent="0.2">
      <c r="A9" t="s">
        <v>181</v>
      </c>
      <c r="C9" s="259">
        <f>FindHourlyRows("DAT Sunday",DATSunday)</f>
        <v>27</v>
      </c>
      <c r="D9" s="259">
        <f>FindHourlyCols("DAT Sunday",DATSunday)</f>
        <v>11</v>
      </c>
      <c r="F9" t="s">
        <v>363</v>
      </c>
      <c r="H9" t="str">
        <f>DATSunday</f>
        <v>Sunday 01/21/2024</v>
      </c>
      <c r="J9">
        <f>ROW(DATSunday)</f>
        <v>5</v>
      </c>
    </row>
    <row r="12" spans="1:10" x14ac:dyDescent="0.2">
      <c r="A12" t="s">
        <v>239</v>
      </c>
      <c r="D12" s="259">
        <v>1</v>
      </c>
    </row>
    <row r="13" spans="1:10" x14ac:dyDescent="0.2">
      <c r="A13" t="s">
        <v>265</v>
      </c>
      <c r="D13" s="259">
        <v>1</v>
      </c>
      <c r="F13" t="s">
        <v>288</v>
      </c>
      <c r="I13" s="259"/>
    </row>
    <row r="15" spans="1:10" x14ac:dyDescent="0.2">
      <c r="C15" t="s">
        <v>263</v>
      </c>
      <c r="D15" t="s">
        <v>262</v>
      </c>
    </row>
    <row r="16" spans="1:10" x14ac:dyDescent="0.2">
      <c r="A16" t="s">
        <v>257</v>
      </c>
      <c r="C16" s="259">
        <v>1</v>
      </c>
      <c r="D16" s="259">
        <v>32</v>
      </c>
    </row>
    <row r="17" spans="1:4" x14ac:dyDescent="0.2">
      <c r="A17" t="s">
        <v>259</v>
      </c>
      <c r="C17" s="259">
        <v>4</v>
      </c>
      <c r="D17" s="259">
        <v>39</v>
      </c>
    </row>
    <row r="18" spans="1:4" x14ac:dyDescent="0.2">
      <c r="A18" t="s">
        <v>258</v>
      </c>
      <c r="C18" s="259">
        <v>43</v>
      </c>
      <c r="D18" s="259">
        <v>86</v>
      </c>
    </row>
    <row r="19" spans="1:4" x14ac:dyDescent="0.2">
      <c r="A19" t="s">
        <v>260</v>
      </c>
      <c r="C19" s="259">
        <v>90</v>
      </c>
      <c r="D19" s="259">
        <v>124</v>
      </c>
    </row>
    <row r="20" spans="1:4" x14ac:dyDescent="0.2">
      <c r="A20" t="s">
        <v>261</v>
      </c>
      <c r="C20" s="259">
        <v>128</v>
      </c>
      <c r="D20" s="259">
        <v>178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77"/>
  <sheetViews>
    <sheetView showGridLines="0" zoomScaleNormal="100" workbookViewId="0">
      <selection activeCell="C23" sqref="C23"/>
    </sheetView>
  </sheetViews>
  <sheetFormatPr defaultRowHeight="12.75" x14ac:dyDescent="0.2"/>
  <cols>
    <col min="2" max="2" width="45.7109375" bestFit="1" customWidth="1"/>
    <col min="4" max="4" width="14.28515625" bestFit="1" customWidth="1"/>
  </cols>
  <sheetData>
    <row r="1" spans="1:8" ht="18" x14ac:dyDescent="0.25">
      <c r="A1" s="252" t="s">
        <v>317</v>
      </c>
      <c r="B1" s="253"/>
      <c r="C1" s="253"/>
      <c r="D1" s="1"/>
    </row>
    <row r="2" spans="1:8" x14ac:dyDescent="0.2">
      <c r="A2" s="2"/>
      <c r="B2" s="171" t="str">
        <f>Issue</f>
        <v>2024 Show Season V1 7/22/2024</v>
      </c>
      <c r="C2" s="3"/>
      <c r="D2" s="4"/>
    </row>
    <row r="3" spans="1:8" ht="15.75" x14ac:dyDescent="0.25">
      <c r="A3" s="5"/>
      <c r="B3" s="261" t="str">
        <f>Season</f>
        <v>2022/2023</v>
      </c>
      <c r="C3" s="3"/>
      <c r="D3" s="6"/>
    </row>
    <row r="4" spans="1:8" x14ac:dyDescent="0.2">
      <c r="A4" s="7"/>
      <c r="C4" s="8" t="s">
        <v>0</v>
      </c>
      <c r="D4" s="6" t="s">
        <v>1</v>
      </c>
    </row>
    <row r="5" spans="1:8" x14ac:dyDescent="0.2">
      <c r="A5" s="9" t="s">
        <v>2</v>
      </c>
      <c r="B5" s="10" t="s">
        <v>3</v>
      </c>
      <c r="C5" s="11" t="s">
        <v>4</v>
      </c>
      <c r="D5" s="12" t="s">
        <v>5</v>
      </c>
    </row>
    <row r="6" spans="1:8" x14ac:dyDescent="0.2">
      <c r="A6" s="117" t="s">
        <v>6</v>
      </c>
      <c r="B6" s="27" t="s">
        <v>7</v>
      </c>
      <c r="C6" s="28">
        <v>4</v>
      </c>
      <c r="D6" s="118" t="s">
        <v>188</v>
      </c>
      <c r="F6" s="14"/>
      <c r="H6" s="3"/>
    </row>
    <row r="7" spans="1:8" x14ac:dyDescent="0.2">
      <c r="A7" s="117" t="s">
        <v>9</v>
      </c>
      <c r="B7" s="27" t="s">
        <v>10</v>
      </c>
      <c r="C7" s="28">
        <v>2</v>
      </c>
      <c r="D7" s="118" t="s">
        <v>188</v>
      </c>
      <c r="F7" s="14"/>
      <c r="H7" s="3"/>
    </row>
    <row r="8" spans="1:8" x14ac:dyDescent="0.2">
      <c r="A8" s="117" t="s">
        <v>11</v>
      </c>
      <c r="B8" s="27" t="s">
        <v>12</v>
      </c>
      <c r="C8" s="28">
        <v>2</v>
      </c>
      <c r="D8" s="118" t="s">
        <v>353</v>
      </c>
      <c r="F8" s="14"/>
      <c r="H8" s="3"/>
    </row>
    <row r="9" spans="1:8" x14ac:dyDescent="0.2">
      <c r="A9" s="117" t="s">
        <v>13</v>
      </c>
      <c r="B9" s="27" t="s">
        <v>14</v>
      </c>
      <c r="C9" s="28">
        <v>2</v>
      </c>
      <c r="D9" s="118" t="s">
        <v>114</v>
      </c>
      <c r="F9" s="14"/>
      <c r="H9" s="3"/>
    </row>
    <row r="10" spans="1:8" x14ac:dyDescent="0.2">
      <c r="A10" s="117" t="s">
        <v>16</v>
      </c>
      <c r="B10" s="27" t="s">
        <v>17</v>
      </c>
      <c r="C10" s="28">
        <v>6</v>
      </c>
      <c r="D10" s="118" t="s">
        <v>18</v>
      </c>
      <c r="F10" s="14"/>
      <c r="H10" s="3"/>
    </row>
    <row r="11" spans="1:8" x14ac:dyDescent="0.2">
      <c r="A11" s="117" t="s">
        <v>19</v>
      </c>
      <c r="B11" s="27" t="s">
        <v>20</v>
      </c>
      <c r="C11" s="28">
        <v>4</v>
      </c>
      <c r="D11" s="118" t="s">
        <v>18</v>
      </c>
      <c r="F11" s="14"/>
      <c r="H11" s="3"/>
    </row>
    <row r="12" spans="1:8" x14ac:dyDescent="0.2">
      <c r="A12" s="117" t="s">
        <v>21</v>
      </c>
      <c r="B12" s="27" t="s">
        <v>22</v>
      </c>
      <c r="C12" s="28">
        <v>7</v>
      </c>
      <c r="D12" s="118" t="s">
        <v>26</v>
      </c>
      <c r="F12" s="14"/>
      <c r="H12" s="3"/>
    </row>
    <row r="13" spans="1:8" x14ac:dyDescent="0.2">
      <c r="A13" s="117" t="s">
        <v>24</v>
      </c>
      <c r="B13" s="27" t="s">
        <v>25</v>
      </c>
      <c r="C13" s="28">
        <v>2</v>
      </c>
      <c r="D13" s="118" t="s">
        <v>26</v>
      </c>
      <c r="F13" s="14"/>
      <c r="H13" s="3"/>
    </row>
    <row r="14" spans="1:8" x14ac:dyDescent="0.2">
      <c r="A14" s="117" t="s">
        <v>290</v>
      </c>
      <c r="B14" s="27" t="s">
        <v>291</v>
      </c>
      <c r="C14" s="28">
        <v>8</v>
      </c>
      <c r="D14" s="118" t="s">
        <v>26</v>
      </c>
      <c r="F14" s="14"/>
      <c r="H14" s="3"/>
    </row>
    <row r="15" spans="1:8" x14ac:dyDescent="0.2">
      <c r="A15" s="117" t="s">
        <v>27</v>
      </c>
      <c r="B15" s="27"/>
      <c r="C15" s="260">
        <v>0</v>
      </c>
      <c r="D15" s="123"/>
      <c r="F15" s="228"/>
      <c r="H15" s="3"/>
    </row>
    <row r="16" spans="1:8" x14ac:dyDescent="0.2">
      <c r="A16" s="117" t="s">
        <v>29</v>
      </c>
      <c r="B16" s="27" t="s">
        <v>30</v>
      </c>
      <c r="C16" s="28">
        <v>3</v>
      </c>
      <c r="D16" s="118" t="s">
        <v>31</v>
      </c>
      <c r="F16" s="14"/>
      <c r="H16" s="3"/>
    </row>
    <row r="17" spans="1:8" x14ac:dyDescent="0.2">
      <c r="A17" s="117" t="s">
        <v>32</v>
      </c>
      <c r="B17" s="27" t="s">
        <v>33</v>
      </c>
      <c r="C17" s="28">
        <v>4</v>
      </c>
      <c r="D17" s="118" t="s">
        <v>38</v>
      </c>
      <c r="F17" s="14"/>
      <c r="H17" s="3"/>
    </row>
    <row r="18" spans="1:8" x14ac:dyDescent="0.2">
      <c r="A18" s="117" t="s">
        <v>34</v>
      </c>
      <c r="B18" s="27" t="s">
        <v>35</v>
      </c>
      <c r="C18" s="28">
        <v>8</v>
      </c>
      <c r="D18" s="118" t="s">
        <v>38</v>
      </c>
      <c r="F18" s="14"/>
      <c r="H18" s="3"/>
    </row>
    <row r="19" spans="1:8" x14ac:dyDescent="0.2">
      <c r="A19" s="117" t="s">
        <v>36</v>
      </c>
      <c r="B19" s="27" t="s">
        <v>37</v>
      </c>
      <c r="C19" s="28">
        <v>4</v>
      </c>
      <c r="D19" s="123" t="s">
        <v>28</v>
      </c>
      <c r="F19" s="228"/>
      <c r="H19" s="3"/>
    </row>
    <row r="20" spans="1:8" x14ac:dyDescent="0.2">
      <c r="A20" s="117" t="s">
        <v>39</v>
      </c>
      <c r="B20" s="27" t="s">
        <v>40</v>
      </c>
      <c r="C20" s="28">
        <v>12</v>
      </c>
      <c r="D20" s="118" t="s">
        <v>8</v>
      </c>
      <c r="F20" s="14"/>
      <c r="H20" s="3"/>
    </row>
    <row r="21" spans="1:8" x14ac:dyDescent="0.2">
      <c r="A21" s="117" t="s">
        <v>41</v>
      </c>
      <c r="B21" s="27" t="s">
        <v>42</v>
      </c>
      <c r="C21" s="28">
        <v>5</v>
      </c>
      <c r="D21" s="118" t="s">
        <v>31</v>
      </c>
      <c r="F21" s="14"/>
      <c r="H21" s="3"/>
    </row>
    <row r="22" spans="1:8" x14ac:dyDescent="0.2">
      <c r="A22" s="117" t="s">
        <v>43</v>
      </c>
      <c r="B22" s="27" t="s">
        <v>44</v>
      </c>
      <c r="C22" s="28">
        <v>5</v>
      </c>
      <c r="D22" s="118" t="s">
        <v>31</v>
      </c>
      <c r="F22" s="14"/>
      <c r="H22" s="3"/>
    </row>
    <row r="23" spans="1:8" x14ac:dyDescent="0.2">
      <c r="A23" s="117" t="s">
        <v>45</v>
      </c>
      <c r="B23" s="27" t="s">
        <v>46</v>
      </c>
      <c r="C23" s="28">
        <v>21</v>
      </c>
      <c r="D23" s="118" t="s">
        <v>47</v>
      </c>
      <c r="F23" s="14"/>
      <c r="H23" s="3"/>
    </row>
    <row r="24" spans="1:8" x14ac:dyDescent="0.2">
      <c r="A24" s="203" t="s">
        <v>48</v>
      </c>
      <c r="B24" s="27" t="s">
        <v>95</v>
      </c>
      <c r="C24" s="28">
        <v>6</v>
      </c>
      <c r="D24" s="118" t="s">
        <v>8</v>
      </c>
      <c r="F24" s="14"/>
      <c r="H24" s="3"/>
    </row>
    <row r="25" spans="1:8" x14ac:dyDescent="0.2">
      <c r="A25" s="117" t="s">
        <v>50</v>
      </c>
      <c r="B25" s="27" t="s">
        <v>51</v>
      </c>
      <c r="C25" s="28">
        <v>4</v>
      </c>
      <c r="D25" s="118" t="s">
        <v>115</v>
      </c>
      <c r="F25" s="14"/>
      <c r="H25" s="3"/>
    </row>
    <row r="26" spans="1:8" x14ac:dyDescent="0.2">
      <c r="A26" s="117" t="s">
        <v>53</v>
      </c>
      <c r="B26" s="27" t="s">
        <v>289</v>
      </c>
      <c r="C26" s="28">
        <v>9</v>
      </c>
      <c r="D26" s="118" t="s">
        <v>115</v>
      </c>
      <c r="F26" s="14"/>
      <c r="H26" s="3"/>
    </row>
    <row r="27" spans="1:8" x14ac:dyDescent="0.2">
      <c r="A27" s="203" t="s">
        <v>293</v>
      </c>
      <c r="B27" s="204" t="s">
        <v>295</v>
      </c>
      <c r="C27" s="28">
        <v>4</v>
      </c>
      <c r="D27" s="123" t="s">
        <v>119</v>
      </c>
      <c r="F27" s="228"/>
      <c r="H27" s="3"/>
    </row>
    <row r="28" spans="1:8" x14ac:dyDescent="0.2">
      <c r="A28" s="117" t="s">
        <v>55</v>
      </c>
      <c r="B28" s="27" t="s">
        <v>56</v>
      </c>
      <c r="C28" s="28">
        <v>1</v>
      </c>
      <c r="D28" s="118" t="s">
        <v>57</v>
      </c>
      <c r="F28" s="14"/>
      <c r="H28" s="3"/>
    </row>
    <row r="29" spans="1:8" x14ac:dyDescent="0.2">
      <c r="A29" s="117" t="s">
        <v>58</v>
      </c>
      <c r="B29" s="27" t="s">
        <v>59</v>
      </c>
      <c r="C29" s="28">
        <v>4</v>
      </c>
      <c r="D29" s="118" t="s">
        <v>115</v>
      </c>
      <c r="F29" s="228"/>
      <c r="H29" s="3"/>
    </row>
    <row r="30" spans="1:8" x14ac:dyDescent="0.2">
      <c r="A30" s="117" t="s">
        <v>60</v>
      </c>
      <c r="B30" s="27" t="s">
        <v>61</v>
      </c>
      <c r="C30" s="28">
        <v>1</v>
      </c>
      <c r="D30" s="123" t="s">
        <v>28</v>
      </c>
      <c r="F30" s="228"/>
      <c r="H30" s="3"/>
    </row>
    <row r="31" spans="1:8" x14ac:dyDescent="0.2">
      <c r="A31" s="117" t="s">
        <v>62</v>
      </c>
      <c r="B31" s="27" t="s">
        <v>63</v>
      </c>
      <c r="C31" s="28">
        <v>2</v>
      </c>
      <c r="D31" s="123" t="s">
        <v>296</v>
      </c>
      <c r="F31" s="228"/>
      <c r="H31" s="3"/>
    </row>
    <row r="32" spans="1:8" x14ac:dyDescent="0.2">
      <c r="A32" s="117" t="s">
        <v>64</v>
      </c>
      <c r="B32" s="27" t="s">
        <v>65</v>
      </c>
      <c r="C32" s="28">
        <v>2</v>
      </c>
      <c r="D32" s="118" t="s">
        <v>303</v>
      </c>
      <c r="F32" s="14"/>
      <c r="H32" s="3"/>
    </row>
    <row r="33" spans="1:8" x14ac:dyDescent="0.2">
      <c r="A33" s="117" t="s">
        <v>66</v>
      </c>
      <c r="B33" s="27" t="s">
        <v>67</v>
      </c>
      <c r="C33" s="28">
        <v>2</v>
      </c>
      <c r="D33" s="118" t="s">
        <v>38</v>
      </c>
      <c r="F33" s="14"/>
      <c r="H33" s="3"/>
    </row>
    <row r="34" spans="1:8" x14ac:dyDescent="0.2">
      <c r="A34" s="117" t="s">
        <v>72</v>
      </c>
      <c r="B34" s="27" t="s">
        <v>73</v>
      </c>
      <c r="C34" s="28">
        <v>3</v>
      </c>
      <c r="D34" s="118" t="s">
        <v>38</v>
      </c>
      <c r="F34" s="14"/>
      <c r="H34" s="3"/>
    </row>
    <row r="35" spans="1:8" x14ac:dyDescent="0.2">
      <c r="A35" s="117" t="s">
        <v>102</v>
      </c>
      <c r="B35" s="27" t="s">
        <v>238</v>
      </c>
      <c r="C35" s="28">
        <v>5</v>
      </c>
      <c r="D35" s="118" t="s">
        <v>47</v>
      </c>
      <c r="F35" s="14"/>
      <c r="H35" s="3"/>
    </row>
    <row r="36" spans="1:8" x14ac:dyDescent="0.2">
      <c r="A36" s="117" t="s">
        <v>271</v>
      </c>
      <c r="B36" s="27" t="s">
        <v>272</v>
      </c>
      <c r="C36" s="28">
        <v>1</v>
      </c>
      <c r="D36" s="118" t="s">
        <v>118</v>
      </c>
      <c r="F36" s="14"/>
      <c r="H36" s="3"/>
    </row>
    <row r="37" spans="1:8" x14ac:dyDescent="0.2">
      <c r="A37" s="117" t="s">
        <v>273</v>
      </c>
      <c r="B37" s="27" t="s">
        <v>274</v>
      </c>
      <c r="C37" s="28">
        <v>1</v>
      </c>
      <c r="D37" s="118" t="s">
        <v>108</v>
      </c>
      <c r="F37" s="14"/>
      <c r="H37" s="3"/>
    </row>
    <row r="38" spans="1:8" x14ac:dyDescent="0.2">
      <c r="A38" s="7"/>
      <c r="C38" s="3"/>
      <c r="D38" s="4"/>
    </row>
    <row r="39" spans="1:8" ht="13.5" thickBot="1" x14ac:dyDescent="0.25">
      <c r="A39" s="119"/>
      <c r="B39" s="120" t="s">
        <v>74</v>
      </c>
      <c r="C39" s="176">
        <f>SUM(C5:C38)</f>
        <v>144</v>
      </c>
      <c r="D39" s="121"/>
    </row>
    <row r="40" spans="1:8" x14ac:dyDescent="0.2">
      <c r="C40" s="3"/>
      <c r="D40" s="14"/>
    </row>
    <row r="41" spans="1:8" ht="13.5" thickBot="1" x14ac:dyDescent="0.25">
      <c r="C41" s="3"/>
      <c r="D41" s="14"/>
    </row>
    <row r="42" spans="1:8" ht="18" x14ac:dyDescent="0.25">
      <c r="A42" s="252" t="s">
        <v>318</v>
      </c>
      <c r="B42" s="253"/>
      <c r="C42" s="253"/>
      <c r="D42" s="1"/>
    </row>
    <row r="43" spans="1:8" x14ac:dyDescent="0.2">
      <c r="A43" s="7"/>
      <c r="B43" s="171" t="str">
        <f>Issue</f>
        <v>2024 Show Season V1 7/22/2024</v>
      </c>
      <c r="C43" s="3"/>
      <c r="D43" s="4"/>
    </row>
    <row r="44" spans="1:8" ht="15.75" x14ac:dyDescent="0.25">
      <c r="A44" s="7"/>
      <c r="B44" s="107" t="str">
        <f>Season</f>
        <v>2022/2023</v>
      </c>
      <c r="C44" s="3" t="s">
        <v>75</v>
      </c>
      <c r="D44" s="38" t="s">
        <v>206</v>
      </c>
    </row>
    <row r="45" spans="1:8" x14ac:dyDescent="0.2">
      <c r="A45" s="9" t="s">
        <v>2</v>
      </c>
      <c r="B45" s="10" t="s">
        <v>3</v>
      </c>
      <c r="C45" s="15" t="s">
        <v>4</v>
      </c>
      <c r="D45" s="116" t="s">
        <v>207</v>
      </c>
    </row>
    <row r="46" spans="1:8" x14ac:dyDescent="0.2">
      <c r="A46" s="117" t="s">
        <v>68</v>
      </c>
      <c r="B46" s="27" t="s">
        <v>128</v>
      </c>
      <c r="C46" s="260">
        <v>0</v>
      </c>
      <c r="D46" s="206">
        <v>0</v>
      </c>
      <c r="H46" s="3"/>
    </row>
    <row r="47" spans="1:8" x14ac:dyDescent="0.2">
      <c r="A47" s="117" t="s">
        <v>69</v>
      </c>
      <c r="B47" s="27" t="s">
        <v>209</v>
      </c>
      <c r="C47" s="260">
        <v>0</v>
      </c>
      <c r="D47" s="206">
        <v>0</v>
      </c>
      <c r="H47" s="3"/>
    </row>
    <row r="48" spans="1:8" x14ac:dyDescent="0.2">
      <c r="A48" s="117" t="s">
        <v>71</v>
      </c>
      <c r="B48" s="27" t="s">
        <v>202</v>
      </c>
      <c r="C48" s="28">
        <v>5</v>
      </c>
      <c r="D48" s="206">
        <v>0</v>
      </c>
      <c r="H48" s="3"/>
    </row>
    <row r="49" spans="1:4" x14ac:dyDescent="0.2">
      <c r="A49" s="117" t="s">
        <v>76</v>
      </c>
      <c r="B49" s="27" t="s">
        <v>212</v>
      </c>
      <c r="C49" s="28">
        <v>6</v>
      </c>
      <c r="D49" s="206">
        <v>0</v>
      </c>
    </row>
    <row r="50" spans="1:4" x14ac:dyDescent="0.2">
      <c r="A50" s="117" t="s">
        <v>324</v>
      </c>
      <c r="B50" s="27" t="s">
        <v>325</v>
      </c>
      <c r="C50" s="28">
        <v>18</v>
      </c>
      <c r="D50" s="206">
        <v>0</v>
      </c>
    </row>
    <row r="51" spans="1:4" x14ac:dyDescent="0.2">
      <c r="A51" s="117" t="s">
        <v>143</v>
      </c>
      <c r="B51" s="27" t="s">
        <v>221</v>
      </c>
      <c r="C51" s="28">
        <v>3</v>
      </c>
      <c r="D51" s="206">
        <v>0</v>
      </c>
    </row>
    <row r="52" spans="1:4" x14ac:dyDescent="0.2">
      <c r="A52" s="117" t="s">
        <v>142</v>
      </c>
      <c r="B52" s="27" t="s">
        <v>222</v>
      </c>
      <c r="C52" s="28">
        <v>1</v>
      </c>
      <c r="D52" s="206">
        <v>0</v>
      </c>
    </row>
    <row r="53" spans="1:4" x14ac:dyDescent="0.2">
      <c r="A53" s="117" t="s">
        <v>144</v>
      </c>
      <c r="B53" s="27" t="s">
        <v>223</v>
      </c>
      <c r="C53" s="28">
        <v>3</v>
      </c>
      <c r="D53" s="206">
        <v>0</v>
      </c>
    </row>
    <row r="54" spans="1:4" x14ac:dyDescent="0.2">
      <c r="A54" s="117" t="s">
        <v>145</v>
      </c>
      <c r="B54" s="204" t="s">
        <v>224</v>
      </c>
      <c r="C54" s="28">
        <v>1</v>
      </c>
      <c r="D54" s="206">
        <v>0</v>
      </c>
    </row>
    <row r="55" spans="1:4" x14ac:dyDescent="0.2">
      <c r="A55" s="117" t="s">
        <v>172</v>
      </c>
      <c r="B55" s="27" t="s">
        <v>306</v>
      </c>
      <c r="C55" s="28">
        <v>7</v>
      </c>
      <c r="D55" s="206">
        <v>0</v>
      </c>
    </row>
    <row r="56" spans="1:4" x14ac:dyDescent="0.2">
      <c r="A56" s="117" t="s">
        <v>173</v>
      </c>
      <c r="B56" s="204" t="s">
        <v>314</v>
      </c>
      <c r="C56" s="28">
        <v>6</v>
      </c>
      <c r="D56" s="206">
        <v>0</v>
      </c>
    </row>
    <row r="57" spans="1:4" x14ac:dyDescent="0.2">
      <c r="A57" s="117" t="s">
        <v>77</v>
      </c>
      <c r="B57" s="27" t="s">
        <v>127</v>
      </c>
      <c r="C57" s="28">
        <v>7</v>
      </c>
      <c r="D57" s="206">
        <v>0</v>
      </c>
    </row>
    <row r="58" spans="1:4" x14ac:dyDescent="0.2">
      <c r="A58" s="117" t="s">
        <v>78</v>
      </c>
      <c r="B58" s="27" t="s">
        <v>139</v>
      </c>
      <c r="C58" s="28">
        <v>10</v>
      </c>
      <c r="D58" s="206">
        <v>0</v>
      </c>
    </row>
    <row r="59" spans="1:4" x14ac:dyDescent="0.2">
      <c r="A59" s="117" t="s">
        <v>79</v>
      </c>
      <c r="B59" s="27" t="s">
        <v>150</v>
      </c>
      <c r="C59" s="28">
        <v>7</v>
      </c>
      <c r="D59" s="206">
        <v>0</v>
      </c>
    </row>
    <row r="60" spans="1:4" x14ac:dyDescent="0.2">
      <c r="A60" s="117" t="s">
        <v>140</v>
      </c>
      <c r="B60" s="27" t="s">
        <v>213</v>
      </c>
      <c r="C60" s="28">
        <v>4</v>
      </c>
      <c r="D60" s="206">
        <v>0</v>
      </c>
    </row>
    <row r="61" spans="1:4" x14ac:dyDescent="0.2">
      <c r="A61" s="117" t="s">
        <v>146</v>
      </c>
      <c r="B61" s="27" t="s">
        <v>214</v>
      </c>
      <c r="C61" s="28">
        <v>3</v>
      </c>
      <c r="D61" s="206">
        <v>0</v>
      </c>
    </row>
    <row r="62" spans="1:4" x14ac:dyDescent="0.2">
      <c r="A62" s="117" t="s">
        <v>80</v>
      </c>
      <c r="B62" s="27" t="s">
        <v>208</v>
      </c>
      <c r="C62" s="28">
        <v>9</v>
      </c>
      <c r="D62" s="206">
        <v>0</v>
      </c>
    </row>
    <row r="63" spans="1:4" x14ac:dyDescent="0.2">
      <c r="A63" s="117" t="s">
        <v>81</v>
      </c>
      <c r="B63" s="27" t="s">
        <v>210</v>
      </c>
      <c r="C63" s="28">
        <v>10</v>
      </c>
      <c r="D63" s="206">
        <v>0</v>
      </c>
    </row>
    <row r="64" spans="1:4" x14ac:dyDescent="0.2">
      <c r="A64" s="117" t="s">
        <v>82</v>
      </c>
      <c r="B64" s="27" t="s">
        <v>211</v>
      </c>
      <c r="C64" s="28">
        <v>7</v>
      </c>
      <c r="D64" s="206">
        <v>0</v>
      </c>
    </row>
    <row r="65" spans="1:4" x14ac:dyDescent="0.2">
      <c r="A65" s="117" t="s">
        <v>83</v>
      </c>
      <c r="B65" s="27" t="s">
        <v>307</v>
      </c>
      <c r="C65" s="28">
        <v>22</v>
      </c>
      <c r="D65" s="206">
        <v>0</v>
      </c>
    </row>
    <row r="66" spans="1:4" x14ac:dyDescent="0.2">
      <c r="A66" s="117" t="s">
        <v>83</v>
      </c>
      <c r="B66" s="27" t="s">
        <v>308</v>
      </c>
      <c r="C66" s="28">
        <v>14</v>
      </c>
      <c r="D66" s="206">
        <v>0</v>
      </c>
    </row>
    <row r="67" spans="1:4" x14ac:dyDescent="0.2">
      <c r="A67" s="117" t="s">
        <v>311</v>
      </c>
      <c r="B67" s="27" t="s">
        <v>309</v>
      </c>
      <c r="C67" s="28">
        <v>22</v>
      </c>
      <c r="D67" s="206">
        <v>0</v>
      </c>
    </row>
    <row r="68" spans="1:4" x14ac:dyDescent="0.2">
      <c r="A68" s="117" t="s">
        <v>311</v>
      </c>
      <c r="B68" s="27" t="s">
        <v>310</v>
      </c>
      <c r="C68" s="28">
        <v>14</v>
      </c>
      <c r="D68" s="206">
        <v>0</v>
      </c>
    </row>
    <row r="69" spans="1:4" x14ac:dyDescent="0.2">
      <c r="A69" s="117" t="s">
        <v>84</v>
      </c>
      <c r="B69" s="27" t="s">
        <v>215</v>
      </c>
      <c r="C69" s="28">
        <v>7</v>
      </c>
      <c r="D69" s="206">
        <v>0</v>
      </c>
    </row>
    <row r="70" spans="1:4" x14ac:dyDescent="0.2">
      <c r="A70" s="117" t="s">
        <v>84</v>
      </c>
      <c r="B70" s="27" t="s">
        <v>216</v>
      </c>
      <c r="C70" s="28">
        <v>6</v>
      </c>
      <c r="D70" s="206">
        <v>0</v>
      </c>
    </row>
    <row r="71" spans="1:4" x14ac:dyDescent="0.2">
      <c r="A71" s="31" t="s">
        <v>236</v>
      </c>
      <c r="B71" s="27" t="s">
        <v>231</v>
      </c>
      <c r="C71" s="28">
        <v>7</v>
      </c>
      <c r="D71" s="206">
        <v>0</v>
      </c>
    </row>
    <row r="72" spans="1:4" x14ac:dyDescent="0.2">
      <c r="A72" s="31" t="s">
        <v>237</v>
      </c>
      <c r="B72" s="27" t="s">
        <v>232</v>
      </c>
      <c r="C72" s="260">
        <v>0</v>
      </c>
      <c r="D72" s="206">
        <v>0</v>
      </c>
    </row>
    <row r="73" spans="1:4" x14ac:dyDescent="0.2">
      <c r="A73" s="31" t="s">
        <v>161</v>
      </c>
      <c r="B73" s="27" t="s">
        <v>233</v>
      </c>
      <c r="C73" s="28">
        <v>5</v>
      </c>
      <c r="D73" s="206">
        <v>0</v>
      </c>
    </row>
    <row r="74" spans="1:4" x14ac:dyDescent="0.2">
      <c r="A74" s="31" t="s">
        <v>162</v>
      </c>
      <c r="B74" s="27" t="s">
        <v>234</v>
      </c>
      <c r="C74" s="260">
        <v>0</v>
      </c>
      <c r="D74" s="206">
        <v>0</v>
      </c>
    </row>
    <row r="75" spans="1:4" x14ac:dyDescent="0.2">
      <c r="A75" s="117" t="s">
        <v>85</v>
      </c>
      <c r="B75" s="27" t="s">
        <v>220</v>
      </c>
      <c r="C75" s="28">
        <v>7</v>
      </c>
      <c r="D75" s="206">
        <v>0</v>
      </c>
    </row>
    <row r="76" spans="1:4" x14ac:dyDescent="0.2">
      <c r="A76" s="117" t="s">
        <v>85</v>
      </c>
      <c r="B76" s="27" t="s">
        <v>219</v>
      </c>
      <c r="C76" s="28">
        <v>6</v>
      </c>
      <c r="D76" s="206">
        <v>0</v>
      </c>
    </row>
    <row r="77" spans="1:4" x14ac:dyDescent="0.2">
      <c r="A77" s="117" t="s">
        <v>339</v>
      </c>
      <c r="B77" s="27" t="s">
        <v>341</v>
      </c>
      <c r="C77" s="28">
        <v>7</v>
      </c>
      <c r="D77" s="206">
        <v>0</v>
      </c>
    </row>
    <row r="78" spans="1:4" x14ac:dyDescent="0.2">
      <c r="A78" s="117" t="s">
        <v>340</v>
      </c>
      <c r="B78" s="27" t="s">
        <v>342</v>
      </c>
      <c r="C78" s="28">
        <v>6</v>
      </c>
      <c r="D78" s="206">
        <v>0</v>
      </c>
    </row>
    <row r="79" spans="1:4" x14ac:dyDescent="0.2">
      <c r="A79" s="117" t="s">
        <v>147</v>
      </c>
      <c r="B79" s="27" t="s">
        <v>217</v>
      </c>
      <c r="C79" s="28">
        <v>3</v>
      </c>
      <c r="D79" s="206">
        <v>0</v>
      </c>
    </row>
    <row r="80" spans="1:4" x14ac:dyDescent="0.2">
      <c r="A80" s="117" t="s">
        <v>148</v>
      </c>
      <c r="B80" s="27" t="s">
        <v>218</v>
      </c>
      <c r="C80" s="28">
        <v>1</v>
      </c>
      <c r="D80" s="206">
        <v>0</v>
      </c>
    </row>
    <row r="81" spans="1:4" x14ac:dyDescent="0.2">
      <c r="A81" s="117" t="s">
        <v>326</v>
      </c>
      <c r="B81" s="27" t="s">
        <v>327</v>
      </c>
      <c r="C81" s="28">
        <v>9</v>
      </c>
      <c r="D81" s="206">
        <v>0</v>
      </c>
    </row>
    <row r="82" spans="1:4" x14ac:dyDescent="0.2">
      <c r="A82" s="117" t="s">
        <v>312</v>
      </c>
      <c r="B82" s="27" t="s">
        <v>101</v>
      </c>
      <c r="C82" s="28">
        <v>2</v>
      </c>
      <c r="D82" s="206">
        <v>0</v>
      </c>
    </row>
    <row r="83" spans="1:4" x14ac:dyDescent="0.2">
      <c r="A83" s="117" t="s">
        <v>313</v>
      </c>
      <c r="B83" s="204" t="s">
        <v>235</v>
      </c>
      <c r="C83" s="28">
        <v>6</v>
      </c>
      <c r="D83" s="206">
        <v>0</v>
      </c>
    </row>
    <row r="84" spans="1:4" x14ac:dyDescent="0.2">
      <c r="A84" s="13"/>
      <c r="C84" s="28"/>
      <c r="D84" s="38" t="s">
        <v>203</v>
      </c>
    </row>
    <row r="85" spans="1:4" x14ac:dyDescent="0.2">
      <c r="A85" s="117"/>
      <c r="B85" s="24" t="s">
        <v>87</v>
      </c>
      <c r="C85" s="175">
        <f>SUM(C45:C84)</f>
        <v>251</v>
      </c>
      <c r="D85" s="37">
        <f>SUM(D45:D84)</f>
        <v>0</v>
      </c>
    </row>
    <row r="86" spans="1:4" x14ac:dyDescent="0.2">
      <c r="A86" s="13"/>
      <c r="C86" s="32"/>
      <c r="D86" s="38"/>
    </row>
    <row r="87" spans="1:4" ht="13.5" thickBot="1" x14ac:dyDescent="0.25">
      <c r="A87" s="119"/>
      <c r="B87" s="120" t="s">
        <v>88</v>
      </c>
      <c r="C87" s="176">
        <f>C39+C85</f>
        <v>395</v>
      </c>
      <c r="D87" s="122"/>
    </row>
    <row r="88" spans="1:4" x14ac:dyDescent="0.2">
      <c r="C88" s="3"/>
      <c r="D88" s="14"/>
    </row>
    <row r="89" spans="1:4" x14ac:dyDescent="0.2">
      <c r="C89" s="3"/>
      <c r="D89" s="14"/>
    </row>
    <row r="90" spans="1:4" x14ac:dyDescent="0.2">
      <c r="C90" s="3"/>
      <c r="D90" s="14"/>
    </row>
    <row r="91" spans="1:4" ht="13.5" thickBot="1" x14ac:dyDescent="0.25">
      <c r="C91" s="3"/>
      <c r="D91" s="14"/>
    </row>
    <row r="92" spans="1:4" ht="18" x14ac:dyDescent="0.25">
      <c r="A92" s="252" t="s">
        <v>319</v>
      </c>
      <c r="B92" s="253"/>
      <c r="C92" s="253"/>
      <c r="D92" s="1"/>
    </row>
    <row r="93" spans="1:4" ht="18" x14ac:dyDescent="0.25">
      <c r="A93" s="108"/>
      <c r="B93" s="171" t="str">
        <f>Issue</f>
        <v>2024 Show Season V1 7/22/2024</v>
      </c>
      <c r="C93" s="109"/>
      <c r="D93" s="4"/>
    </row>
    <row r="94" spans="1:4" ht="15.75" x14ac:dyDescent="0.25">
      <c r="A94" s="7"/>
      <c r="B94" s="107" t="str">
        <f>Season</f>
        <v>2022/2023</v>
      </c>
      <c r="C94" s="8" t="str">
        <f>C4</f>
        <v>Current</v>
      </c>
      <c r="D94" s="6" t="str">
        <f>D4</f>
        <v>RESPONSIBLE</v>
      </c>
    </row>
    <row r="95" spans="1:4" x14ac:dyDescent="0.2">
      <c r="A95" s="9" t="s">
        <v>2</v>
      </c>
      <c r="B95" s="10" t="s">
        <v>3</v>
      </c>
      <c r="C95" s="11" t="s">
        <v>4</v>
      </c>
      <c r="D95" s="12" t="s">
        <v>5</v>
      </c>
    </row>
    <row r="96" spans="1:4" x14ac:dyDescent="0.2">
      <c r="A96" s="117" t="s">
        <v>6</v>
      </c>
      <c r="B96" s="27" t="s">
        <v>7</v>
      </c>
      <c r="C96" s="28">
        <v>4</v>
      </c>
      <c r="D96" s="118" t="s">
        <v>188</v>
      </c>
    </row>
    <row r="97" spans="1:4" x14ac:dyDescent="0.2">
      <c r="A97" s="117" t="s">
        <v>9</v>
      </c>
      <c r="B97" s="27" t="s">
        <v>10</v>
      </c>
      <c r="C97" s="28">
        <v>2</v>
      </c>
      <c r="D97" s="123" t="s">
        <v>188</v>
      </c>
    </row>
    <row r="98" spans="1:4" x14ac:dyDescent="0.2">
      <c r="A98" s="117" t="s">
        <v>11</v>
      </c>
      <c r="B98" s="27" t="s">
        <v>12</v>
      </c>
      <c r="C98" s="28">
        <v>2</v>
      </c>
      <c r="D98" s="118" t="s">
        <v>353</v>
      </c>
    </row>
    <row r="99" spans="1:4" x14ac:dyDescent="0.2">
      <c r="A99" s="117" t="s">
        <v>13</v>
      </c>
      <c r="B99" s="27" t="s">
        <v>14</v>
      </c>
      <c r="C99" s="28">
        <v>2</v>
      </c>
      <c r="D99" s="118" t="s">
        <v>114</v>
      </c>
    </row>
    <row r="100" spans="1:4" x14ac:dyDescent="0.2">
      <c r="A100" s="117" t="s">
        <v>16</v>
      </c>
      <c r="B100" s="27" t="s">
        <v>17</v>
      </c>
      <c r="C100" s="28">
        <v>6</v>
      </c>
      <c r="D100" s="118" t="s">
        <v>18</v>
      </c>
    </row>
    <row r="101" spans="1:4" x14ac:dyDescent="0.2">
      <c r="A101" s="117" t="s">
        <v>19</v>
      </c>
      <c r="B101" s="27" t="s">
        <v>90</v>
      </c>
      <c r="C101" s="28">
        <v>4</v>
      </c>
      <c r="D101" s="118" t="s">
        <v>18</v>
      </c>
    </row>
    <row r="102" spans="1:4" x14ac:dyDescent="0.2">
      <c r="A102" s="117" t="s">
        <v>21</v>
      </c>
      <c r="B102" s="27" t="s">
        <v>91</v>
      </c>
      <c r="C102" s="28">
        <v>7</v>
      </c>
      <c r="D102" s="118" t="s">
        <v>26</v>
      </c>
    </row>
    <row r="103" spans="1:4" x14ac:dyDescent="0.2">
      <c r="A103" s="117" t="s">
        <v>24</v>
      </c>
      <c r="B103" s="27" t="str">
        <f>B13</f>
        <v>Email flyer distribution</v>
      </c>
      <c r="C103" s="28">
        <v>2</v>
      </c>
      <c r="D103" s="118" t="s">
        <v>26</v>
      </c>
    </row>
    <row r="104" spans="1:4" x14ac:dyDescent="0.2">
      <c r="A104" s="117" t="s">
        <v>290</v>
      </c>
      <c r="B104" s="204" t="s">
        <v>291</v>
      </c>
      <c r="C104" s="28">
        <v>8</v>
      </c>
      <c r="D104" s="118" t="s">
        <v>26</v>
      </c>
    </row>
    <row r="105" spans="1:4" x14ac:dyDescent="0.2">
      <c r="A105" s="117" t="s">
        <v>27</v>
      </c>
      <c r="B105" s="27"/>
      <c r="C105" s="260">
        <v>0</v>
      </c>
      <c r="D105" s="123"/>
    </row>
    <row r="106" spans="1:4" x14ac:dyDescent="0.2">
      <c r="A106" s="117" t="s">
        <v>32</v>
      </c>
      <c r="B106" s="27" t="s">
        <v>92</v>
      </c>
      <c r="C106" s="28">
        <v>4</v>
      </c>
      <c r="D106" s="118" t="s">
        <v>38</v>
      </c>
    </row>
    <row r="107" spans="1:4" x14ac:dyDescent="0.2">
      <c r="A107" s="117" t="s">
        <v>34</v>
      </c>
      <c r="B107" s="27" t="s">
        <v>93</v>
      </c>
      <c r="C107" s="28">
        <v>8</v>
      </c>
      <c r="D107" s="118" t="s">
        <v>38</v>
      </c>
    </row>
    <row r="108" spans="1:4" x14ac:dyDescent="0.2">
      <c r="A108" s="117" t="s">
        <v>36</v>
      </c>
      <c r="B108" s="27" t="s">
        <v>37</v>
      </c>
      <c r="C108" s="28">
        <v>4</v>
      </c>
      <c r="D108" s="123" t="s">
        <v>49</v>
      </c>
    </row>
    <row r="109" spans="1:4" x14ac:dyDescent="0.2">
      <c r="A109" s="117" t="s">
        <v>39</v>
      </c>
      <c r="B109" s="27" t="s">
        <v>40</v>
      </c>
      <c r="C109" s="28">
        <v>12</v>
      </c>
      <c r="D109" s="123" t="s">
        <v>49</v>
      </c>
    </row>
    <row r="110" spans="1:4" x14ac:dyDescent="0.2">
      <c r="A110" s="117" t="s">
        <v>41</v>
      </c>
      <c r="B110" s="27" t="s">
        <v>168</v>
      </c>
      <c r="C110" s="28">
        <v>5</v>
      </c>
      <c r="D110" s="123" t="s">
        <v>49</v>
      </c>
    </row>
    <row r="111" spans="1:4" x14ac:dyDescent="0.2">
      <c r="A111" s="117" t="s">
        <v>43</v>
      </c>
      <c r="B111" s="27" t="s">
        <v>169</v>
      </c>
      <c r="C111" s="28">
        <v>5</v>
      </c>
      <c r="D111" s="123" t="s">
        <v>31</v>
      </c>
    </row>
    <row r="112" spans="1:4" x14ac:dyDescent="0.2">
      <c r="A112" s="117" t="s">
        <v>45</v>
      </c>
      <c r="B112" s="27" t="s">
        <v>94</v>
      </c>
      <c r="C112" s="28">
        <v>14</v>
      </c>
      <c r="D112" s="123" t="s">
        <v>47</v>
      </c>
    </row>
    <row r="113" spans="1:4" x14ac:dyDescent="0.2">
      <c r="A113" s="117" t="s">
        <v>48</v>
      </c>
      <c r="B113" s="27" t="s">
        <v>95</v>
      </c>
      <c r="C113" s="28">
        <v>6</v>
      </c>
      <c r="D113" s="123" t="s">
        <v>38</v>
      </c>
    </row>
    <row r="114" spans="1:4" x14ac:dyDescent="0.2">
      <c r="A114" s="117" t="s">
        <v>50</v>
      </c>
      <c r="B114" s="27" t="s">
        <v>51</v>
      </c>
      <c r="C114" s="28">
        <v>4</v>
      </c>
      <c r="D114" s="123" t="s">
        <v>115</v>
      </c>
    </row>
    <row r="115" spans="1:4" x14ac:dyDescent="0.2">
      <c r="A115" s="117" t="s">
        <v>53</v>
      </c>
      <c r="B115" s="27" t="s">
        <v>54</v>
      </c>
      <c r="C115" s="28">
        <v>9</v>
      </c>
      <c r="D115" s="123" t="s">
        <v>115</v>
      </c>
    </row>
    <row r="116" spans="1:4" x14ac:dyDescent="0.2">
      <c r="A116" s="203" t="s">
        <v>293</v>
      </c>
      <c r="B116" s="204" t="s">
        <v>294</v>
      </c>
      <c r="C116" s="28">
        <v>4</v>
      </c>
      <c r="D116" s="123" t="s">
        <v>119</v>
      </c>
    </row>
    <row r="117" spans="1:4" x14ac:dyDescent="0.2">
      <c r="A117" s="117" t="s">
        <v>55</v>
      </c>
      <c r="B117" s="27" t="s">
        <v>56</v>
      </c>
      <c r="C117" s="28">
        <v>1</v>
      </c>
      <c r="D117" s="123" t="s">
        <v>57</v>
      </c>
    </row>
    <row r="118" spans="1:4" x14ac:dyDescent="0.2">
      <c r="A118" s="117" t="s">
        <v>58</v>
      </c>
      <c r="B118" s="27" t="s">
        <v>96</v>
      </c>
      <c r="C118" s="28">
        <v>4</v>
      </c>
      <c r="D118" s="123" t="s">
        <v>115</v>
      </c>
    </row>
    <row r="119" spans="1:4" x14ac:dyDescent="0.2">
      <c r="A119" s="117" t="s">
        <v>60</v>
      </c>
      <c r="B119" s="27" t="s">
        <v>61</v>
      </c>
      <c r="C119" s="28">
        <v>1</v>
      </c>
      <c r="D119" s="123" t="s">
        <v>28</v>
      </c>
    </row>
    <row r="120" spans="1:4" x14ac:dyDescent="0.2">
      <c r="A120" s="117" t="s">
        <v>62</v>
      </c>
      <c r="B120" s="27" t="s">
        <v>63</v>
      </c>
      <c r="C120" s="28">
        <v>2</v>
      </c>
      <c r="D120" s="123" t="s">
        <v>296</v>
      </c>
    </row>
    <row r="121" spans="1:4" x14ac:dyDescent="0.2">
      <c r="A121" s="117" t="s">
        <v>64</v>
      </c>
      <c r="B121" s="27" t="s">
        <v>65</v>
      </c>
      <c r="C121" s="28">
        <v>2</v>
      </c>
      <c r="D121" s="118" t="s">
        <v>303</v>
      </c>
    </row>
    <row r="122" spans="1:4" x14ac:dyDescent="0.2">
      <c r="A122" s="117" t="s">
        <v>66</v>
      </c>
      <c r="B122" s="27" t="s">
        <v>97</v>
      </c>
      <c r="C122" s="28">
        <v>2</v>
      </c>
      <c r="D122" s="118" t="s">
        <v>38</v>
      </c>
    </row>
    <row r="123" spans="1:4" x14ac:dyDescent="0.2">
      <c r="A123" s="117" t="s">
        <v>72</v>
      </c>
      <c r="B123" s="27" t="s">
        <v>73</v>
      </c>
      <c r="C123" s="28">
        <v>3</v>
      </c>
      <c r="D123" s="123" t="s">
        <v>38</v>
      </c>
    </row>
    <row r="124" spans="1:4" x14ac:dyDescent="0.2">
      <c r="A124" s="117" t="s">
        <v>102</v>
      </c>
      <c r="B124" s="27" t="s">
        <v>238</v>
      </c>
      <c r="C124" s="33">
        <v>5</v>
      </c>
      <c r="D124" s="118" t="s">
        <v>47</v>
      </c>
    </row>
    <row r="125" spans="1:4" x14ac:dyDescent="0.2">
      <c r="A125" s="117" t="s">
        <v>271</v>
      </c>
      <c r="B125" s="27" t="s">
        <v>272</v>
      </c>
      <c r="C125" s="28">
        <v>1</v>
      </c>
      <c r="D125" s="118" t="s">
        <v>118</v>
      </c>
    </row>
    <row r="126" spans="1:4" x14ac:dyDescent="0.2">
      <c r="A126" s="117" t="s">
        <v>273</v>
      </c>
      <c r="B126" s="27" t="s">
        <v>274</v>
      </c>
      <c r="C126" s="28">
        <v>1</v>
      </c>
      <c r="D126" s="118" t="s">
        <v>108</v>
      </c>
    </row>
    <row r="127" spans="1:4" x14ac:dyDescent="0.2">
      <c r="A127" s="202"/>
      <c r="C127" s="3"/>
      <c r="D127" s="4"/>
    </row>
    <row r="128" spans="1:4" ht="13.5" thickBot="1" x14ac:dyDescent="0.25">
      <c r="A128" s="124"/>
      <c r="B128" s="120" t="s">
        <v>98</v>
      </c>
      <c r="C128" s="176">
        <f>SUM(C95:C127)</f>
        <v>134</v>
      </c>
      <c r="D128" s="121"/>
    </row>
    <row r="129" spans="1:4" x14ac:dyDescent="0.2">
      <c r="A129" s="3"/>
      <c r="C129" s="3"/>
      <c r="D129" s="14"/>
    </row>
    <row r="130" spans="1:4" ht="13.5" thickBot="1" x14ac:dyDescent="0.25">
      <c r="A130" s="3"/>
      <c r="C130" s="3"/>
      <c r="D130" s="14"/>
    </row>
    <row r="131" spans="1:4" ht="18" x14ac:dyDescent="0.25">
      <c r="A131" s="252" t="s">
        <v>321</v>
      </c>
      <c r="B131" s="253"/>
      <c r="C131" s="253"/>
      <c r="D131" s="1"/>
    </row>
    <row r="132" spans="1:4" x14ac:dyDescent="0.2">
      <c r="A132" s="13"/>
      <c r="B132" s="171" t="str">
        <f>Issue</f>
        <v>2024 Show Season V1 7/22/2024</v>
      </c>
      <c r="C132" s="3"/>
      <c r="D132" s="4"/>
    </row>
    <row r="133" spans="1:4" ht="15.75" x14ac:dyDescent="0.25">
      <c r="A133" s="17"/>
      <c r="B133" s="107" t="str">
        <f>Season</f>
        <v>2022/2023</v>
      </c>
      <c r="C133" s="3"/>
      <c r="D133" s="4"/>
    </row>
    <row r="134" spans="1:4" x14ac:dyDescent="0.2">
      <c r="A134" s="17"/>
      <c r="C134" s="3" t="s">
        <v>75</v>
      </c>
      <c r="D134" s="38" t="s">
        <v>206</v>
      </c>
    </row>
    <row r="135" spans="1:4" x14ac:dyDescent="0.2">
      <c r="A135" s="9" t="s">
        <v>2</v>
      </c>
      <c r="B135" s="10" t="s">
        <v>3</v>
      </c>
      <c r="C135" s="15" t="s">
        <v>4</v>
      </c>
      <c r="D135" s="116" t="s">
        <v>207</v>
      </c>
    </row>
    <row r="136" spans="1:4" x14ac:dyDescent="0.2">
      <c r="A136" s="227" t="s">
        <v>71</v>
      </c>
      <c r="B136" s="27" t="s">
        <v>202</v>
      </c>
      <c r="C136" s="28">
        <v>5</v>
      </c>
      <c r="D136" s="206">
        <v>5</v>
      </c>
    </row>
    <row r="137" spans="1:4" x14ac:dyDescent="0.2">
      <c r="A137" s="31" t="s">
        <v>76</v>
      </c>
      <c r="B137" s="27" t="s">
        <v>212</v>
      </c>
      <c r="C137" s="28">
        <v>6</v>
      </c>
      <c r="D137" s="206">
        <v>6</v>
      </c>
    </row>
    <row r="138" spans="1:4" x14ac:dyDescent="0.2">
      <c r="A138" s="31" t="s">
        <v>324</v>
      </c>
      <c r="B138" s="204" t="s">
        <v>325</v>
      </c>
      <c r="C138" s="28">
        <v>18</v>
      </c>
      <c r="D138" s="206">
        <v>18</v>
      </c>
    </row>
    <row r="139" spans="1:4" x14ac:dyDescent="0.2">
      <c r="A139" s="31" t="s">
        <v>143</v>
      </c>
      <c r="B139" s="27" t="s">
        <v>221</v>
      </c>
      <c r="C139" s="28">
        <v>3</v>
      </c>
      <c r="D139" s="206">
        <v>3</v>
      </c>
    </row>
    <row r="140" spans="1:4" x14ac:dyDescent="0.2">
      <c r="A140" s="31" t="s">
        <v>142</v>
      </c>
      <c r="B140" s="27" t="s">
        <v>222</v>
      </c>
      <c r="C140" s="28">
        <v>1</v>
      </c>
      <c r="D140" s="206">
        <v>1</v>
      </c>
    </row>
    <row r="141" spans="1:4" x14ac:dyDescent="0.2">
      <c r="A141" s="31" t="s">
        <v>144</v>
      </c>
      <c r="B141" s="27" t="s">
        <v>223</v>
      </c>
      <c r="C141" s="28">
        <v>3</v>
      </c>
      <c r="D141" s="206">
        <v>3</v>
      </c>
    </row>
    <row r="142" spans="1:4" x14ac:dyDescent="0.2">
      <c r="A142" s="31" t="s">
        <v>145</v>
      </c>
      <c r="B142" s="27" t="s">
        <v>224</v>
      </c>
      <c r="C142" s="28">
        <v>1</v>
      </c>
      <c r="D142" s="206">
        <v>1</v>
      </c>
    </row>
    <row r="143" spans="1:4" x14ac:dyDescent="0.2">
      <c r="A143" s="31" t="s">
        <v>172</v>
      </c>
      <c r="B143" s="27" t="s">
        <v>225</v>
      </c>
      <c r="C143" s="28">
        <v>7</v>
      </c>
      <c r="D143" s="206">
        <v>7</v>
      </c>
    </row>
    <row r="144" spans="1:4" x14ac:dyDescent="0.2">
      <c r="A144" s="31" t="s">
        <v>173</v>
      </c>
      <c r="B144" s="27" t="s">
        <v>226</v>
      </c>
      <c r="C144" s="28">
        <v>6</v>
      </c>
      <c r="D144" s="206">
        <v>6</v>
      </c>
    </row>
    <row r="145" spans="1:4" x14ac:dyDescent="0.2">
      <c r="A145" s="31" t="s">
        <v>77</v>
      </c>
      <c r="B145" s="27" t="s">
        <v>127</v>
      </c>
      <c r="C145" s="28">
        <v>7</v>
      </c>
      <c r="D145" s="206">
        <v>7</v>
      </c>
    </row>
    <row r="146" spans="1:4" x14ac:dyDescent="0.2">
      <c r="A146" s="31" t="s">
        <v>78</v>
      </c>
      <c r="B146" s="27" t="s">
        <v>139</v>
      </c>
      <c r="C146" s="28">
        <v>10</v>
      </c>
      <c r="D146" s="206">
        <v>10</v>
      </c>
    </row>
    <row r="147" spans="1:4" x14ac:dyDescent="0.2">
      <c r="A147" s="31" t="s">
        <v>79</v>
      </c>
      <c r="B147" s="27" t="s">
        <v>150</v>
      </c>
      <c r="C147" s="28">
        <v>7</v>
      </c>
      <c r="D147" s="206">
        <v>7</v>
      </c>
    </row>
    <row r="148" spans="1:4" x14ac:dyDescent="0.2">
      <c r="A148" s="31" t="s">
        <v>140</v>
      </c>
      <c r="B148" s="27" t="s">
        <v>213</v>
      </c>
      <c r="C148" s="28">
        <v>4</v>
      </c>
      <c r="D148" s="206">
        <v>4</v>
      </c>
    </row>
    <row r="149" spans="1:4" x14ac:dyDescent="0.2">
      <c r="A149" s="31" t="s">
        <v>146</v>
      </c>
      <c r="B149" s="27" t="s">
        <v>214</v>
      </c>
      <c r="C149" s="28">
        <v>3</v>
      </c>
      <c r="D149" s="206">
        <v>3</v>
      </c>
    </row>
    <row r="150" spans="1:4" x14ac:dyDescent="0.2">
      <c r="A150" s="31" t="s">
        <v>80</v>
      </c>
      <c r="B150" s="27" t="s">
        <v>208</v>
      </c>
      <c r="C150" s="28">
        <v>9</v>
      </c>
      <c r="D150" s="206">
        <v>9</v>
      </c>
    </row>
    <row r="151" spans="1:4" x14ac:dyDescent="0.2">
      <c r="A151" s="31" t="s">
        <v>81</v>
      </c>
      <c r="B151" s="27" t="s">
        <v>210</v>
      </c>
      <c r="C151" s="28">
        <v>10</v>
      </c>
      <c r="D151" s="206">
        <v>10</v>
      </c>
    </row>
    <row r="152" spans="1:4" x14ac:dyDescent="0.2">
      <c r="A152" s="31" t="s">
        <v>82</v>
      </c>
      <c r="B152" s="27" t="s">
        <v>211</v>
      </c>
      <c r="C152" s="28">
        <v>7</v>
      </c>
      <c r="D152" s="206">
        <v>7</v>
      </c>
    </row>
    <row r="153" spans="1:4" x14ac:dyDescent="0.2">
      <c r="A153" s="31" t="s">
        <v>99</v>
      </c>
      <c r="B153" s="27" t="s">
        <v>227</v>
      </c>
      <c r="C153" s="28">
        <v>22</v>
      </c>
      <c r="D153" s="206">
        <v>22</v>
      </c>
    </row>
    <row r="154" spans="1:4" x14ac:dyDescent="0.2">
      <c r="A154" s="31" t="s">
        <v>99</v>
      </c>
      <c r="B154" s="27" t="s">
        <v>228</v>
      </c>
      <c r="C154" s="28">
        <v>14</v>
      </c>
      <c r="D154" s="206">
        <v>14</v>
      </c>
    </row>
    <row r="155" spans="1:4" x14ac:dyDescent="0.2">
      <c r="A155" s="31" t="s">
        <v>100</v>
      </c>
      <c r="B155" s="27" t="s">
        <v>229</v>
      </c>
      <c r="C155" s="28">
        <v>22</v>
      </c>
      <c r="D155" s="206">
        <v>22</v>
      </c>
    </row>
    <row r="156" spans="1:4" x14ac:dyDescent="0.2">
      <c r="A156" s="31" t="s">
        <v>100</v>
      </c>
      <c r="B156" s="27" t="s">
        <v>230</v>
      </c>
      <c r="C156" s="28">
        <v>14</v>
      </c>
      <c r="D156" s="206">
        <v>14</v>
      </c>
    </row>
    <row r="157" spans="1:4" x14ac:dyDescent="0.2">
      <c r="A157" s="31" t="s">
        <v>158</v>
      </c>
      <c r="B157" s="27" t="s">
        <v>215</v>
      </c>
      <c r="C157" s="28">
        <v>7</v>
      </c>
      <c r="D157" s="206">
        <v>7</v>
      </c>
    </row>
    <row r="158" spans="1:4" x14ac:dyDescent="0.2">
      <c r="A158" s="31" t="s">
        <v>159</v>
      </c>
      <c r="B158" s="27" t="s">
        <v>216</v>
      </c>
      <c r="C158" s="28">
        <v>6</v>
      </c>
      <c r="D158" s="206">
        <v>6</v>
      </c>
    </row>
    <row r="159" spans="1:4" x14ac:dyDescent="0.2">
      <c r="A159" s="31" t="s">
        <v>236</v>
      </c>
      <c r="B159" s="27" t="s">
        <v>231</v>
      </c>
      <c r="C159" s="28">
        <v>7</v>
      </c>
      <c r="D159" s="206">
        <v>7</v>
      </c>
    </row>
    <row r="160" spans="1:4" x14ac:dyDescent="0.2">
      <c r="A160" s="31" t="s">
        <v>237</v>
      </c>
      <c r="B160" s="27" t="s">
        <v>232</v>
      </c>
      <c r="C160" s="260">
        <v>0</v>
      </c>
      <c r="D160" s="206">
        <v>0</v>
      </c>
    </row>
    <row r="161" spans="1:4" x14ac:dyDescent="0.2">
      <c r="A161" s="31" t="s">
        <v>161</v>
      </c>
      <c r="B161" s="27" t="s">
        <v>233</v>
      </c>
      <c r="C161" s="28">
        <v>5</v>
      </c>
      <c r="D161" s="206">
        <v>5</v>
      </c>
    </row>
    <row r="162" spans="1:4" x14ac:dyDescent="0.2">
      <c r="A162" s="31" t="s">
        <v>162</v>
      </c>
      <c r="B162" s="27" t="s">
        <v>234</v>
      </c>
      <c r="C162" s="260">
        <v>0</v>
      </c>
      <c r="D162" s="206">
        <v>0</v>
      </c>
    </row>
    <row r="163" spans="1:4" x14ac:dyDescent="0.2">
      <c r="A163" s="31" t="s">
        <v>85</v>
      </c>
      <c r="B163" s="27" t="s">
        <v>220</v>
      </c>
      <c r="C163" s="28">
        <v>7</v>
      </c>
      <c r="D163" s="206">
        <v>7</v>
      </c>
    </row>
    <row r="164" spans="1:4" x14ac:dyDescent="0.2">
      <c r="A164" s="31" t="s">
        <v>85</v>
      </c>
      <c r="B164" s="27" t="s">
        <v>219</v>
      </c>
      <c r="C164" s="28">
        <v>6</v>
      </c>
      <c r="D164" s="206">
        <v>6</v>
      </c>
    </row>
    <row r="165" spans="1:4" x14ac:dyDescent="0.2">
      <c r="A165" s="31" t="s">
        <v>339</v>
      </c>
      <c r="B165" s="27" t="s">
        <v>341</v>
      </c>
      <c r="C165" s="28">
        <v>7</v>
      </c>
      <c r="D165" s="206">
        <v>7</v>
      </c>
    </row>
    <row r="166" spans="1:4" x14ac:dyDescent="0.2">
      <c r="A166" s="31" t="s">
        <v>340</v>
      </c>
      <c r="B166" s="204" t="s">
        <v>342</v>
      </c>
      <c r="C166" s="28">
        <v>6</v>
      </c>
      <c r="D166" s="206">
        <v>6</v>
      </c>
    </row>
    <row r="167" spans="1:4" x14ac:dyDescent="0.2">
      <c r="A167" s="31" t="s">
        <v>163</v>
      </c>
      <c r="B167" s="27" t="s">
        <v>217</v>
      </c>
      <c r="C167" s="28">
        <v>3</v>
      </c>
      <c r="D167" s="206">
        <v>3</v>
      </c>
    </row>
    <row r="168" spans="1:4" x14ac:dyDescent="0.2">
      <c r="A168" s="31" t="s">
        <v>164</v>
      </c>
      <c r="B168" s="27" t="s">
        <v>218</v>
      </c>
      <c r="C168" s="28">
        <v>1</v>
      </c>
      <c r="D168" s="206">
        <v>1</v>
      </c>
    </row>
    <row r="169" spans="1:4" x14ac:dyDescent="0.2">
      <c r="A169" s="31" t="s">
        <v>326</v>
      </c>
      <c r="B169" s="27" t="s">
        <v>327</v>
      </c>
      <c r="C169" s="28">
        <v>9</v>
      </c>
      <c r="D169" s="206">
        <v>9</v>
      </c>
    </row>
    <row r="170" spans="1:4" x14ac:dyDescent="0.2">
      <c r="A170" s="31" t="s">
        <v>86</v>
      </c>
      <c r="B170" s="27" t="s">
        <v>101</v>
      </c>
      <c r="C170" s="28">
        <v>2</v>
      </c>
      <c r="D170" s="206">
        <v>2</v>
      </c>
    </row>
    <row r="171" spans="1:4" x14ac:dyDescent="0.2">
      <c r="A171" s="31" t="s">
        <v>118</v>
      </c>
      <c r="B171" s="27" t="s">
        <v>235</v>
      </c>
      <c r="C171" s="28">
        <v>6</v>
      </c>
      <c r="D171" s="206">
        <v>6</v>
      </c>
    </row>
    <row r="172" spans="1:4" x14ac:dyDescent="0.2">
      <c r="A172" s="125"/>
      <c r="C172" s="3"/>
      <c r="D172" s="126" t="s">
        <v>203</v>
      </c>
    </row>
    <row r="173" spans="1:4" x14ac:dyDescent="0.2">
      <c r="A173" s="117"/>
      <c r="B173" s="24" t="s">
        <v>87</v>
      </c>
      <c r="C173" s="175">
        <f>SUM(C135:C172)</f>
        <v>251</v>
      </c>
      <c r="D173" s="178">
        <f>SUM(D135:D172)</f>
        <v>251</v>
      </c>
    </row>
    <row r="174" spans="1:4" x14ac:dyDescent="0.2">
      <c r="A174" s="7"/>
      <c r="C174" s="3"/>
      <c r="D174" s="38"/>
    </row>
    <row r="175" spans="1:4" x14ac:dyDescent="0.2">
      <c r="A175" s="31"/>
      <c r="B175" s="34" t="s">
        <v>103</v>
      </c>
      <c r="C175" s="175">
        <f>C128+C173</f>
        <v>385</v>
      </c>
      <c r="D175" s="37"/>
    </row>
    <row r="176" spans="1:4" x14ac:dyDescent="0.2">
      <c r="A176" s="7"/>
      <c r="C176" s="3"/>
      <c r="D176" s="38"/>
    </row>
    <row r="177" spans="1:4" ht="13.5" thickBot="1" x14ac:dyDescent="0.25">
      <c r="A177" s="119"/>
      <c r="B177" s="127" t="s">
        <v>160</v>
      </c>
      <c r="C177" s="176">
        <f>C87+C175</f>
        <v>780</v>
      </c>
      <c r="D177" s="122"/>
    </row>
  </sheetData>
  <autoFilter ref="A1:D37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1" max="16383" man="1"/>
    <brk id="130" max="4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3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72" t="s">
        <v>315</v>
      </c>
      <c r="B1" s="72"/>
      <c r="C1" s="72"/>
      <c r="D1" s="72"/>
      <c r="E1" s="72"/>
      <c r="F1" s="72"/>
      <c r="G1" s="73"/>
      <c r="H1" s="74"/>
      <c r="I1" s="74"/>
      <c r="J1" s="74"/>
      <c r="K1" s="74"/>
      <c r="L1" s="74"/>
      <c r="M1" s="74" t="s">
        <v>266</v>
      </c>
      <c r="N1" s="71" t="str">
        <f>Issue</f>
        <v>2024 Show Season V1 7/22/2024</v>
      </c>
      <c r="O1" s="71"/>
      <c r="P1" s="71"/>
      <c r="Q1" s="71"/>
      <c r="R1" s="73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</row>
    <row r="2" spans="1:51" ht="15.75" x14ac:dyDescent="0.25">
      <c r="A2" s="72" t="s">
        <v>316</v>
      </c>
      <c r="B2" s="72"/>
      <c r="C2" s="72"/>
      <c r="D2" s="72"/>
      <c r="E2" s="72"/>
      <c r="F2" s="72"/>
      <c r="G2" s="73"/>
      <c r="H2" s="75"/>
      <c r="I2" s="76"/>
      <c r="J2" s="75"/>
      <c r="K2" s="75"/>
      <c r="L2" s="75"/>
      <c r="M2" s="75"/>
      <c r="N2" s="71"/>
      <c r="O2" s="71"/>
      <c r="P2" s="71"/>
      <c r="Q2" s="71"/>
      <c r="R2" s="7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4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</row>
    <row r="3" spans="1:51" ht="15" customHeight="1" x14ac:dyDescent="0.3">
      <c r="A3" s="79" t="s">
        <v>345</v>
      </c>
      <c r="B3" s="223"/>
      <c r="C3" s="223"/>
      <c r="D3" s="223"/>
      <c r="E3" s="223"/>
      <c r="F3" s="223"/>
      <c r="G3" s="73"/>
      <c r="H3" s="75"/>
      <c r="I3" s="76"/>
      <c r="J3" s="173" t="s">
        <v>165</v>
      </c>
      <c r="K3" s="78"/>
      <c r="L3" s="77"/>
      <c r="M3" s="77"/>
      <c r="N3" s="71"/>
      <c r="O3" s="71"/>
      <c r="P3" s="71"/>
      <c r="Q3" s="71"/>
      <c r="R3" s="73"/>
      <c r="S3" s="20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</row>
    <row r="4" spans="1:51" ht="15.75" x14ac:dyDescent="0.25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3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</row>
    <row r="5" spans="1:51" ht="16.5" thickBot="1" x14ac:dyDescent="0.3">
      <c r="A5" s="62" t="str">
        <f>A3</f>
        <v>Friday 9/29/2023</v>
      </c>
      <c r="B5" s="222" t="s">
        <v>129</v>
      </c>
      <c r="C5" s="222" t="s">
        <v>130</v>
      </c>
      <c r="D5" s="229" t="s">
        <v>131</v>
      </c>
      <c r="E5" s="222" t="s">
        <v>132</v>
      </c>
      <c r="F5" s="222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63" t="s">
        <v>174</v>
      </c>
      <c r="N5" s="63" t="s">
        <v>129</v>
      </c>
      <c r="O5" s="63" t="s">
        <v>130</v>
      </c>
      <c r="P5" s="63" t="s">
        <v>131</v>
      </c>
      <c r="Q5" s="63" t="s">
        <v>175</v>
      </c>
      <c r="R5" s="73"/>
      <c r="S5" s="20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</row>
    <row r="6" spans="1:51" ht="15.75" x14ac:dyDescent="0.25">
      <c r="A6" s="64" t="s">
        <v>202</v>
      </c>
      <c r="B6" s="71"/>
      <c r="C6" s="71"/>
      <c r="D6" s="71"/>
      <c r="E6" s="71"/>
      <c r="F6" s="71"/>
      <c r="G6" s="48" t="s">
        <v>49</v>
      </c>
      <c r="H6" s="48" t="s">
        <v>49</v>
      </c>
      <c r="I6" s="48" t="s">
        <v>49</v>
      </c>
      <c r="J6" s="48" t="s">
        <v>49</v>
      </c>
      <c r="K6" s="48" t="s">
        <v>49</v>
      </c>
      <c r="L6" s="43"/>
      <c r="M6" s="43"/>
      <c r="N6" s="43"/>
      <c r="O6" s="43"/>
      <c r="P6" s="43"/>
      <c r="Q6" s="179"/>
      <c r="R6" s="174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</row>
    <row r="7" spans="1:51" ht="15" x14ac:dyDescent="0.2">
      <c r="A7" s="65" t="s">
        <v>202</v>
      </c>
      <c r="B7" s="71"/>
      <c r="C7" s="71"/>
      <c r="D7" s="71"/>
      <c r="E7" s="71"/>
      <c r="F7" s="71"/>
      <c r="G7" s="43"/>
      <c r="H7" s="43"/>
      <c r="I7" s="43"/>
      <c r="J7" s="43"/>
      <c r="K7" s="43"/>
      <c r="L7" s="43"/>
      <c r="M7" s="43"/>
      <c r="N7" s="43"/>
      <c r="O7" s="43"/>
      <c r="P7" s="43"/>
      <c r="Q7" s="179"/>
      <c r="R7" s="73"/>
      <c r="S7" s="20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Y7" s="20"/>
    </row>
    <row r="8" spans="1:51" ht="15" x14ac:dyDescent="0.2">
      <c r="A8" s="65" t="s">
        <v>327</v>
      </c>
      <c r="B8" s="65"/>
      <c r="C8" s="65"/>
      <c r="D8" s="205" t="s">
        <v>31</v>
      </c>
      <c r="E8" s="205" t="s">
        <v>303</v>
      </c>
      <c r="F8" s="205" t="s">
        <v>303</v>
      </c>
      <c r="G8" s="235" t="s">
        <v>31</v>
      </c>
      <c r="H8" s="235" t="s">
        <v>31</v>
      </c>
      <c r="I8" s="235" t="s">
        <v>31</v>
      </c>
      <c r="J8" s="235" t="s">
        <v>31</v>
      </c>
      <c r="K8" s="235" t="s">
        <v>31</v>
      </c>
      <c r="L8" s="205" t="s">
        <v>31</v>
      </c>
      <c r="M8" s="205"/>
      <c r="N8" s="43"/>
      <c r="O8" s="43"/>
      <c r="P8" s="43"/>
      <c r="Q8" s="179"/>
      <c r="R8" s="73"/>
      <c r="S8" s="20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Y8" s="20"/>
    </row>
    <row r="9" spans="1:51" ht="15" x14ac:dyDescent="0.2">
      <c r="A9" s="65" t="s">
        <v>325</v>
      </c>
      <c r="B9" s="65"/>
      <c r="C9" s="65"/>
      <c r="D9" s="65"/>
      <c r="E9" s="205" t="s">
        <v>52</v>
      </c>
      <c r="F9" s="205" t="s">
        <v>52</v>
      </c>
      <c r="G9" s="235" t="s">
        <v>119</v>
      </c>
      <c r="H9" s="235" t="s">
        <v>117</v>
      </c>
      <c r="I9" s="235" t="s">
        <v>26</v>
      </c>
      <c r="J9" s="235" t="s">
        <v>119</v>
      </c>
      <c r="K9" s="235" t="s">
        <v>117</v>
      </c>
      <c r="L9" s="205" t="s">
        <v>108</v>
      </c>
      <c r="M9" s="205" t="s">
        <v>117</v>
      </c>
      <c r="N9" s="43"/>
      <c r="O9" s="43"/>
      <c r="P9" s="43"/>
      <c r="Q9" s="179"/>
      <c r="R9" s="73"/>
      <c r="S9" s="20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Y9" s="20"/>
    </row>
    <row r="10" spans="1:51" ht="15" x14ac:dyDescent="0.2">
      <c r="A10" s="65" t="s">
        <v>325</v>
      </c>
      <c r="B10" s="65"/>
      <c r="C10" s="65"/>
      <c r="D10" s="65"/>
      <c r="E10" s="236" t="s">
        <v>353</v>
      </c>
      <c r="F10" s="236" t="s">
        <v>353</v>
      </c>
      <c r="G10" s="235" t="s">
        <v>57</v>
      </c>
      <c r="H10" s="235" t="s">
        <v>57</v>
      </c>
      <c r="I10" s="235" t="s">
        <v>118</v>
      </c>
      <c r="J10" s="235" t="s">
        <v>26</v>
      </c>
      <c r="K10" s="235" t="s">
        <v>108</v>
      </c>
      <c r="L10" s="205" t="s">
        <v>28</v>
      </c>
      <c r="M10" s="205" t="s">
        <v>52</v>
      </c>
      <c r="N10" s="43"/>
      <c r="O10" s="43"/>
      <c r="P10" s="43"/>
      <c r="Q10" s="179"/>
      <c r="R10" s="73"/>
      <c r="S10" s="20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Y10" s="20"/>
    </row>
    <row r="11" spans="1:51" ht="15" x14ac:dyDescent="0.2">
      <c r="A11" s="66" t="s">
        <v>127</v>
      </c>
      <c r="B11" s="220"/>
      <c r="C11" s="220"/>
      <c r="D11" s="220"/>
      <c r="E11" s="220"/>
      <c r="F11" s="220"/>
      <c r="G11" s="41"/>
      <c r="H11" s="41"/>
      <c r="I11" s="47" t="s">
        <v>114</v>
      </c>
      <c r="J11" s="47" t="s">
        <v>114</v>
      </c>
      <c r="K11" s="47" t="s">
        <v>114</v>
      </c>
      <c r="L11" s="47" t="s">
        <v>114</v>
      </c>
      <c r="M11" s="47" t="s">
        <v>114</v>
      </c>
      <c r="N11" s="237" t="s">
        <v>114</v>
      </c>
      <c r="O11" s="237" t="s">
        <v>114</v>
      </c>
      <c r="P11" s="218"/>
      <c r="Q11" s="180"/>
      <c r="R11" s="7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14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Y11" s="20"/>
    </row>
    <row r="12" spans="1:51" ht="15" x14ac:dyDescent="0.2">
      <c r="A12" s="66" t="s">
        <v>208</v>
      </c>
      <c r="B12" s="220"/>
      <c r="C12" s="220"/>
      <c r="D12" s="220"/>
      <c r="E12" s="220"/>
      <c r="F12" s="220"/>
      <c r="G12" s="238" t="s">
        <v>52</v>
      </c>
      <c r="H12" s="238" t="s">
        <v>52</v>
      </c>
      <c r="I12" s="47" t="s">
        <v>52</v>
      </c>
      <c r="J12" s="47" t="s">
        <v>52</v>
      </c>
      <c r="K12" s="47" t="s">
        <v>57</v>
      </c>
      <c r="L12" s="47" t="s">
        <v>57</v>
      </c>
      <c r="M12" s="47" t="s">
        <v>57</v>
      </c>
      <c r="N12" s="48" t="s">
        <v>57</v>
      </c>
      <c r="O12" s="48" t="s">
        <v>57</v>
      </c>
      <c r="P12" s="217"/>
      <c r="Q12" s="180"/>
      <c r="R12" s="73"/>
      <c r="S12" s="20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Y12" s="20"/>
    </row>
    <row r="13" spans="1:51" ht="15" x14ac:dyDescent="0.2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Y13" s="20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31"/>
  <sheetViews>
    <sheetView zoomScaleNormal="100" workbookViewId="0">
      <pane ySplit="5" topLeftCell="A16" activePane="bottomLeft" state="frozen"/>
      <selection activeCell="C23" sqref="C23"/>
      <selection pane="bottomLeft" activeCell="C23" sqref="C2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21" bestFit="1" customWidth="1"/>
  </cols>
  <sheetData>
    <row r="1" spans="1:43" ht="15.75" x14ac:dyDescent="0.25">
      <c r="A1" s="72" t="s">
        <v>315</v>
      </c>
      <c r="B1" s="73"/>
      <c r="C1" s="72"/>
      <c r="D1" s="72"/>
      <c r="E1" s="72"/>
      <c r="F1" s="72"/>
      <c r="G1" s="72"/>
      <c r="H1" s="72" t="s">
        <v>266</v>
      </c>
      <c r="I1" s="71" t="str">
        <f>Issue</f>
        <v>2024 Show Season V1 7/22/2024</v>
      </c>
      <c r="J1" s="71"/>
      <c r="K1" s="71"/>
      <c r="L1" s="71"/>
      <c r="M1" s="73"/>
    </row>
    <row r="2" spans="1:43" ht="15.75" x14ac:dyDescent="0.25">
      <c r="A2" s="72" t="s">
        <v>316</v>
      </c>
      <c r="B2" s="75"/>
      <c r="C2" s="71"/>
      <c r="D2" s="71"/>
      <c r="E2" s="71"/>
      <c r="F2" s="71"/>
      <c r="G2" s="71"/>
      <c r="H2" s="71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8.75" x14ac:dyDescent="0.3">
      <c r="A3" s="79" t="s">
        <v>346</v>
      </c>
      <c r="B3" s="71"/>
      <c r="C3" s="71"/>
      <c r="D3" s="71"/>
      <c r="E3" s="173" t="s">
        <v>166</v>
      </c>
      <c r="F3" s="77"/>
      <c r="G3" s="77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75" x14ac:dyDescent="0.25">
      <c r="A4" s="74"/>
      <c r="B4" s="71"/>
      <c r="C4" s="71"/>
      <c r="D4" s="71"/>
      <c r="E4" s="71"/>
      <c r="F4" s="71"/>
      <c r="G4" s="71"/>
      <c r="H4" s="71"/>
      <c r="I4" s="71"/>
      <c r="J4" s="71"/>
      <c r="K4" s="71"/>
      <c r="L4" s="82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5" thickBot="1" x14ac:dyDescent="0.3">
      <c r="A5" s="62" t="str">
        <f>A3</f>
        <v>Saturday 9/30/2023</v>
      </c>
      <c r="B5" s="68" t="s">
        <v>129</v>
      </c>
      <c r="C5" s="68" t="s">
        <v>130</v>
      </c>
      <c r="D5" s="68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8" t="s">
        <v>149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">
      <c r="A6" s="64" t="s">
        <v>212</v>
      </c>
      <c r="B6" s="48" t="s">
        <v>113</v>
      </c>
      <c r="C6" s="48" t="s">
        <v>57</v>
      </c>
      <c r="D6" s="20" t="s">
        <v>52</v>
      </c>
      <c r="E6" s="43"/>
      <c r="F6" s="43"/>
      <c r="G6" s="43"/>
      <c r="H6" s="43"/>
      <c r="I6" s="43"/>
      <c r="J6" s="43"/>
      <c r="K6" s="43"/>
      <c r="L6" s="44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">
      <c r="A7" s="65" t="s">
        <v>212</v>
      </c>
      <c r="B7" s="48" t="s">
        <v>8</v>
      </c>
      <c r="C7" s="48" t="s">
        <v>8</v>
      </c>
      <c r="D7" s="20" t="s">
        <v>52</v>
      </c>
      <c r="E7" s="43"/>
      <c r="F7" s="43"/>
      <c r="G7" s="43"/>
      <c r="H7" s="43"/>
      <c r="I7" s="43"/>
      <c r="J7" s="43"/>
      <c r="K7" s="43"/>
      <c r="L7" s="44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">
      <c r="A8" s="66" t="s">
        <v>221</v>
      </c>
      <c r="B8" s="47" t="s">
        <v>124</v>
      </c>
      <c r="C8" s="47" t="s">
        <v>119</v>
      </c>
      <c r="D8" s="238" t="s">
        <v>18</v>
      </c>
      <c r="E8" s="45"/>
      <c r="F8" s="41"/>
      <c r="G8" s="41"/>
      <c r="H8" s="41"/>
      <c r="I8" s="41"/>
      <c r="J8" s="41"/>
      <c r="K8" s="41"/>
      <c r="L8" s="42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5" t="s">
        <v>223</v>
      </c>
      <c r="B9" s="48" t="s">
        <v>117</v>
      </c>
      <c r="C9" s="48" t="s">
        <v>117</v>
      </c>
      <c r="D9" s="20" t="s">
        <v>57</v>
      </c>
      <c r="E9" s="46"/>
      <c r="F9" s="43"/>
      <c r="G9" s="43"/>
      <c r="H9" s="43"/>
      <c r="I9" s="43"/>
      <c r="J9" s="43"/>
      <c r="K9" s="43"/>
      <c r="L9" s="44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6" t="s">
        <v>306</v>
      </c>
      <c r="B10" s="41"/>
      <c r="C10" s="41"/>
      <c r="D10" s="41"/>
      <c r="E10" s="47" t="s">
        <v>28</v>
      </c>
      <c r="F10" s="239" t="s">
        <v>119</v>
      </c>
      <c r="G10" s="47" t="s">
        <v>119</v>
      </c>
      <c r="H10" s="47" t="s">
        <v>52</v>
      </c>
      <c r="I10" s="47" t="s">
        <v>52</v>
      </c>
      <c r="J10" s="47" t="s">
        <v>114</v>
      </c>
      <c r="K10" s="47" t="s">
        <v>52</v>
      </c>
      <c r="L10" s="42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6" t="s">
        <v>139</v>
      </c>
      <c r="B11" s="47" t="s">
        <v>114</v>
      </c>
      <c r="C11" s="47" t="s">
        <v>114</v>
      </c>
      <c r="D11" s="235" t="s">
        <v>114</v>
      </c>
      <c r="E11" s="240" t="s">
        <v>353</v>
      </c>
      <c r="F11" s="47" t="s">
        <v>303</v>
      </c>
      <c r="G11" s="47" t="s">
        <v>303</v>
      </c>
      <c r="H11" s="47" t="s">
        <v>118</v>
      </c>
      <c r="I11" s="47" t="s">
        <v>108</v>
      </c>
      <c r="J11" s="47" t="s">
        <v>8</v>
      </c>
      <c r="K11" s="241" t="s">
        <v>188</v>
      </c>
      <c r="L11" s="42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6" t="s">
        <v>213</v>
      </c>
      <c r="B12" s="41"/>
      <c r="C12" s="41"/>
      <c r="D12" s="235" t="s">
        <v>115</v>
      </c>
      <c r="E12" s="42"/>
      <c r="F12" s="47" t="s">
        <v>115</v>
      </c>
      <c r="G12" s="42"/>
      <c r="H12" s="47" t="s">
        <v>115</v>
      </c>
      <c r="I12" s="42"/>
      <c r="J12" s="47" t="s">
        <v>115</v>
      </c>
      <c r="K12" s="42"/>
      <c r="L12" s="42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6" t="s">
        <v>210</v>
      </c>
      <c r="B13" s="240" t="s">
        <v>353</v>
      </c>
      <c r="C13" s="240" t="s">
        <v>353</v>
      </c>
      <c r="D13" s="240" t="s">
        <v>353</v>
      </c>
      <c r="E13" s="47" t="s">
        <v>119</v>
      </c>
      <c r="F13" s="47" t="s">
        <v>124</v>
      </c>
      <c r="G13" s="47" t="s">
        <v>124</v>
      </c>
      <c r="H13" s="47" t="s">
        <v>113</v>
      </c>
      <c r="I13" s="47" t="s">
        <v>119</v>
      </c>
      <c r="J13" s="47" t="s">
        <v>118</v>
      </c>
      <c r="K13" s="47" t="s">
        <v>113</v>
      </c>
      <c r="L13" s="42"/>
      <c r="M13" s="73"/>
    </row>
    <row r="14" spans="1:43" ht="15" x14ac:dyDescent="0.2">
      <c r="A14" s="66" t="s">
        <v>307</v>
      </c>
      <c r="B14" s="41"/>
      <c r="C14" s="41"/>
      <c r="D14" s="41"/>
      <c r="E14" s="47" t="s">
        <v>113</v>
      </c>
      <c r="F14" s="47" t="s">
        <v>113</v>
      </c>
      <c r="G14" s="47" t="s">
        <v>49</v>
      </c>
      <c r="H14" s="47" t="s">
        <v>28</v>
      </c>
      <c r="I14" s="47" t="s">
        <v>18</v>
      </c>
      <c r="J14" s="47" t="s">
        <v>124</v>
      </c>
      <c r="K14" s="47" t="s">
        <v>117</v>
      </c>
      <c r="L14" s="42"/>
      <c r="M14" s="73"/>
    </row>
    <row r="15" spans="1:43" ht="15" x14ac:dyDescent="0.2">
      <c r="A15" s="65" t="s">
        <v>307</v>
      </c>
      <c r="B15" s="43"/>
      <c r="C15" s="43"/>
      <c r="D15" s="43"/>
      <c r="E15" s="48" t="s">
        <v>114</v>
      </c>
      <c r="F15" s="48" t="s">
        <v>114</v>
      </c>
      <c r="G15" s="48" t="s">
        <v>113</v>
      </c>
      <c r="H15" s="48" t="s">
        <v>18</v>
      </c>
      <c r="I15" s="48" t="s">
        <v>124</v>
      </c>
      <c r="J15" s="48" t="s">
        <v>28</v>
      </c>
      <c r="K15" s="48" t="s">
        <v>114</v>
      </c>
      <c r="L15" s="44"/>
      <c r="M15" s="73"/>
    </row>
    <row r="16" spans="1:43" ht="15" x14ac:dyDescent="0.2">
      <c r="A16" s="65" t="s">
        <v>307</v>
      </c>
      <c r="B16" s="43"/>
      <c r="C16" s="43"/>
      <c r="D16" s="43"/>
      <c r="E16" s="48" t="s">
        <v>57</v>
      </c>
      <c r="F16" s="48" t="s">
        <v>52</v>
      </c>
      <c r="G16" s="48" t="s">
        <v>52</v>
      </c>
      <c r="H16" s="48" t="s">
        <v>57</v>
      </c>
      <c r="I16" s="43"/>
      <c r="J16" s="43"/>
      <c r="K16" s="43"/>
      <c r="L16" s="44"/>
      <c r="M16" s="73"/>
    </row>
    <row r="17" spans="1:13" ht="15" x14ac:dyDescent="0.2">
      <c r="A17" s="65" t="s">
        <v>307</v>
      </c>
      <c r="B17" s="43"/>
      <c r="C17" s="43"/>
      <c r="D17" s="43"/>
      <c r="E17" s="48" t="s">
        <v>117</v>
      </c>
      <c r="F17" s="48" t="s">
        <v>117</v>
      </c>
      <c r="G17" s="48" t="s">
        <v>114</v>
      </c>
      <c r="H17" s="48" t="s">
        <v>114</v>
      </c>
      <c r="I17" s="43"/>
      <c r="J17" s="43"/>
      <c r="K17" s="43"/>
      <c r="L17" s="44"/>
      <c r="M17" s="73"/>
    </row>
    <row r="18" spans="1:13" ht="15" x14ac:dyDescent="0.2">
      <c r="A18" s="66" t="s">
        <v>309</v>
      </c>
      <c r="B18" s="43"/>
      <c r="C18" s="43"/>
      <c r="D18" s="43"/>
      <c r="E18" s="48" t="s">
        <v>124</v>
      </c>
      <c r="F18" s="48" t="s">
        <v>108</v>
      </c>
      <c r="G18" s="48" t="s">
        <v>47</v>
      </c>
      <c r="H18" s="48" t="s">
        <v>124</v>
      </c>
      <c r="I18" s="48" t="s">
        <v>113</v>
      </c>
      <c r="J18" s="242" t="s">
        <v>353</v>
      </c>
      <c r="K18" s="242" t="s">
        <v>353</v>
      </c>
      <c r="L18" s="44"/>
      <c r="M18" s="73"/>
    </row>
    <row r="19" spans="1:13" ht="15" x14ac:dyDescent="0.2">
      <c r="A19" s="66" t="s">
        <v>309</v>
      </c>
      <c r="B19" s="43"/>
      <c r="C19" s="43"/>
      <c r="D19" s="43"/>
      <c r="E19" s="242" t="s">
        <v>353</v>
      </c>
      <c r="F19" s="48" t="s">
        <v>57</v>
      </c>
      <c r="G19" s="48" t="s">
        <v>49</v>
      </c>
      <c r="H19" s="48" t="s">
        <v>113</v>
      </c>
      <c r="I19" s="242" t="s">
        <v>353</v>
      </c>
      <c r="J19" s="48" t="s">
        <v>113</v>
      </c>
      <c r="K19" s="48" t="s">
        <v>57</v>
      </c>
      <c r="L19" s="44"/>
      <c r="M19" s="73"/>
    </row>
    <row r="20" spans="1:13" ht="15" x14ac:dyDescent="0.2">
      <c r="A20" s="66" t="s">
        <v>309</v>
      </c>
      <c r="B20" s="43"/>
      <c r="C20" s="43"/>
      <c r="D20" s="43"/>
      <c r="E20" s="48" t="s">
        <v>49</v>
      </c>
      <c r="F20" s="48" t="s">
        <v>47</v>
      </c>
      <c r="G20" s="48" t="s">
        <v>124</v>
      </c>
      <c r="H20" s="242" t="s">
        <v>353</v>
      </c>
      <c r="I20" s="43"/>
      <c r="J20" s="43"/>
      <c r="K20" s="43"/>
      <c r="L20" s="44"/>
      <c r="M20" s="73"/>
    </row>
    <row r="21" spans="1:13" ht="15" x14ac:dyDescent="0.2">
      <c r="A21" s="66" t="s">
        <v>309</v>
      </c>
      <c r="B21" s="43"/>
      <c r="C21" s="43"/>
      <c r="D21" s="43"/>
      <c r="E21" s="48" t="s">
        <v>52</v>
      </c>
      <c r="F21" s="48" t="s">
        <v>57</v>
      </c>
      <c r="G21" s="48" t="s">
        <v>52</v>
      </c>
      <c r="H21" s="48" t="s">
        <v>52</v>
      </c>
      <c r="I21" s="43"/>
      <c r="J21" s="43"/>
      <c r="K21" s="43"/>
      <c r="L21" s="44"/>
      <c r="M21" s="73"/>
    </row>
    <row r="22" spans="1:13" ht="15" x14ac:dyDescent="0.2">
      <c r="A22" s="66" t="s">
        <v>215</v>
      </c>
      <c r="B22" s="41"/>
      <c r="C22" s="41"/>
      <c r="D22" s="41"/>
      <c r="E22" s="47" t="s">
        <v>124</v>
      </c>
      <c r="F22" s="47" t="s">
        <v>8</v>
      </c>
      <c r="G22" s="47" t="s">
        <v>57</v>
      </c>
      <c r="H22" s="47" t="s">
        <v>296</v>
      </c>
      <c r="I22" s="47" t="s">
        <v>114</v>
      </c>
      <c r="J22" s="47" t="s">
        <v>47</v>
      </c>
      <c r="K22" s="47" t="s">
        <v>113</v>
      </c>
      <c r="L22" s="42"/>
      <c r="M22" s="73"/>
    </row>
    <row r="23" spans="1:13" ht="15" x14ac:dyDescent="0.2">
      <c r="A23" s="66" t="s">
        <v>231</v>
      </c>
      <c r="B23" s="41"/>
      <c r="C23" s="41"/>
      <c r="D23" s="41"/>
      <c r="E23" s="47" t="s">
        <v>296</v>
      </c>
      <c r="F23" s="47" t="s">
        <v>124</v>
      </c>
      <c r="G23" s="240" t="s">
        <v>353</v>
      </c>
      <c r="H23" s="47" t="s">
        <v>124</v>
      </c>
      <c r="I23" s="47" t="s">
        <v>117</v>
      </c>
      <c r="J23" s="47" t="s">
        <v>117</v>
      </c>
      <c r="K23" s="47" t="s">
        <v>124</v>
      </c>
      <c r="L23" s="42"/>
      <c r="M23" s="73"/>
    </row>
    <row r="24" spans="1:13" ht="15" x14ac:dyDescent="0.2">
      <c r="A24" s="66" t="s">
        <v>232</v>
      </c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2"/>
      <c r="M24" s="73"/>
    </row>
    <row r="25" spans="1:13" ht="15" x14ac:dyDescent="0.2">
      <c r="A25" s="66" t="s">
        <v>220</v>
      </c>
      <c r="B25" s="41"/>
      <c r="C25" s="41"/>
      <c r="D25" s="41"/>
      <c r="E25" s="47" t="s">
        <v>188</v>
      </c>
      <c r="F25" s="47" t="s">
        <v>49</v>
      </c>
      <c r="G25" s="47" t="s">
        <v>117</v>
      </c>
      <c r="H25" s="47" t="s">
        <v>117</v>
      </c>
      <c r="I25" s="47" t="s">
        <v>118</v>
      </c>
      <c r="J25" s="47" t="s">
        <v>57</v>
      </c>
      <c r="K25" s="47" t="s">
        <v>119</v>
      </c>
      <c r="L25" s="42"/>
      <c r="M25" s="73"/>
    </row>
    <row r="26" spans="1:13" ht="15" x14ac:dyDescent="0.2">
      <c r="A26" s="66" t="s">
        <v>341</v>
      </c>
      <c r="B26" s="41"/>
      <c r="C26" s="41"/>
      <c r="D26" s="41"/>
      <c r="E26" s="205" t="s">
        <v>47</v>
      </c>
      <c r="F26" s="205" t="s">
        <v>118</v>
      </c>
      <c r="G26" s="205" t="s">
        <v>57</v>
      </c>
      <c r="H26" s="205" t="s">
        <v>8</v>
      </c>
      <c r="I26" s="205" t="s">
        <v>119</v>
      </c>
      <c r="J26" s="205" t="s">
        <v>28</v>
      </c>
      <c r="K26" s="205" t="s">
        <v>52</v>
      </c>
      <c r="L26" s="42"/>
      <c r="M26" s="73"/>
    </row>
    <row r="27" spans="1:13" ht="15" x14ac:dyDescent="0.2">
      <c r="A27" s="66" t="s">
        <v>217</v>
      </c>
      <c r="B27" s="47" t="s">
        <v>118</v>
      </c>
      <c r="C27" s="47" t="s">
        <v>118</v>
      </c>
      <c r="D27" s="47" t="s">
        <v>113</v>
      </c>
      <c r="E27" s="41"/>
      <c r="F27" s="41"/>
      <c r="G27" s="41"/>
      <c r="H27" s="41"/>
      <c r="I27" s="41"/>
      <c r="J27" s="41"/>
      <c r="K27" s="41"/>
      <c r="L27" s="42"/>
      <c r="M27" s="73"/>
    </row>
    <row r="28" spans="1:13" ht="15" x14ac:dyDescent="0.2">
      <c r="A28" s="65" t="s">
        <v>217</v>
      </c>
      <c r="B28" s="43"/>
      <c r="C28" s="46"/>
      <c r="D28" s="46"/>
      <c r="E28" s="43"/>
      <c r="F28" s="43"/>
      <c r="G28" s="43"/>
      <c r="H28" s="43"/>
      <c r="I28" s="43"/>
      <c r="J28" s="43"/>
      <c r="K28" s="43"/>
      <c r="L28" s="44"/>
      <c r="M28" s="73"/>
    </row>
    <row r="29" spans="1:13" ht="15" x14ac:dyDescent="0.2">
      <c r="A29" s="65" t="s">
        <v>101</v>
      </c>
      <c r="B29" s="43"/>
      <c r="C29" s="46"/>
      <c r="D29" s="46"/>
      <c r="E29" s="43"/>
      <c r="F29" s="43"/>
      <c r="G29" s="43"/>
      <c r="H29" s="43"/>
      <c r="I29" s="43"/>
      <c r="J29" s="43"/>
      <c r="K29" s="43"/>
      <c r="L29" s="205" t="s">
        <v>49</v>
      </c>
      <c r="M29" s="73"/>
    </row>
    <row r="30" spans="1:13" ht="15" x14ac:dyDescent="0.2">
      <c r="A30" s="65" t="s">
        <v>101</v>
      </c>
      <c r="B30" s="43"/>
      <c r="C30" s="46"/>
      <c r="D30" s="46"/>
      <c r="E30" s="43"/>
      <c r="F30" s="43"/>
      <c r="G30" s="43"/>
      <c r="H30" s="43"/>
      <c r="I30" s="43"/>
      <c r="J30" s="43"/>
      <c r="K30" s="43"/>
      <c r="L30" s="205" t="s">
        <v>49</v>
      </c>
      <c r="M30" s="73"/>
    </row>
    <row r="31" spans="1:13" x14ac:dyDescent="0.2">
      <c r="A31" s="73"/>
      <c r="B31" s="73"/>
      <c r="C31" s="73"/>
      <c r="D31" s="73"/>
      <c r="E31" s="73"/>
      <c r="F31" s="73"/>
      <c r="G31" s="73"/>
      <c r="H31" s="73"/>
      <c r="I31" s="73"/>
      <c r="J31" s="73"/>
      <c r="K31" s="73"/>
      <c r="L31" s="73"/>
      <c r="M31" s="73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31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3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</cols>
  <sheetData>
    <row r="1" spans="1:43" ht="15.75" x14ac:dyDescent="0.25">
      <c r="A1" s="72" t="s">
        <v>315</v>
      </c>
      <c r="B1" s="72"/>
      <c r="C1" s="72"/>
      <c r="D1" s="72"/>
      <c r="E1" s="72"/>
      <c r="F1" s="72"/>
      <c r="G1" s="73"/>
      <c r="H1" s="74" t="s">
        <v>266</v>
      </c>
      <c r="I1" s="71" t="str">
        <f>Issue</f>
        <v>2024 Show Season V1 7/22/2024</v>
      </c>
      <c r="J1" s="71"/>
      <c r="K1" s="71"/>
      <c r="L1" s="71"/>
      <c r="M1" s="73"/>
    </row>
    <row r="2" spans="1:43" ht="15.75" x14ac:dyDescent="0.25">
      <c r="A2" s="72" t="s">
        <v>316</v>
      </c>
      <c r="B2" s="72"/>
      <c r="C2" s="72"/>
      <c r="D2" s="71"/>
      <c r="E2" s="71"/>
      <c r="F2" s="71"/>
      <c r="G2" s="73"/>
      <c r="H2" s="73"/>
      <c r="I2" s="73"/>
      <c r="J2" s="73"/>
      <c r="K2" s="73"/>
      <c r="L2" s="73"/>
      <c r="M2" s="73"/>
    </row>
    <row r="3" spans="1:43" ht="18.75" x14ac:dyDescent="0.3">
      <c r="A3" s="79" t="s">
        <v>347</v>
      </c>
      <c r="B3" s="223"/>
      <c r="C3" s="223"/>
      <c r="D3" s="71"/>
      <c r="E3" s="173" t="s">
        <v>167</v>
      </c>
      <c r="F3" s="77"/>
      <c r="G3" s="73"/>
      <c r="H3" s="73"/>
      <c r="I3" s="73"/>
      <c r="J3" s="73"/>
      <c r="K3" s="73"/>
      <c r="L3" s="73"/>
      <c r="M3" s="73"/>
    </row>
    <row r="4" spans="1:43" ht="15.75" x14ac:dyDescent="0.25">
      <c r="A4" s="74"/>
      <c r="B4" s="74"/>
      <c r="C4" s="74"/>
      <c r="D4" s="71"/>
      <c r="E4" s="71"/>
      <c r="F4" s="71"/>
      <c r="G4" s="73"/>
      <c r="H4" s="73"/>
      <c r="I4" s="73"/>
      <c r="J4" s="73"/>
      <c r="K4" s="73"/>
      <c r="L4" s="73"/>
      <c r="M4" s="73"/>
    </row>
    <row r="5" spans="1:43" ht="16.5" thickBot="1" x14ac:dyDescent="0.3">
      <c r="A5" s="62" t="str">
        <f>A3</f>
        <v>Sunday 10/1/2023</v>
      </c>
      <c r="B5" s="222" t="s">
        <v>129</v>
      </c>
      <c r="C5" s="222" t="s">
        <v>130</v>
      </c>
      <c r="D5" s="63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73"/>
    </row>
    <row r="6" spans="1:43" ht="15" x14ac:dyDescent="0.2">
      <c r="A6" s="64" t="s">
        <v>222</v>
      </c>
      <c r="B6" s="71"/>
      <c r="C6" s="71"/>
      <c r="D6" s="48" t="s">
        <v>57</v>
      </c>
      <c r="E6" s="128"/>
      <c r="F6" s="128"/>
      <c r="G6" s="128"/>
      <c r="H6" s="128"/>
      <c r="I6" s="128"/>
      <c r="J6" s="128"/>
      <c r="K6" s="128"/>
      <c r="L6" s="129"/>
      <c r="M6" s="73"/>
    </row>
    <row r="7" spans="1:43" ht="15" x14ac:dyDescent="0.2">
      <c r="A7" s="65" t="s">
        <v>224</v>
      </c>
      <c r="B7" s="71"/>
      <c r="C7" s="71"/>
      <c r="D7" s="48" t="s">
        <v>49</v>
      </c>
      <c r="E7" s="128"/>
      <c r="F7" s="128"/>
      <c r="G7" s="128"/>
      <c r="H7" s="128"/>
      <c r="I7" s="128"/>
      <c r="J7" s="128"/>
      <c r="K7" s="128"/>
      <c r="L7" s="129"/>
      <c r="M7" s="7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14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5" x14ac:dyDescent="0.2">
      <c r="A8" s="66" t="s">
        <v>314</v>
      </c>
      <c r="B8" s="220"/>
      <c r="C8" s="220"/>
      <c r="D8" s="130"/>
      <c r="E8" s="47" t="s">
        <v>113</v>
      </c>
      <c r="F8" s="47" t="s">
        <v>113</v>
      </c>
      <c r="G8" s="47" t="s">
        <v>28</v>
      </c>
      <c r="H8" s="47" t="s">
        <v>28</v>
      </c>
      <c r="I8" s="47" t="s">
        <v>49</v>
      </c>
      <c r="J8" s="47" t="s">
        <v>49</v>
      </c>
      <c r="K8" s="130"/>
      <c r="L8" s="131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6" t="s">
        <v>150</v>
      </c>
      <c r="B9" s="220"/>
      <c r="C9" s="220"/>
      <c r="D9" s="47" t="s">
        <v>8</v>
      </c>
      <c r="E9" s="47" t="s">
        <v>108</v>
      </c>
      <c r="F9" s="47" t="s">
        <v>119</v>
      </c>
      <c r="G9" s="47" t="s">
        <v>49</v>
      </c>
      <c r="H9" s="47" t="s">
        <v>18</v>
      </c>
      <c r="I9" s="239" t="s">
        <v>118</v>
      </c>
      <c r="J9" s="239" t="s">
        <v>52</v>
      </c>
      <c r="K9" s="130"/>
      <c r="L9" s="131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5" t="s">
        <v>214</v>
      </c>
      <c r="B10" s="71"/>
      <c r="C10" s="71"/>
      <c r="D10" s="48" t="s">
        <v>115</v>
      </c>
      <c r="E10" s="131"/>
      <c r="F10" s="48" t="s">
        <v>115</v>
      </c>
      <c r="G10" s="129"/>
      <c r="H10" s="48" t="s">
        <v>115</v>
      </c>
      <c r="I10" s="129"/>
      <c r="J10" s="129"/>
      <c r="K10" s="128"/>
      <c r="L10" s="129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6" t="s">
        <v>211</v>
      </c>
      <c r="B11" s="220"/>
      <c r="C11" s="220"/>
      <c r="D11" s="47" t="s">
        <v>303</v>
      </c>
      <c r="E11" s="239" t="s">
        <v>119</v>
      </c>
      <c r="F11" s="239" t="s">
        <v>117</v>
      </c>
      <c r="G11" s="239" t="s">
        <v>28</v>
      </c>
      <c r="H11" s="47" t="s">
        <v>57</v>
      </c>
      <c r="I11" s="239" t="s">
        <v>52</v>
      </c>
      <c r="J11" s="47" t="s">
        <v>124</v>
      </c>
      <c r="K11" s="130"/>
      <c r="L11" s="13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6" t="s">
        <v>308</v>
      </c>
      <c r="B12" s="220"/>
      <c r="C12" s="220"/>
      <c r="D12" s="130"/>
      <c r="E12" s="239" t="s">
        <v>124</v>
      </c>
      <c r="F12" s="47" t="s">
        <v>18</v>
      </c>
      <c r="G12" s="47" t="s">
        <v>119</v>
      </c>
      <c r="H12" s="239" t="s">
        <v>18</v>
      </c>
      <c r="I12" s="47" t="s">
        <v>119</v>
      </c>
      <c r="J12" s="130"/>
      <c r="K12" s="130"/>
      <c r="L12" s="13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6" t="s">
        <v>308</v>
      </c>
      <c r="B13" s="71"/>
      <c r="C13" s="71"/>
      <c r="D13" s="128"/>
      <c r="E13" s="243" t="s">
        <v>114</v>
      </c>
      <c r="F13" s="243" t="s">
        <v>47</v>
      </c>
      <c r="G13" s="48" t="s">
        <v>124</v>
      </c>
      <c r="H13" s="48" t="s">
        <v>124</v>
      </c>
      <c r="I13" s="243" t="s">
        <v>108</v>
      </c>
      <c r="J13" s="128"/>
      <c r="K13" s="128"/>
      <c r="L13" s="129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">
      <c r="A14" s="66" t="s">
        <v>308</v>
      </c>
      <c r="B14" s="71"/>
      <c r="C14" s="71"/>
      <c r="D14" s="128"/>
      <c r="E14" s="128"/>
      <c r="F14" s="128"/>
      <c r="G14" s="243" t="s">
        <v>8</v>
      </c>
      <c r="H14" s="48" t="s">
        <v>303</v>
      </c>
      <c r="I14" s="128"/>
      <c r="J14" s="128"/>
      <c r="K14" s="128"/>
      <c r="L14" s="129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">
      <c r="A15" s="66" t="s">
        <v>308</v>
      </c>
      <c r="B15" s="71"/>
      <c r="C15" s="71"/>
      <c r="D15" s="128"/>
      <c r="E15" s="128"/>
      <c r="F15" s="128"/>
      <c r="G15" s="48" t="s">
        <v>49</v>
      </c>
      <c r="H15" s="243" t="s">
        <v>117</v>
      </c>
      <c r="I15" s="128"/>
      <c r="J15" s="128"/>
      <c r="K15" s="128"/>
      <c r="L15" s="129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">
      <c r="A16" s="66" t="s">
        <v>310</v>
      </c>
      <c r="B16" s="71"/>
      <c r="C16" s="71"/>
      <c r="D16" s="128"/>
      <c r="E16" s="48" t="s">
        <v>49</v>
      </c>
      <c r="F16" s="48" t="s">
        <v>124</v>
      </c>
      <c r="G16" s="48" t="s">
        <v>57</v>
      </c>
      <c r="H16" s="48" t="s">
        <v>119</v>
      </c>
      <c r="I16" s="48" t="s">
        <v>117</v>
      </c>
      <c r="J16" s="128"/>
      <c r="K16" s="128"/>
      <c r="L16" s="129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42" ht="15" x14ac:dyDescent="0.2">
      <c r="A17" s="66" t="s">
        <v>310</v>
      </c>
      <c r="B17" s="71"/>
      <c r="C17" s="71"/>
      <c r="D17" s="128"/>
      <c r="E17" s="242" t="s">
        <v>353</v>
      </c>
      <c r="F17" s="48" t="s">
        <v>57</v>
      </c>
      <c r="G17" s="48" t="s">
        <v>296</v>
      </c>
      <c r="H17" s="242" t="s">
        <v>353</v>
      </c>
      <c r="I17" s="48" t="s">
        <v>49</v>
      </c>
      <c r="J17" s="128"/>
      <c r="K17" s="128"/>
      <c r="L17" s="129"/>
      <c r="M17" s="73"/>
      <c r="N17" s="20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</row>
    <row r="18" spans="1:42" ht="15" x14ac:dyDescent="0.2">
      <c r="A18" s="66" t="s">
        <v>310</v>
      </c>
      <c r="B18" s="71"/>
      <c r="C18" s="71"/>
      <c r="D18" s="128"/>
      <c r="E18" s="128"/>
      <c r="F18" s="128"/>
      <c r="G18" s="48" t="s">
        <v>113</v>
      </c>
      <c r="H18" s="48" t="s">
        <v>113</v>
      </c>
      <c r="I18" s="128"/>
      <c r="J18" s="128"/>
      <c r="K18" s="128"/>
      <c r="L18" s="129"/>
      <c r="M18" s="73"/>
      <c r="N18" s="20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</row>
    <row r="19" spans="1:42" ht="15" x14ac:dyDescent="0.2">
      <c r="A19" s="66" t="s">
        <v>310</v>
      </c>
      <c r="B19" s="71"/>
      <c r="C19" s="71"/>
      <c r="D19" s="128"/>
      <c r="E19" s="128"/>
      <c r="F19" s="128"/>
      <c r="G19" s="242" t="s">
        <v>353</v>
      </c>
      <c r="H19" s="242" t="s">
        <v>353</v>
      </c>
      <c r="I19" s="128"/>
      <c r="J19" s="128"/>
      <c r="K19" s="128"/>
      <c r="L19" s="129"/>
      <c r="M19" s="73"/>
      <c r="N19" s="20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</row>
    <row r="20" spans="1:42" ht="15" x14ac:dyDescent="0.2">
      <c r="A20" s="66" t="s">
        <v>216</v>
      </c>
      <c r="B20" s="220"/>
      <c r="C20" s="220"/>
      <c r="D20" s="130"/>
      <c r="E20" s="47" t="s">
        <v>119</v>
      </c>
      <c r="F20" s="47" t="s">
        <v>49</v>
      </c>
      <c r="G20" s="239" t="s">
        <v>117</v>
      </c>
      <c r="H20" s="47" t="s">
        <v>118</v>
      </c>
      <c r="I20" s="47" t="s">
        <v>124</v>
      </c>
      <c r="J20" s="47" t="s">
        <v>57</v>
      </c>
      <c r="K20" s="130"/>
      <c r="L20" s="131"/>
      <c r="M20" s="73"/>
      <c r="N20" s="20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</row>
    <row r="21" spans="1:42" ht="15" x14ac:dyDescent="0.2">
      <c r="A21" s="66" t="s">
        <v>233</v>
      </c>
      <c r="B21" s="220"/>
      <c r="C21" s="220"/>
      <c r="D21" s="130"/>
      <c r="E21" s="239" t="s">
        <v>52</v>
      </c>
      <c r="F21" s="47" t="s">
        <v>108</v>
      </c>
      <c r="G21" s="239" t="s">
        <v>18</v>
      </c>
      <c r="H21" s="239" t="s">
        <v>8</v>
      </c>
      <c r="I21" s="240" t="s">
        <v>353</v>
      </c>
      <c r="J21" s="130"/>
      <c r="K21" s="130"/>
      <c r="L21" s="131"/>
      <c r="M21" s="73"/>
      <c r="N21" s="20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</row>
    <row r="22" spans="1:42" ht="15" x14ac:dyDescent="0.2">
      <c r="A22" s="66" t="s">
        <v>234</v>
      </c>
      <c r="B22" s="220"/>
      <c r="C22" s="220"/>
      <c r="D22" s="130"/>
      <c r="E22" s="130"/>
      <c r="F22" s="130"/>
      <c r="G22" s="130"/>
      <c r="H22" s="130"/>
      <c r="I22" s="130"/>
      <c r="J22" s="130"/>
      <c r="K22" s="130"/>
      <c r="L22" s="131"/>
      <c r="M22" s="73"/>
      <c r="N22" s="20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</row>
    <row r="23" spans="1:42" ht="15" x14ac:dyDescent="0.2">
      <c r="A23" s="66" t="s">
        <v>219</v>
      </c>
      <c r="B23" s="220"/>
      <c r="C23" s="220"/>
      <c r="D23" s="130"/>
      <c r="E23" s="47" t="s">
        <v>117</v>
      </c>
      <c r="F23" s="244" t="s">
        <v>353</v>
      </c>
      <c r="G23" s="47" t="s">
        <v>303</v>
      </c>
      <c r="H23" s="239" t="s">
        <v>57</v>
      </c>
      <c r="I23" s="47" t="s">
        <v>188</v>
      </c>
      <c r="J23" s="47" t="s">
        <v>117</v>
      </c>
      <c r="K23" s="130"/>
      <c r="L23" s="131"/>
      <c r="M23" s="73"/>
      <c r="N23" s="20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</row>
    <row r="24" spans="1:42" ht="15" x14ac:dyDescent="0.2">
      <c r="A24" s="66" t="s">
        <v>342</v>
      </c>
      <c r="B24" s="220"/>
      <c r="C24" s="220"/>
      <c r="D24" s="130"/>
      <c r="E24" s="205" t="s">
        <v>57</v>
      </c>
      <c r="F24" s="139" t="s">
        <v>118</v>
      </c>
      <c r="G24" s="139" t="s">
        <v>57</v>
      </c>
      <c r="H24" s="139" t="s">
        <v>296</v>
      </c>
      <c r="I24" s="139" t="s">
        <v>119</v>
      </c>
      <c r="J24" s="139" t="s">
        <v>296</v>
      </c>
      <c r="K24" s="130"/>
      <c r="L24" s="131"/>
      <c r="M24" s="73"/>
      <c r="N24" s="20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</row>
    <row r="25" spans="1:42" ht="15" x14ac:dyDescent="0.2">
      <c r="A25" s="66" t="s">
        <v>218</v>
      </c>
      <c r="B25" s="220"/>
      <c r="C25" s="220"/>
      <c r="D25" s="47" t="s">
        <v>124</v>
      </c>
      <c r="E25" s="130"/>
      <c r="F25" s="130"/>
      <c r="G25" s="130"/>
      <c r="H25" s="130"/>
      <c r="I25" s="130"/>
      <c r="J25" s="130"/>
      <c r="K25" s="130"/>
      <c r="L25" s="131"/>
      <c r="M25" s="73"/>
    </row>
    <row r="26" spans="1:42" ht="15" x14ac:dyDescent="0.2">
      <c r="A26" s="66" t="s">
        <v>235</v>
      </c>
      <c r="B26" s="220"/>
      <c r="C26" s="220"/>
      <c r="D26" s="130"/>
      <c r="E26" s="130"/>
      <c r="F26" s="130"/>
      <c r="G26" s="130"/>
      <c r="H26" s="130"/>
      <c r="I26" s="130"/>
      <c r="J26" s="130"/>
      <c r="K26" s="47" t="s">
        <v>31</v>
      </c>
      <c r="L26" s="131"/>
      <c r="M26" s="73"/>
    </row>
    <row r="27" spans="1:42" ht="15" x14ac:dyDescent="0.2">
      <c r="A27" s="66" t="s">
        <v>235</v>
      </c>
      <c r="B27" s="220"/>
      <c r="C27" s="220"/>
      <c r="D27" s="130"/>
      <c r="E27" s="130"/>
      <c r="F27" s="130"/>
      <c r="G27" s="130"/>
      <c r="H27" s="130"/>
      <c r="I27" s="130"/>
      <c r="J27" s="130"/>
      <c r="K27" s="47" t="s">
        <v>31</v>
      </c>
      <c r="L27" s="131"/>
      <c r="M27" s="73"/>
    </row>
    <row r="28" spans="1:42" ht="15" x14ac:dyDescent="0.2">
      <c r="A28" s="66" t="s">
        <v>235</v>
      </c>
      <c r="B28" s="220"/>
      <c r="C28" s="220"/>
      <c r="D28" s="130"/>
      <c r="E28" s="130"/>
      <c r="F28" s="130"/>
      <c r="G28" s="130"/>
      <c r="H28" s="130"/>
      <c r="I28" s="130"/>
      <c r="J28" s="130"/>
      <c r="K28" s="47" t="s">
        <v>31</v>
      </c>
      <c r="L28" s="131"/>
      <c r="M28" s="73"/>
    </row>
    <row r="29" spans="1:42" ht="15" x14ac:dyDescent="0.2">
      <c r="A29" s="66" t="s">
        <v>235</v>
      </c>
      <c r="B29" s="220"/>
      <c r="C29" s="220"/>
      <c r="D29" s="130"/>
      <c r="E29" s="130"/>
      <c r="F29" s="130"/>
      <c r="G29" s="130"/>
      <c r="H29" s="130"/>
      <c r="I29" s="130"/>
      <c r="J29" s="130"/>
      <c r="K29" s="47" t="s">
        <v>31</v>
      </c>
      <c r="L29" s="131"/>
      <c r="M29" s="73"/>
    </row>
    <row r="30" spans="1:42" ht="15" x14ac:dyDescent="0.2">
      <c r="A30" s="66" t="s">
        <v>235</v>
      </c>
      <c r="B30" s="220"/>
      <c r="C30" s="220"/>
      <c r="D30" s="130"/>
      <c r="E30" s="130"/>
      <c r="F30" s="130"/>
      <c r="G30" s="130"/>
      <c r="H30" s="130"/>
      <c r="I30" s="130"/>
      <c r="J30" s="130"/>
      <c r="K30" s="47" t="s">
        <v>31</v>
      </c>
      <c r="L30" s="131"/>
      <c r="M30" s="73"/>
    </row>
    <row r="31" spans="1:42" ht="15" x14ac:dyDescent="0.2">
      <c r="A31" s="66" t="s">
        <v>235</v>
      </c>
      <c r="B31" s="220"/>
      <c r="C31" s="220"/>
      <c r="D31" s="130"/>
      <c r="E31" s="130"/>
      <c r="F31" s="130"/>
      <c r="G31" s="130"/>
      <c r="H31" s="130"/>
      <c r="I31" s="130"/>
      <c r="J31" s="130"/>
      <c r="K31" s="47" t="s">
        <v>31</v>
      </c>
      <c r="L31" s="131"/>
      <c r="M31" s="73"/>
    </row>
    <row r="32" spans="1:42" x14ac:dyDescent="0.2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  <c r="M32" s="73"/>
    </row>
    <row r="33" spans="1:3" ht="15" x14ac:dyDescent="0.2">
      <c r="A33" s="20"/>
      <c r="B33" s="20"/>
      <c r="C33" s="20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5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7"/>
  <sheetViews>
    <sheetView tabSelected="1" workbookViewId="0">
      <pane ySplit="5" topLeftCell="A6" activePane="bottomLeft" state="frozen"/>
      <selection activeCell="C23" sqref="C23"/>
      <selection pane="bottomLeft" activeCell="J15" sqref="J1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72" t="s">
        <v>154</v>
      </c>
      <c r="B1" s="72"/>
      <c r="C1" s="72"/>
      <c r="D1" s="72"/>
      <c r="E1" s="72"/>
      <c r="F1" s="72"/>
      <c r="G1" s="72"/>
      <c r="H1" s="73"/>
      <c r="I1" s="73"/>
      <c r="J1" s="73"/>
      <c r="K1" s="73"/>
      <c r="L1" s="74" t="s">
        <v>266</v>
      </c>
      <c r="M1" s="172" t="str">
        <f>Issue</f>
        <v>2024 Show Season V1 7/22/2024</v>
      </c>
      <c r="N1" s="172"/>
      <c r="O1" s="172"/>
      <c r="P1" s="172"/>
      <c r="Q1" s="73"/>
    </row>
    <row r="2" spans="1:48" ht="15.75" x14ac:dyDescent="0.25">
      <c r="A2" s="72" t="s">
        <v>152</v>
      </c>
      <c r="B2" s="72"/>
      <c r="C2" s="72"/>
      <c r="D2" s="72"/>
      <c r="E2" s="72"/>
      <c r="F2" s="72"/>
      <c r="G2" s="72"/>
      <c r="H2" s="73"/>
      <c r="I2" s="73"/>
      <c r="J2" s="73"/>
      <c r="K2" s="73"/>
      <c r="L2" s="73"/>
      <c r="M2" s="73"/>
      <c r="N2" s="73"/>
      <c r="O2" s="73"/>
      <c r="P2" s="73"/>
      <c r="Q2" s="7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14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1:48" ht="18.75" x14ac:dyDescent="0.3">
      <c r="A3" s="83" t="s">
        <v>348</v>
      </c>
      <c r="B3" s="219"/>
      <c r="C3" s="219"/>
      <c r="D3" s="219"/>
      <c r="E3" s="219"/>
      <c r="F3" s="219"/>
      <c r="G3" s="72"/>
      <c r="H3" s="73"/>
      <c r="I3" s="73"/>
      <c r="J3" s="173" t="s">
        <v>165</v>
      </c>
      <c r="K3" s="77"/>
      <c r="L3" s="73"/>
      <c r="M3" s="73"/>
      <c r="N3" s="73"/>
      <c r="O3" s="73"/>
      <c r="P3" s="73"/>
      <c r="Q3" s="73"/>
      <c r="T3" s="20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</row>
    <row r="4" spans="1:48" ht="15.75" x14ac:dyDescent="0.25">
      <c r="A4" s="74"/>
      <c r="B4" s="74"/>
      <c r="C4" s="74"/>
      <c r="D4" s="74"/>
      <c r="E4" s="74"/>
      <c r="F4" s="74"/>
      <c r="G4" s="71"/>
      <c r="H4" s="71"/>
      <c r="I4" s="71"/>
      <c r="J4" s="71"/>
      <c r="K4" s="71"/>
      <c r="L4" s="71"/>
      <c r="M4" s="71"/>
      <c r="N4" s="71"/>
      <c r="O4" s="71"/>
      <c r="P4" s="71"/>
      <c r="Q4" s="73"/>
      <c r="T4" s="20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</row>
    <row r="5" spans="1:48" ht="16.5" thickBot="1" x14ac:dyDescent="0.3">
      <c r="A5" s="62" t="str">
        <f>A3</f>
        <v>Friday 01/19/2024</v>
      </c>
      <c r="B5" s="222" t="s">
        <v>129</v>
      </c>
      <c r="C5" s="222" t="s">
        <v>130</v>
      </c>
      <c r="D5" s="222" t="s">
        <v>131</v>
      </c>
      <c r="E5" s="222" t="s">
        <v>132</v>
      </c>
      <c r="F5" s="222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63" t="s">
        <v>174</v>
      </c>
      <c r="N5" s="63" t="s">
        <v>129</v>
      </c>
      <c r="O5" s="63" t="s">
        <v>130</v>
      </c>
      <c r="P5" s="63" t="s">
        <v>131</v>
      </c>
      <c r="Q5" s="73"/>
      <c r="T5" s="20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</row>
    <row r="6" spans="1:48" ht="15" x14ac:dyDescent="0.2">
      <c r="A6" s="64" t="s">
        <v>202</v>
      </c>
      <c r="B6" s="71"/>
      <c r="C6" s="71"/>
      <c r="D6" s="71"/>
      <c r="E6" s="71"/>
      <c r="F6" s="71"/>
      <c r="G6" s="49"/>
      <c r="H6" s="49"/>
      <c r="I6" s="49"/>
      <c r="J6" s="49"/>
      <c r="K6" s="49"/>
      <c r="L6" s="49"/>
      <c r="M6" s="49"/>
      <c r="N6" s="49"/>
      <c r="O6" s="49"/>
      <c r="P6" s="50"/>
      <c r="Q6" s="73"/>
    </row>
    <row r="7" spans="1:48" ht="15" x14ac:dyDescent="0.2">
      <c r="A7" s="65" t="s">
        <v>202</v>
      </c>
      <c r="B7" s="48" t="s">
        <v>49</v>
      </c>
      <c r="C7" s="48" t="s">
        <v>49</v>
      </c>
      <c r="D7" s="48" t="s">
        <v>49</v>
      </c>
      <c r="E7" s="48" t="s">
        <v>49</v>
      </c>
      <c r="F7" s="48" t="s">
        <v>49</v>
      </c>
      <c r="G7" s="48" t="s">
        <v>49</v>
      </c>
      <c r="H7" s="48" t="s">
        <v>49</v>
      </c>
      <c r="I7" s="48" t="s">
        <v>49</v>
      </c>
      <c r="J7" s="48" t="s">
        <v>49</v>
      </c>
      <c r="K7" s="48" t="s">
        <v>49</v>
      </c>
      <c r="L7" s="49"/>
      <c r="M7" s="49"/>
      <c r="N7" s="49"/>
      <c r="O7" s="49"/>
      <c r="P7" s="50"/>
      <c r="Q7" s="73"/>
    </row>
    <row r="8" spans="1:48" ht="15" x14ac:dyDescent="0.2">
      <c r="A8" s="65" t="s">
        <v>325</v>
      </c>
      <c r="B8" s="71"/>
      <c r="C8" s="71"/>
      <c r="D8" s="205" t="s">
        <v>8</v>
      </c>
      <c r="E8" s="20" t="s">
        <v>52</v>
      </c>
      <c r="F8" s="20" t="s">
        <v>52</v>
      </c>
      <c r="G8" s="235" t="s">
        <v>117</v>
      </c>
      <c r="H8" s="235" t="s">
        <v>117</v>
      </c>
      <c r="I8" s="235" t="s">
        <v>18</v>
      </c>
      <c r="J8" s="235" t="s">
        <v>119</v>
      </c>
      <c r="K8" s="235" t="s">
        <v>117</v>
      </c>
      <c r="L8" s="205" t="s">
        <v>8</v>
      </c>
      <c r="M8" s="205"/>
      <c r="N8" s="49"/>
      <c r="O8" s="49"/>
      <c r="P8" s="50"/>
      <c r="Q8" s="73"/>
    </row>
    <row r="9" spans="1:48" ht="15" x14ac:dyDescent="0.2">
      <c r="A9" s="65" t="s">
        <v>325</v>
      </c>
      <c r="B9" s="71"/>
      <c r="C9" s="71"/>
      <c r="D9" s="71"/>
      <c r="E9" s="263" t="s">
        <v>353</v>
      </c>
      <c r="F9" s="263" t="s">
        <v>353</v>
      </c>
      <c r="G9" s="48" t="s">
        <v>57</v>
      </c>
      <c r="H9" s="48" t="s">
        <v>57</v>
      </c>
      <c r="I9" s="48" t="s">
        <v>113</v>
      </c>
      <c r="J9" s="48" t="s">
        <v>118</v>
      </c>
      <c r="K9" s="48" t="s">
        <v>108</v>
      </c>
      <c r="L9" s="20" t="s">
        <v>28</v>
      </c>
      <c r="M9" s="20" t="s">
        <v>57</v>
      </c>
      <c r="N9" s="49"/>
      <c r="O9" s="49"/>
      <c r="P9" s="50"/>
      <c r="Q9" s="73"/>
    </row>
    <row r="10" spans="1:48" ht="15" x14ac:dyDescent="0.2">
      <c r="A10" s="66" t="s">
        <v>127</v>
      </c>
      <c r="B10" s="220"/>
      <c r="C10" s="220"/>
      <c r="D10" s="220"/>
      <c r="E10" s="220"/>
      <c r="F10" s="220"/>
      <c r="G10" s="52"/>
      <c r="H10" s="52"/>
      <c r="I10" s="47" t="s">
        <v>114</v>
      </c>
      <c r="J10" s="47" t="s">
        <v>114</v>
      </c>
      <c r="K10" s="47" t="s">
        <v>114</v>
      </c>
      <c r="L10" s="47" t="s">
        <v>114</v>
      </c>
      <c r="M10" s="54" t="s">
        <v>114</v>
      </c>
      <c r="N10" s="20" t="s">
        <v>114</v>
      </c>
      <c r="O10" s="20" t="s">
        <v>114</v>
      </c>
      <c r="P10" s="50"/>
      <c r="Q10" s="73"/>
    </row>
    <row r="11" spans="1:48" ht="15" x14ac:dyDescent="0.2">
      <c r="A11" s="66" t="s">
        <v>208</v>
      </c>
      <c r="B11" s="220"/>
      <c r="C11" s="220"/>
      <c r="D11" s="220"/>
      <c r="E11" s="220"/>
      <c r="F11" s="220"/>
      <c r="G11" s="238" t="s">
        <v>52</v>
      </c>
      <c r="H11" s="238" t="s">
        <v>52</v>
      </c>
      <c r="I11" s="47" t="s">
        <v>52</v>
      </c>
      <c r="J11" s="47" t="s">
        <v>52</v>
      </c>
      <c r="K11" s="47" t="s">
        <v>57</v>
      </c>
      <c r="L11" s="47" t="s">
        <v>57</v>
      </c>
      <c r="M11" s="54" t="s">
        <v>57</v>
      </c>
      <c r="N11" s="20" t="s">
        <v>57</v>
      </c>
      <c r="O11" s="20" t="s">
        <v>57</v>
      </c>
      <c r="P11" s="50"/>
      <c r="Q11" s="73"/>
    </row>
    <row r="12" spans="1:48" ht="15" x14ac:dyDescent="0.2">
      <c r="A12" s="69" t="s">
        <v>327</v>
      </c>
      <c r="B12" s="69"/>
      <c r="C12" s="69"/>
      <c r="D12" s="69"/>
      <c r="E12" s="205" t="s">
        <v>188</v>
      </c>
      <c r="F12" s="205" t="s">
        <v>188</v>
      </c>
      <c r="G12" s="48" t="s">
        <v>124</v>
      </c>
      <c r="H12" s="48" t="s">
        <v>124</v>
      </c>
      <c r="I12" s="48" t="s">
        <v>124</v>
      </c>
      <c r="J12" s="48" t="s">
        <v>124</v>
      </c>
      <c r="K12" s="48" t="s">
        <v>124</v>
      </c>
      <c r="L12" s="235" t="s">
        <v>124</v>
      </c>
      <c r="M12" s="235" t="s">
        <v>124</v>
      </c>
      <c r="N12" s="221"/>
      <c r="O12" s="221"/>
      <c r="P12" s="221"/>
      <c r="Q12" s="73"/>
    </row>
    <row r="13" spans="1:48" x14ac:dyDescent="0.2">
      <c r="A13" s="73"/>
      <c r="B13" s="73"/>
      <c r="C13" s="73"/>
      <c r="D13" s="73"/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</row>
    <row r="14" spans="1:48" ht="15" x14ac:dyDescent="0.2">
      <c r="A14" s="20"/>
      <c r="B14" s="20"/>
      <c r="C14" s="20"/>
      <c r="D14" s="20"/>
      <c r="E14" s="20"/>
      <c r="F14" s="20"/>
    </row>
    <row r="17" spans="8:8" x14ac:dyDescent="0.2">
      <c r="H17" s="21" t="s">
        <v>371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1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72" t="s">
        <v>155</v>
      </c>
      <c r="B1" s="72"/>
      <c r="C1" s="71"/>
      <c r="D1" s="71"/>
      <c r="E1" s="71"/>
      <c r="F1" s="71"/>
      <c r="G1" s="71"/>
      <c r="H1" s="74" t="s">
        <v>266</v>
      </c>
      <c r="I1" s="71" t="str">
        <f>Issue</f>
        <v>2024 Show Season V1 7/22/2024</v>
      </c>
      <c r="J1" s="71"/>
      <c r="K1" s="71"/>
      <c r="L1" s="73"/>
      <c r="M1" s="73"/>
    </row>
    <row r="2" spans="1:43" ht="15.75" x14ac:dyDescent="0.25">
      <c r="A2" s="72" t="s">
        <v>152</v>
      </c>
      <c r="B2" s="72"/>
      <c r="C2" s="72"/>
      <c r="D2" s="72"/>
      <c r="E2" s="72"/>
      <c r="F2" s="72"/>
      <c r="G2" s="72"/>
      <c r="H2" s="72"/>
      <c r="I2" s="71"/>
      <c r="J2" s="71"/>
      <c r="K2" s="71"/>
      <c r="L2" s="71"/>
      <c r="M2" s="7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14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8.75" x14ac:dyDescent="0.3">
      <c r="A3" s="84" t="s">
        <v>349</v>
      </c>
      <c r="B3" s="72"/>
      <c r="C3" s="71"/>
      <c r="D3" s="173" t="s">
        <v>166</v>
      </c>
      <c r="E3" s="71"/>
      <c r="F3" s="71"/>
      <c r="G3" s="71"/>
      <c r="H3" s="71"/>
      <c r="I3" s="71"/>
      <c r="J3" s="71"/>
      <c r="K3" s="71"/>
      <c r="L3" s="71"/>
      <c r="M3" s="73"/>
      <c r="N3" s="20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</row>
    <row r="4" spans="1:43" ht="15.75" x14ac:dyDescent="0.25">
      <c r="A4" s="81"/>
      <c r="B4" s="75"/>
      <c r="C4" s="71"/>
      <c r="D4" s="71"/>
      <c r="E4" s="78"/>
      <c r="F4" s="77"/>
      <c r="G4" s="77"/>
      <c r="H4" s="71"/>
      <c r="I4" s="71"/>
      <c r="J4" s="71"/>
      <c r="K4" s="71"/>
      <c r="L4" s="71"/>
      <c r="M4" s="73"/>
      <c r="N4" s="20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</row>
    <row r="5" spans="1:43" ht="16.5" thickBot="1" x14ac:dyDescent="0.3">
      <c r="A5" s="70" t="str">
        <f>A3</f>
        <v>Saturday 01/20/2024</v>
      </c>
      <c r="B5" s="63" t="s">
        <v>129</v>
      </c>
      <c r="C5" s="63" t="s">
        <v>130</v>
      </c>
      <c r="D5" s="63" t="s">
        <v>131</v>
      </c>
      <c r="E5" s="63" t="s">
        <v>132</v>
      </c>
      <c r="F5" s="63" t="s">
        <v>133</v>
      </c>
      <c r="G5" s="63" t="s">
        <v>134</v>
      </c>
      <c r="H5" s="63" t="s">
        <v>135</v>
      </c>
      <c r="I5" s="63" t="s">
        <v>136</v>
      </c>
      <c r="J5" s="63" t="s">
        <v>137</v>
      </c>
      <c r="K5" s="63" t="s">
        <v>138</v>
      </c>
      <c r="L5" s="63" t="s">
        <v>149</v>
      </c>
      <c r="M5" s="73"/>
      <c r="N5" s="20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</row>
    <row r="6" spans="1:43" ht="15" x14ac:dyDescent="0.2">
      <c r="A6" s="64" t="s">
        <v>212</v>
      </c>
      <c r="B6" s="48" t="s">
        <v>47</v>
      </c>
      <c r="C6" s="48" t="s">
        <v>52</v>
      </c>
      <c r="D6" s="48" t="s">
        <v>52</v>
      </c>
      <c r="E6" s="49"/>
      <c r="F6" s="49"/>
      <c r="G6" s="49"/>
      <c r="H6" s="49"/>
      <c r="I6" s="49"/>
      <c r="J6" s="49"/>
      <c r="K6" s="49"/>
      <c r="L6" s="50"/>
      <c r="M6" s="73"/>
      <c r="N6" s="20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</row>
    <row r="7" spans="1:43" ht="15" x14ac:dyDescent="0.2">
      <c r="A7" s="65" t="s">
        <v>212</v>
      </c>
      <c r="B7" s="48" t="s">
        <v>117</v>
      </c>
      <c r="C7" s="48" t="s">
        <v>52</v>
      </c>
      <c r="D7" s="48" t="s">
        <v>52</v>
      </c>
      <c r="E7" s="49"/>
      <c r="F7" s="49"/>
      <c r="G7" s="49"/>
      <c r="H7" s="49"/>
      <c r="I7" s="49"/>
      <c r="J7" s="49"/>
      <c r="K7" s="49"/>
      <c r="L7" s="50"/>
      <c r="M7" s="73"/>
      <c r="N7" s="20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</row>
    <row r="8" spans="1:43" ht="15" x14ac:dyDescent="0.2">
      <c r="A8" s="69" t="s">
        <v>221</v>
      </c>
      <c r="B8" s="59" t="s">
        <v>113</v>
      </c>
      <c r="C8" s="245" t="s">
        <v>353</v>
      </c>
      <c r="D8" s="59" t="s">
        <v>57</v>
      </c>
      <c r="E8" s="197"/>
      <c r="F8" s="58"/>
      <c r="G8" s="58"/>
      <c r="H8" s="58"/>
      <c r="I8" s="58"/>
      <c r="J8" s="58"/>
      <c r="K8" s="58"/>
      <c r="L8" s="198"/>
      <c r="M8" s="73"/>
      <c r="N8" s="20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</row>
    <row r="9" spans="1:43" ht="15" x14ac:dyDescent="0.2">
      <c r="A9" s="65" t="s">
        <v>223</v>
      </c>
      <c r="B9" s="48" t="s">
        <v>57</v>
      </c>
      <c r="C9" s="48" t="s">
        <v>49</v>
      </c>
      <c r="D9" s="48" t="s">
        <v>119</v>
      </c>
      <c r="E9" s="57"/>
      <c r="F9" s="49"/>
      <c r="G9" s="49"/>
      <c r="H9" s="49"/>
      <c r="I9" s="49"/>
      <c r="J9" s="49"/>
      <c r="K9" s="49"/>
      <c r="L9" s="50"/>
      <c r="M9" s="73"/>
      <c r="N9" s="20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</row>
    <row r="10" spans="1:43" ht="15" x14ac:dyDescent="0.2">
      <c r="A10" s="66" t="s">
        <v>225</v>
      </c>
      <c r="B10" s="52"/>
      <c r="C10" s="52"/>
      <c r="D10" s="52"/>
      <c r="E10" s="47" t="s">
        <v>57</v>
      </c>
      <c r="F10" s="47" t="s">
        <v>57</v>
      </c>
      <c r="G10" s="47" t="s">
        <v>18</v>
      </c>
      <c r="H10" s="240" t="s">
        <v>353</v>
      </c>
      <c r="I10" s="47" t="s">
        <v>113</v>
      </c>
      <c r="J10" s="47" t="s">
        <v>108</v>
      </c>
      <c r="K10" s="47" t="s">
        <v>113</v>
      </c>
      <c r="L10" s="51"/>
      <c r="M10" s="73"/>
      <c r="N10" s="20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</row>
    <row r="11" spans="1:43" ht="15" x14ac:dyDescent="0.2">
      <c r="A11" s="66" t="s">
        <v>139</v>
      </c>
      <c r="B11" s="47" t="s">
        <v>114</v>
      </c>
      <c r="C11" s="47" t="s">
        <v>114</v>
      </c>
      <c r="D11" s="47" t="s">
        <v>114</v>
      </c>
      <c r="E11" s="47" t="s">
        <v>114</v>
      </c>
      <c r="F11" s="47" t="s">
        <v>114</v>
      </c>
      <c r="G11" s="47" t="s">
        <v>114</v>
      </c>
      <c r="H11" s="47" t="s">
        <v>118</v>
      </c>
      <c r="I11" s="47" t="s">
        <v>114</v>
      </c>
      <c r="J11" s="47" t="s">
        <v>114</v>
      </c>
      <c r="K11" s="47" t="s">
        <v>114</v>
      </c>
      <c r="L11" s="51"/>
      <c r="M11" s="73"/>
      <c r="N11" s="20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</row>
    <row r="12" spans="1:43" ht="15" x14ac:dyDescent="0.2">
      <c r="A12" s="66" t="s">
        <v>213</v>
      </c>
      <c r="B12" s="52"/>
      <c r="C12" s="52"/>
      <c r="D12" s="47" t="s">
        <v>115</v>
      </c>
      <c r="E12" s="52"/>
      <c r="F12" s="47" t="s">
        <v>115</v>
      </c>
      <c r="G12" s="52"/>
      <c r="H12" s="47" t="s">
        <v>115</v>
      </c>
      <c r="I12" s="52"/>
      <c r="J12" s="47" t="s">
        <v>115</v>
      </c>
      <c r="K12" s="52"/>
      <c r="L12" s="51"/>
      <c r="M12" s="73"/>
      <c r="N12" s="20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</row>
    <row r="13" spans="1:43" ht="15" x14ac:dyDescent="0.2">
      <c r="A13" s="66" t="s">
        <v>210</v>
      </c>
      <c r="B13" s="47" t="s">
        <v>296</v>
      </c>
      <c r="C13" s="47" t="s">
        <v>296</v>
      </c>
      <c r="D13" s="47" t="s">
        <v>113</v>
      </c>
      <c r="E13" s="47" t="s">
        <v>113</v>
      </c>
      <c r="F13" s="47" t="s">
        <v>119</v>
      </c>
      <c r="G13" s="240" t="s">
        <v>353</v>
      </c>
      <c r="H13" s="47" t="s">
        <v>113</v>
      </c>
      <c r="I13" s="240" t="s">
        <v>353</v>
      </c>
      <c r="J13" s="47" t="s">
        <v>52</v>
      </c>
      <c r="K13" s="47" t="s">
        <v>52</v>
      </c>
      <c r="L13" s="51"/>
      <c r="M13" s="73"/>
      <c r="N13" s="20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</row>
    <row r="14" spans="1:43" ht="15" x14ac:dyDescent="0.2">
      <c r="A14" s="66" t="s">
        <v>227</v>
      </c>
      <c r="B14" s="52"/>
      <c r="C14" s="52"/>
      <c r="D14" s="52"/>
      <c r="E14" s="47" t="s">
        <v>57</v>
      </c>
      <c r="F14" s="47" t="s">
        <v>57</v>
      </c>
      <c r="G14" s="47" t="s">
        <v>47</v>
      </c>
      <c r="H14" s="47" t="s">
        <v>47</v>
      </c>
      <c r="I14" s="47" t="s">
        <v>47</v>
      </c>
      <c r="J14" s="47" t="s">
        <v>57</v>
      </c>
      <c r="K14" s="47" t="s">
        <v>57</v>
      </c>
      <c r="L14" s="51"/>
      <c r="M14" s="73"/>
      <c r="N14" s="20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</row>
    <row r="15" spans="1:43" ht="15" x14ac:dyDescent="0.2">
      <c r="A15" s="65" t="s">
        <v>227</v>
      </c>
      <c r="B15" s="49"/>
      <c r="C15" s="49"/>
      <c r="D15" s="49"/>
      <c r="E15" s="48" t="s">
        <v>108</v>
      </c>
      <c r="F15" s="48" t="s">
        <v>108</v>
      </c>
      <c r="G15" s="48" t="s">
        <v>57</v>
      </c>
      <c r="H15" s="48" t="s">
        <v>8</v>
      </c>
      <c r="I15" s="48" t="s">
        <v>117</v>
      </c>
      <c r="J15" s="48" t="s">
        <v>117</v>
      </c>
      <c r="K15" s="48" t="s">
        <v>108</v>
      </c>
      <c r="L15" s="50"/>
      <c r="M15" s="73"/>
      <c r="N15" s="20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</row>
    <row r="16" spans="1:43" ht="15" x14ac:dyDescent="0.2">
      <c r="A16" s="65" t="s">
        <v>227</v>
      </c>
      <c r="B16" s="49"/>
      <c r="C16" s="49"/>
      <c r="D16" s="49"/>
      <c r="E16" s="48" t="s">
        <v>117</v>
      </c>
      <c r="F16" s="48" t="s">
        <v>119</v>
      </c>
      <c r="G16" s="48" t="s">
        <v>57</v>
      </c>
      <c r="H16" s="48" t="s">
        <v>117</v>
      </c>
      <c r="I16" s="57"/>
      <c r="J16" s="57"/>
      <c r="K16" s="49"/>
      <c r="L16" s="50"/>
      <c r="M16" s="73"/>
      <c r="N16" s="20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</row>
    <row r="17" spans="1:14" ht="15" x14ac:dyDescent="0.2">
      <c r="A17" s="65" t="s">
        <v>227</v>
      </c>
      <c r="B17" s="49"/>
      <c r="C17" s="49"/>
      <c r="D17" s="49"/>
      <c r="E17" s="48" t="s">
        <v>124</v>
      </c>
      <c r="F17" s="48" t="s">
        <v>124</v>
      </c>
      <c r="G17" s="48" t="s">
        <v>117</v>
      </c>
      <c r="H17" s="48" t="s">
        <v>57</v>
      </c>
      <c r="I17" s="49"/>
      <c r="J17" s="49"/>
      <c r="K17" s="49"/>
      <c r="L17" s="50"/>
      <c r="M17" s="73"/>
    </row>
    <row r="18" spans="1:14" ht="15" x14ac:dyDescent="0.2">
      <c r="A18" s="66" t="s">
        <v>229</v>
      </c>
      <c r="B18" s="52"/>
      <c r="C18" s="52"/>
      <c r="D18" s="52"/>
      <c r="E18" s="240" t="s">
        <v>353</v>
      </c>
      <c r="F18" s="240" t="s">
        <v>353</v>
      </c>
      <c r="G18" s="240" t="s">
        <v>353</v>
      </c>
      <c r="H18" s="47" t="s">
        <v>28</v>
      </c>
      <c r="I18" s="240" t="s">
        <v>353</v>
      </c>
      <c r="J18" s="47" t="s">
        <v>8</v>
      </c>
      <c r="K18" s="47" t="s">
        <v>8</v>
      </c>
      <c r="L18" s="51"/>
      <c r="M18" s="73"/>
    </row>
    <row r="19" spans="1:14" ht="15" x14ac:dyDescent="0.2">
      <c r="A19" s="65" t="s">
        <v>229</v>
      </c>
      <c r="B19" s="49"/>
      <c r="C19" s="49"/>
      <c r="D19" s="49"/>
      <c r="E19" s="48" t="s">
        <v>119</v>
      </c>
      <c r="F19" s="48" t="s">
        <v>303</v>
      </c>
      <c r="G19" s="48" t="s">
        <v>303</v>
      </c>
      <c r="H19" s="48" t="s">
        <v>52</v>
      </c>
      <c r="I19" s="48" t="s">
        <v>52</v>
      </c>
      <c r="J19" s="48" t="s">
        <v>296</v>
      </c>
      <c r="K19" s="48" t="s">
        <v>296</v>
      </c>
      <c r="L19" s="50"/>
      <c r="M19" s="73"/>
      <c r="N19" s="20"/>
    </row>
    <row r="20" spans="1:14" ht="15" x14ac:dyDescent="0.2">
      <c r="A20" s="65" t="s">
        <v>229</v>
      </c>
      <c r="B20" s="49"/>
      <c r="C20" s="49"/>
      <c r="D20" s="49"/>
      <c r="E20" s="48" t="s">
        <v>49</v>
      </c>
      <c r="F20" s="48" t="s">
        <v>124</v>
      </c>
      <c r="G20" s="48" t="s">
        <v>49</v>
      </c>
      <c r="H20" s="48" t="s">
        <v>124</v>
      </c>
      <c r="I20" s="49"/>
      <c r="J20" s="49"/>
      <c r="K20" s="49"/>
      <c r="L20" s="50"/>
      <c r="M20" s="73"/>
    </row>
    <row r="21" spans="1:14" ht="15" x14ac:dyDescent="0.2">
      <c r="A21" s="65" t="s">
        <v>229</v>
      </c>
      <c r="B21" s="49"/>
      <c r="C21" s="49"/>
      <c r="D21" s="49"/>
      <c r="E21" s="48" t="s">
        <v>113</v>
      </c>
      <c r="F21" s="48" t="s">
        <v>113</v>
      </c>
      <c r="G21" s="48" t="s">
        <v>113</v>
      </c>
      <c r="H21" s="48" t="s">
        <v>113</v>
      </c>
      <c r="I21" s="49"/>
      <c r="J21" s="49"/>
      <c r="K21" s="49"/>
      <c r="L21" s="50"/>
      <c r="M21" s="73"/>
    </row>
    <row r="22" spans="1:14" ht="15" x14ac:dyDescent="0.2">
      <c r="A22" s="66" t="s">
        <v>215</v>
      </c>
      <c r="B22" s="52"/>
      <c r="C22" s="52"/>
      <c r="D22" s="52"/>
      <c r="E22" s="240" t="s">
        <v>353</v>
      </c>
      <c r="F22" s="240" t="s">
        <v>353</v>
      </c>
      <c r="G22" s="47" t="s">
        <v>119</v>
      </c>
      <c r="H22" s="47" t="s">
        <v>26</v>
      </c>
      <c r="I22" s="47" t="s">
        <v>26</v>
      </c>
      <c r="J22" s="47" t="s">
        <v>113</v>
      </c>
      <c r="K22" s="47" t="s">
        <v>296</v>
      </c>
      <c r="L22" s="51"/>
      <c r="M22" s="73"/>
    </row>
    <row r="23" spans="1:14" ht="15" x14ac:dyDescent="0.2">
      <c r="A23" s="66" t="s">
        <v>231</v>
      </c>
      <c r="B23" s="52"/>
      <c r="C23" s="52"/>
      <c r="D23" s="52"/>
      <c r="E23" s="47" t="s">
        <v>303</v>
      </c>
      <c r="F23" s="47" t="s">
        <v>117</v>
      </c>
      <c r="G23" s="47" t="s">
        <v>188</v>
      </c>
      <c r="H23" s="47" t="s">
        <v>108</v>
      </c>
      <c r="I23" s="47" t="s">
        <v>18</v>
      </c>
      <c r="J23" s="47" t="s">
        <v>18</v>
      </c>
      <c r="K23" s="246" t="s">
        <v>117</v>
      </c>
      <c r="L23" s="51"/>
      <c r="M23" s="73"/>
    </row>
    <row r="24" spans="1:14" ht="15" x14ac:dyDescent="0.2">
      <c r="A24" s="66" t="s">
        <v>232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1"/>
      <c r="M24" s="73"/>
    </row>
    <row r="25" spans="1:14" ht="15" x14ac:dyDescent="0.2">
      <c r="A25" s="66" t="s">
        <v>220</v>
      </c>
      <c r="B25" s="52"/>
      <c r="C25" s="52"/>
      <c r="D25" s="52"/>
      <c r="E25" s="47" t="s">
        <v>296</v>
      </c>
      <c r="F25" s="47" t="s">
        <v>296</v>
      </c>
      <c r="G25" s="47" t="s">
        <v>118</v>
      </c>
      <c r="H25" s="47" t="s">
        <v>57</v>
      </c>
      <c r="I25" s="47" t="s">
        <v>57</v>
      </c>
      <c r="J25" s="47" t="s">
        <v>57</v>
      </c>
      <c r="K25" s="47" t="s">
        <v>124</v>
      </c>
      <c r="L25" s="51"/>
      <c r="M25" s="73"/>
    </row>
    <row r="26" spans="1:14" ht="15" x14ac:dyDescent="0.2">
      <c r="A26" s="66" t="s">
        <v>217</v>
      </c>
      <c r="B26" s="47" t="s">
        <v>118</v>
      </c>
      <c r="C26" s="47" t="s">
        <v>118</v>
      </c>
      <c r="D26" s="47" t="s">
        <v>108</v>
      </c>
      <c r="E26" s="52"/>
      <c r="F26" s="52"/>
      <c r="G26" s="52"/>
      <c r="H26" s="52"/>
      <c r="I26" s="52"/>
      <c r="J26" s="52"/>
      <c r="K26" s="52"/>
      <c r="L26" s="51"/>
      <c r="M26" s="73"/>
    </row>
    <row r="27" spans="1:14" ht="15" x14ac:dyDescent="0.2">
      <c r="A27" s="66" t="s">
        <v>101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4" t="s">
        <v>47</v>
      </c>
      <c r="M27" s="73"/>
    </row>
    <row r="28" spans="1:14" ht="15" x14ac:dyDescent="0.2">
      <c r="A28" s="67" t="s">
        <v>101</v>
      </c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56" t="s">
        <v>47</v>
      </c>
      <c r="M28" s="73"/>
    </row>
    <row r="29" spans="1:14" ht="15" x14ac:dyDescent="0.2">
      <c r="A29" s="71" t="s">
        <v>341</v>
      </c>
      <c r="B29" s="49"/>
      <c r="C29" s="49"/>
      <c r="D29" s="49"/>
      <c r="E29" s="205" t="s">
        <v>18</v>
      </c>
      <c r="F29" s="205" t="s">
        <v>18</v>
      </c>
      <c r="G29" s="205" t="s">
        <v>49</v>
      </c>
      <c r="H29" s="205" t="s">
        <v>119</v>
      </c>
      <c r="I29" s="205" t="s">
        <v>8</v>
      </c>
      <c r="J29" s="205" t="s">
        <v>49</v>
      </c>
      <c r="K29" s="205" t="s">
        <v>49</v>
      </c>
      <c r="L29" s="52"/>
      <c r="M29" s="73"/>
    </row>
    <row r="30" spans="1:14" x14ac:dyDescent="0.2">
      <c r="A30" s="73"/>
      <c r="B30" s="73"/>
      <c r="C30" s="73"/>
      <c r="D30" s="73"/>
      <c r="E30" s="73"/>
      <c r="F30" s="73"/>
      <c r="G30" s="73"/>
      <c r="H30" s="73"/>
      <c r="I30" s="73"/>
      <c r="J30" s="73"/>
      <c r="K30" s="73"/>
      <c r="L30" s="73"/>
      <c r="M30" s="73"/>
    </row>
    <row r="31" spans="1:14" ht="15" x14ac:dyDescent="0.2">
      <c r="A31" s="20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5"/>
  <sheetViews>
    <sheetView zoomScaleNormal="100" workbookViewId="0">
      <pane ySplit="5" topLeftCell="A6" activePane="bottomLeft" state="frozen"/>
      <selection activeCell="C23" sqref="C23"/>
      <selection pane="bottomLeft" activeCell="C23" sqref="C23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72" t="s">
        <v>156</v>
      </c>
      <c r="B1" s="72"/>
      <c r="C1" s="72"/>
      <c r="D1" s="72"/>
      <c r="E1" s="72"/>
      <c r="F1" s="72"/>
      <c r="G1" s="72" t="s">
        <v>266</v>
      </c>
      <c r="H1" s="75" t="str">
        <f>Issue</f>
        <v>2024 Show Season V1 7/22/2024</v>
      </c>
      <c r="I1" s="71"/>
      <c r="J1" s="71"/>
      <c r="K1" s="71"/>
      <c r="L1" s="73"/>
    </row>
    <row r="2" spans="1:42" ht="15.75" x14ac:dyDescent="0.25">
      <c r="A2" s="80" t="s">
        <v>157</v>
      </c>
      <c r="B2" s="80"/>
      <c r="C2" s="80"/>
      <c r="D2" s="72"/>
      <c r="E2" s="71"/>
      <c r="F2" s="71"/>
      <c r="G2" s="71"/>
      <c r="H2" s="71"/>
      <c r="I2" s="71"/>
      <c r="J2" s="71"/>
      <c r="K2" s="71"/>
      <c r="L2" s="7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14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</row>
    <row r="3" spans="1:42" ht="18.75" x14ac:dyDescent="0.3">
      <c r="A3" s="79" t="s">
        <v>350</v>
      </c>
      <c r="B3" s="223"/>
      <c r="C3" s="223"/>
      <c r="D3" s="72"/>
      <c r="E3" s="73"/>
      <c r="F3" s="173" t="s">
        <v>167</v>
      </c>
      <c r="G3" s="71"/>
      <c r="H3" s="71"/>
      <c r="I3" s="71"/>
      <c r="J3" s="71"/>
      <c r="K3" s="71"/>
      <c r="L3" s="73"/>
      <c r="M3" s="20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</row>
    <row r="4" spans="1:42" ht="15.75" x14ac:dyDescent="0.25">
      <c r="A4" s="72"/>
      <c r="B4" s="72"/>
      <c r="C4" s="72"/>
      <c r="D4" s="71"/>
      <c r="E4" s="78"/>
      <c r="F4" s="77"/>
      <c r="G4" s="77"/>
      <c r="H4" s="71"/>
      <c r="I4" s="71"/>
      <c r="J4" s="71"/>
      <c r="K4" s="71"/>
      <c r="L4" s="73"/>
      <c r="M4" s="20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</row>
    <row r="5" spans="1:42" ht="15.75" x14ac:dyDescent="0.25">
      <c r="A5" s="72" t="str">
        <f>A3</f>
        <v>Sunday 01/21/2024</v>
      </c>
      <c r="B5" s="80" t="s">
        <v>129</v>
      </c>
      <c r="C5" s="80" t="s">
        <v>130</v>
      </c>
      <c r="D5" s="199" t="s">
        <v>131</v>
      </c>
      <c r="E5" s="199" t="s">
        <v>132</v>
      </c>
      <c r="F5" s="199" t="s">
        <v>133</v>
      </c>
      <c r="G5" s="199" t="s">
        <v>134</v>
      </c>
      <c r="H5" s="199" t="s">
        <v>135</v>
      </c>
      <c r="I5" s="199" t="s">
        <v>136</v>
      </c>
      <c r="J5" s="199" t="s">
        <v>137</v>
      </c>
      <c r="K5" s="199" t="s">
        <v>138</v>
      </c>
      <c r="L5" s="71"/>
      <c r="M5" s="20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</row>
    <row r="6" spans="1:42" ht="15" x14ac:dyDescent="0.2">
      <c r="A6" s="69" t="s">
        <v>222</v>
      </c>
      <c r="B6" s="230"/>
      <c r="C6" s="230"/>
      <c r="D6" s="59" t="s">
        <v>49</v>
      </c>
      <c r="E6" s="197"/>
      <c r="F6" s="58"/>
      <c r="G6" s="58"/>
      <c r="H6" s="58"/>
      <c r="I6" s="58"/>
      <c r="J6" s="58"/>
      <c r="K6" s="198"/>
      <c r="L6" s="82"/>
      <c r="M6" s="20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</row>
    <row r="7" spans="1:42" ht="15" x14ac:dyDescent="0.2">
      <c r="A7" s="65" t="s">
        <v>224</v>
      </c>
      <c r="B7" s="71"/>
      <c r="C7" s="71"/>
      <c r="D7" s="48" t="s">
        <v>117</v>
      </c>
      <c r="E7" s="57"/>
      <c r="F7" s="49"/>
      <c r="G7" s="49"/>
      <c r="H7" s="49"/>
      <c r="I7" s="49"/>
      <c r="J7" s="49"/>
      <c r="K7" s="50"/>
      <c r="L7" s="73"/>
      <c r="M7" s="20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</row>
    <row r="8" spans="1:42" ht="15" x14ac:dyDescent="0.2">
      <c r="A8" s="66" t="s">
        <v>226</v>
      </c>
      <c r="B8" s="220"/>
      <c r="C8" s="220"/>
      <c r="D8" s="52"/>
      <c r="E8" s="47" t="s">
        <v>28</v>
      </c>
      <c r="F8" s="47" t="s">
        <v>57</v>
      </c>
      <c r="G8" s="47" t="s">
        <v>57</v>
      </c>
      <c r="H8" s="47" t="s">
        <v>28</v>
      </c>
      <c r="I8" s="47" t="s">
        <v>117</v>
      </c>
      <c r="J8" s="47" t="s">
        <v>113</v>
      </c>
      <c r="K8" s="51"/>
      <c r="L8" s="73"/>
      <c r="M8" s="20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</row>
    <row r="9" spans="1:42" ht="15" x14ac:dyDescent="0.2">
      <c r="A9" s="66" t="s">
        <v>150</v>
      </c>
      <c r="B9" s="220"/>
      <c r="C9" s="220"/>
      <c r="D9" s="47" t="s">
        <v>8</v>
      </c>
      <c r="E9" s="47" t="s">
        <v>108</v>
      </c>
      <c r="F9" s="47" t="s">
        <v>49</v>
      </c>
      <c r="G9" s="47" t="s">
        <v>49</v>
      </c>
      <c r="H9" s="47" t="s">
        <v>18</v>
      </c>
      <c r="I9" s="47" t="s">
        <v>113</v>
      </c>
      <c r="J9" s="47" t="s">
        <v>52</v>
      </c>
      <c r="K9" s="51"/>
      <c r="L9" s="73"/>
      <c r="M9" s="20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</row>
    <row r="10" spans="1:42" ht="15" x14ac:dyDescent="0.2">
      <c r="A10" s="66" t="s">
        <v>214</v>
      </c>
      <c r="B10" s="220"/>
      <c r="C10" s="220"/>
      <c r="D10" s="47" t="s">
        <v>115</v>
      </c>
      <c r="E10" s="51"/>
      <c r="F10" s="47" t="s">
        <v>115</v>
      </c>
      <c r="G10" s="51"/>
      <c r="H10" s="47" t="s">
        <v>115</v>
      </c>
      <c r="I10" s="51"/>
      <c r="J10" s="51"/>
      <c r="K10" s="51"/>
      <c r="L10" s="73"/>
      <c r="M10" s="20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</row>
    <row r="11" spans="1:42" ht="15" x14ac:dyDescent="0.2">
      <c r="A11" s="66" t="s">
        <v>211</v>
      </c>
      <c r="B11" s="220"/>
      <c r="C11" s="220"/>
      <c r="D11" s="47" t="s">
        <v>303</v>
      </c>
      <c r="E11" s="47" t="s">
        <v>119</v>
      </c>
      <c r="F11" s="47" t="s">
        <v>117</v>
      </c>
      <c r="G11" s="47" t="s">
        <v>31</v>
      </c>
      <c r="H11" s="47" t="s">
        <v>113</v>
      </c>
      <c r="I11" s="47" t="s">
        <v>52</v>
      </c>
      <c r="J11" s="47" t="s">
        <v>124</v>
      </c>
      <c r="K11" s="51"/>
      <c r="L11" s="73"/>
      <c r="M11" s="20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</row>
    <row r="12" spans="1:42" ht="15" x14ac:dyDescent="0.2">
      <c r="A12" s="66" t="s">
        <v>228</v>
      </c>
      <c r="B12" s="220"/>
      <c r="C12" s="220"/>
      <c r="D12" s="52"/>
      <c r="E12" s="47" t="s">
        <v>353</v>
      </c>
      <c r="F12" s="47" t="s">
        <v>18</v>
      </c>
      <c r="G12" s="47" t="s">
        <v>18</v>
      </c>
      <c r="H12" s="47" t="s">
        <v>18</v>
      </c>
      <c r="I12" s="47" t="s">
        <v>119</v>
      </c>
      <c r="J12" s="51"/>
      <c r="K12" s="51"/>
      <c r="L12" s="73"/>
      <c r="M12" s="20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</row>
    <row r="13" spans="1:42" ht="15" x14ac:dyDescent="0.2">
      <c r="A13" s="65" t="s">
        <v>228</v>
      </c>
      <c r="B13" s="71"/>
      <c r="C13" s="71"/>
      <c r="D13" s="49"/>
      <c r="E13" s="48" t="s">
        <v>113</v>
      </c>
      <c r="F13" s="48" t="s">
        <v>113</v>
      </c>
      <c r="G13" s="48" t="s">
        <v>113</v>
      </c>
      <c r="H13" s="48" t="s">
        <v>113</v>
      </c>
      <c r="I13" s="48" t="s">
        <v>108</v>
      </c>
      <c r="J13" s="50"/>
      <c r="K13" s="50"/>
      <c r="L13" s="73"/>
      <c r="M13" s="20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</row>
    <row r="14" spans="1:42" ht="15" x14ac:dyDescent="0.2">
      <c r="A14" s="65" t="s">
        <v>228</v>
      </c>
      <c r="B14" s="71"/>
      <c r="C14" s="71"/>
      <c r="D14" s="49"/>
      <c r="E14" s="49"/>
      <c r="F14" s="49"/>
      <c r="G14" s="48" t="s">
        <v>8</v>
      </c>
      <c r="H14" s="48" t="s">
        <v>303</v>
      </c>
      <c r="I14" s="49"/>
      <c r="J14" s="49"/>
      <c r="K14" s="50"/>
      <c r="L14" s="73"/>
      <c r="M14" s="20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</row>
    <row r="15" spans="1:42" ht="15" x14ac:dyDescent="0.2">
      <c r="A15" s="65" t="s">
        <v>228</v>
      </c>
      <c r="B15" s="71"/>
      <c r="C15" s="71"/>
      <c r="D15" s="49"/>
      <c r="E15" s="49"/>
      <c r="F15" s="49"/>
      <c r="G15" s="48" t="s">
        <v>188</v>
      </c>
      <c r="H15" s="48" t="s">
        <v>117</v>
      </c>
      <c r="I15" s="49"/>
      <c r="J15" s="49"/>
      <c r="K15" s="50"/>
      <c r="L15" s="73"/>
      <c r="M15" s="20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</row>
    <row r="16" spans="1:42" ht="15" x14ac:dyDescent="0.2">
      <c r="A16" s="66" t="s">
        <v>230</v>
      </c>
      <c r="B16" s="220"/>
      <c r="C16" s="220"/>
      <c r="D16" s="52"/>
      <c r="E16" s="47" t="s">
        <v>119</v>
      </c>
      <c r="F16" s="47" t="s">
        <v>119</v>
      </c>
      <c r="G16" s="47" t="s">
        <v>119</v>
      </c>
      <c r="H16" s="47" t="s">
        <v>57</v>
      </c>
      <c r="I16" s="47" t="s">
        <v>57</v>
      </c>
      <c r="J16" s="51"/>
      <c r="K16" s="51"/>
      <c r="L16" s="73"/>
    </row>
    <row r="17" spans="1:14" ht="15" x14ac:dyDescent="0.2">
      <c r="A17" s="65" t="s">
        <v>230</v>
      </c>
      <c r="B17" s="71"/>
      <c r="C17" s="71"/>
      <c r="D17" s="49"/>
      <c r="E17" s="48" t="s">
        <v>124</v>
      </c>
      <c r="F17" s="48" t="s">
        <v>124</v>
      </c>
      <c r="G17" s="48" t="s">
        <v>57</v>
      </c>
      <c r="H17" s="48" t="s">
        <v>124</v>
      </c>
      <c r="I17" s="48" t="s">
        <v>8</v>
      </c>
      <c r="J17" s="50"/>
      <c r="K17" s="50"/>
      <c r="L17" s="73"/>
      <c r="N17" s="23"/>
    </row>
    <row r="18" spans="1:14" ht="15" x14ac:dyDescent="0.2">
      <c r="A18" s="65" t="s">
        <v>230</v>
      </c>
      <c r="B18" s="71"/>
      <c r="C18" s="71"/>
      <c r="D18" s="49"/>
      <c r="E18" s="49"/>
      <c r="F18" s="49"/>
      <c r="G18" s="48" t="s">
        <v>49</v>
      </c>
      <c r="H18" s="48" t="s">
        <v>49</v>
      </c>
      <c r="I18" s="49"/>
      <c r="J18" s="49"/>
      <c r="K18" s="50"/>
      <c r="L18" s="73"/>
    </row>
    <row r="19" spans="1:14" ht="15" x14ac:dyDescent="0.2">
      <c r="A19" s="65" t="s">
        <v>230</v>
      </c>
      <c r="B19" s="71"/>
      <c r="C19" s="71"/>
      <c r="D19" s="49"/>
      <c r="E19" s="49"/>
      <c r="F19" s="49"/>
      <c r="G19" s="48" t="s">
        <v>124</v>
      </c>
      <c r="H19" s="48" t="s">
        <v>296</v>
      </c>
      <c r="I19" s="49"/>
      <c r="J19" s="49"/>
      <c r="K19" s="50"/>
      <c r="L19" s="73"/>
    </row>
    <row r="20" spans="1:14" ht="15" x14ac:dyDescent="0.2">
      <c r="A20" s="66" t="s">
        <v>216</v>
      </c>
      <c r="B20" s="220"/>
      <c r="C20" s="220"/>
      <c r="D20" s="52"/>
      <c r="E20" s="47" t="s">
        <v>47</v>
      </c>
      <c r="F20" s="47" t="s">
        <v>8</v>
      </c>
      <c r="G20" s="47" t="s">
        <v>117</v>
      </c>
      <c r="H20" s="47" t="s">
        <v>118</v>
      </c>
      <c r="I20" s="47" t="s">
        <v>124</v>
      </c>
      <c r="J20" s="47" t="s">
        <v>303</v>
      </c>
      <c r="K20" s="51"/>
      <c r="L20" s="73"/>
    </row>
    <row r="21" spans="1:14" ht="15" x14ac:dyDescent="0.2">
      <c r="A21" s="66" t="s">
        <v>233</v>
      </c>
      <c r="B21" s="220"/>
      <c r="C21" s="220"/>
      <c r="D21" s="52"/>
      <c r="E21" s="47" t="s">
        <v>303</v>
      </c>
      <c r="F21" s="47" t="s">
        <v>108</v>
      </c>
      <c r="G21" s="47" t="s">
        <v>18</v>
      </c>
      <c r="H21" s="47" t="s">
        <v>8</v>
      </c>
      <c r="I21" s="47" t="s">
        <v>113</v>
      </c>
      <c r="J21" s="51"/>
      <c r="K21" s="51"/>
      <c r="L21" s="71"/>
    </row>
    <row r="22" spans="1:14" ht="15" x14ac:dyDescent="0.2">
      <c r="A22" s="66" t="s">
        <v>234</v>
      </c>
      <c r="B22" s="220"/>
      <c r="C22" s="220"/>
      <c r="D22" s="52"/>
      <c r="E22" s="52"/>
      <c r="F22" s="52"/>
      <c r="G22" s="52"/>
      <c r="H22" s="52"/>
      <c r="I22" s="52"/>
      <c r="J22" s="52"/>
      <c r="K22" s="51"/>
      <c r="L22" s="73"/>
    </row>
    <row r="23" spans="1:14" ht="15" x14ac:dyDescent="0.2">
      <c r="A23" s="66" t="s">
        <v>219</v>
      </c>
      <c r="B23" s="220"/>
      <c r="C23" s="220"/>
      <c r="D23" s="52"/>
      <c r="E23" s="47" t="s">
        <v>117</v>
      </c>
      <c r="F23" s="47" t="s">
        <v>353</v>
      </c>
      <c r="G23" s="47" t="s">
        <v>303</v>
      </c>
      <c r="H23" s="47" t="s">
        <v>57</v>
      </c>
      <c r="I23" s="47" t="s">
        <v>57</v>
      </c>
      <c r="J23" s="47" t="s">
        <v>117</v>
      </c>
      <c r="K23" s="51"/>
      <c r="L23" s="73"/>
    </row>
    <row r="24" spans="1:14" ht="15" x14ac:dyDescent="0.2">
      <c r="A24" s="66" t="s">
        <v>342</v>
      </c>
      <c r="B24" s="220"/>
      <c r="C24" s="220"/>
      <c r="D24" s="52"/>
      <c r="E24" s="47" t="s">
        <v>113</v>
      </c>
      <c r="F24" s="47" t="s">
        <v>113</v>
      </c>
      <c r="G24" s="47" t="s">
        <v>296</v>
      </c>
      <c r="H24" s="47" t="s">
        <v>353</v>
      </c>
      <c r="I24" s="47" t="s">
        <v>117</v>
      </c>
      <c r="J24" s="47" t="s">
        <v>117</v>
      </c>
      <c r="K24" s="51"/>
      <c r="L24" s="73"/>
    </row>
    <row r="25" spans="1:14" ht="15" x14ac:dyDescent="0.2">
      <c r="A25" s="66" t="s">
        <v>218</v>
      </c>
      <c r="B25" s="220"/>
      <c r="C25" s="220"/>
      <c r="D25" s="47" t="s">
        <v>119</v>
      </c>
      <c r="E25" s="52"/>
      <c r="F25" s="52"/>
      <c r="G25" s="52"/>
      <c r="H25" s="52"/>
      <c r="I25" s="52"/>
      <c r="J25" s="52"/>
      <c r="K25" s="51"/>
      <c r="L25" s="73"/>
    </row>
    <row r="26" spans="1:14" ht="15" x14ac:dyDescent="0.2">
      <c r="A26" s="66" t="s">
        <v>235</v>
      </c>
      <c r="B26" s="220"/>
      <c r="C26" s="220"/>
      <c r="D26" s="52"/>
      <c r="E26" s="52"/>
      <c r="F26" s="52"/>
      <c r="G26" s="52"/>
      <c r="H26" s="52"/>
      <c r="I26" s="52"/>
      <c r="J26" s="52"/>
      <c r="K26" s="54" t="s">
        <v>31</v>
      </c>
      <c r="L26" s="73"/>
    </row>
    <row r="27" spans="1:14" ht="15" x14ac:dyDescent="0.2">
      <c r="A27" s="65" t="s">
        <v>235</v>
      </c>
      <c r="B27" s="71"/>
      <c r="C27" s="71"/>
      <c r="D27" s="49"/>
      <c r="E27" s="49"/>
      <c r="F27" s="49"/>
      <c r="G27" s="49"/>
      <c r="H27" s="49"/>
      <c r="I27" s="49"/>
      <c r="J27" s="49"/>
      <c r="K27" s="55" t="s">
        <v>31</v>
      </c>
      <c r="L27" s="73"/>
    </row>
    <row r="28" spans="1:14" ht="15" x14ac:dyDescent="0.2">
      <c r="A28" s="65" t="s">
        <v>235</v>
      </c>
      <c r="B28" s="71"/>
      <c r="C28" s="71"/>
      <c r="D28" s="57"/>
      <c r="E28" s="57"/>
      <c r="F28" s="57"/>
      <c r="G28" s="57"/>
      <c r="H28" s="57"/>
      <c r="I28" s="57"/>
      <c r="J28" s="57"/>
      <c r="K28" s="55" t="s">
        <v>31</v>
      </c>
      <c r="L28" s="73"/>
    </row>
    <row r="29" spans="1:14" ht="15" x14ac:dyDescent="0.2">
      <c r="A29" s="65" t="s">
        <v>235</v>
      </c>
      <c r="B29" s="71"/>
      <c r="C29" s="71"/>
      <c r="D29" s="57"/>
      <c r="E29" s="57"/>
      <c r="F29" s="57"/>
      <c r="G29" s="57"/>
      <c r="H29" s="57"/>
      <c r="I29" s="57"/>
      <c r="J29" s="57"/>
      <c r="K29" s="55" t="s">
        <v>31</v>
      </c>
      <c r="L29" s="73"/>
    </row>
    <row r="30" spans="1:14" ht="15" x14ac:dyDescent="0.2">
      <c r="A30" s="65" t="s">
        <v>235</v>
      </c>
      <c r="B30" s="71"/>
      <c r="C30" s="71"/>
      <c r="D30" s="57"/>
      <c r="E30" s="57"/>
      <c r="F30" s="57"/>
      <c r="G30" s="57"/>
      <c r="H30" s="57"/>
      <c r="I30" s="57"/>
      <c r="J30" s="57"/>
      <c r="K30" s="55" t="s">
        <v>31</v>
      </c>
      <c r="L30" s="73"/>
    </row>
    <row r="31" spans="1:14" ht="15" x14ac:dyDescent="0.2">
      <c r="A31" s="67" t="s">
        <v>235</v>
      </c>
      <c r="B31" s="224"/>
      <c r="C31" s="224"/>
      <c r="D31" s="53"/>
      <c r="E31" s="53"/>
      <c r="F31" s="53"/>
      <c r="G31" s="53"/>
      <c r="H31" s="53"/>
      <c r="I31" s="53"/>
      <c r="J31" s="53"/>
      <c r="K31" s="56" t="s">
        <v>31</v>
      </c>
      <c r="L31" s="73"/>
    </row>
    <row r="32" spans="1:14" x14ac:dyDescent="0.2">
      <c r="A32" s="73"/>
      <c r="B32" s="73"/>
      <c r="C32" s="73"/>
      <c r="D32" s="73"/>
      <c r="E32" s="73"/>
      <c r="F32" s="73"/>
      <c r="G32" s="73"/>
      <c r="H32" s="73"/>
      <c r="I32" s="73"/>
      <c r="J32" s="73"/>
      <c r="K32" s="73"/>
      <c r="L32" s="73"/>
    </row>
    <row r="33" spans="1:12" ht="15" x14ac:dyDescent="0.2">
      <c r="A33" s="20"/>
      <c r="B33" s="20"/>
      <c r="C33" s="20"/>
    </row>
    <row r="35" spans="1:12" ht="15" x14ac:dyDescent="0.2">
      <c r="L35" s="20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showGridLines="0" workbookViewId="0">
      <selection activeCell="C23" sqref="C23"/>
    </sheetView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21" t="s">
        <v>344</v>
      </c>
    </row>
    <row r="2" spans="1:26" ht="15.75" x14ac:dyDescent="0.25">
      <c r="A2" s="31" t="s">
        <v>176</v>
      </c>
      <c r="B2" s="25"/>
      <c r="C2" s="90" t="s">
        <v>353</v>
      </c>
      <c r="D2" s="26"/>
    </row>
    <row r="3" spans="1:26" x14ac:dyDescent="0.2">
      <c r="A3" s="31" t="s">
        <v>151</v>
      </c>
      <c r="B3" s="25"/>
      <c r="C3" s="61" t="str">
        <f>VLOOKUP(ClubSumSymbol,ClubList,2,FALSE)</f>
        <v>North Texas Railroad Modelers</v>
      </c>
      <c r="D3" s="26"/>
    </row>
    <row r="4" spans="1:26" x14ac:dyDescent="0.2">
      <c r="A4" t="s">
        <v>285</v>
      </c>
      <c r="C4" s="3" t="str">
        <f>VLOOKUP(ClubSumSymbol,ClubList,7,FALSE)</f>
        <v>Brian Lingle</v>
      </c>
    </row>
    <row r="5" spans="1:26" x14ac:dyDescent="0.2">
      <c r="A5" t="s">
        <v>286</v>
      </c>
      <c r="B5" s="85" t="str">
        <f>VLOOKUP(ClubSumSymbol,ClubList,8,FALSE)</f>
        <v>Assign times in mornong to allow meeting open house hours, manages magazine adds.</v>
      </c>
      <c r="C5" s="3"/>
    </row>
    <row r="6" spans="1:26" ht="15.75" x14ac:dyDescent="0.25">
      <c r="H6" s="92" t="s">
        <v>266</v>
      </c>
      <c r="I6" s="196" t="str">
        <f>Issue</f>
        <v>2024 Show Season V1 7/22/2024</v>
      </c>
    </row>
    <row r="7" spans="1:26" x14ac:dyDescent="0.2">
      <c r="B7" s="89" t="s">
        <v>184</v>
      </c>
      <c r="C7" s="89" t="s">
        <v>267</v>
      </c>
      <c r="D7" s="89" t="s">
        <v>185</v>
      </c>
      <c r="E7" s="89" t="s">
        <v>268</v>
      </c>
      <c r="F7" s="89" t="s">
        <v>141</v>
      </c>
    </row>
    <row r="8" spans="1:26" x14ac:dyDescent="0.2">
      <c r="A8" s="85" t="s">
        <v>183</v>
      </c>
      <c r="B8" s="86">
        <f>SUMIF(HTSPreshowTaskClubs,C2,HTSPreshowTaskHours)</f>
        <v>2</v>
      </c>
      <c r="C8" s="86">
        <f>COUNTIF(B11:Z32,"BNRR")</f>
        <v>18</v>
      </c>
      <c r="D8" s="86">
        <f>SUMIF(DATPreshowTaskClubs,C2,DATPreshowTaskHours)</f>
        <v>2</v>
      </c>
      <c r="E8" s="86">
        <f>COUNTIF(B35:Z54,"BNRR")</f>
        <v>15</v>
      </c>
      <c r="F8" s="86">
        <f>SUM(B8:E8)</f>
        <v>37</v>
      </c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</row>
    <row r="9" spans="1:26" x14ac:dyDescent="0.2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</row>
    <row r="10" spans="1:26" x14ac:dyDescent="0.2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</row>
    <row r="11" spans="1:26" x14ac:dyDescent="0.2">
      <c r="A11" s="87"/>
      <c r="B11" s="87"/>
      <c r="C11" s="87"/>
      <c r="D11" s="87"/>
      <c r="E11" s="88" t="s">
        <v>320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x14ac:dyDescent="0.2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ht="13.5" thickBot="1" x14ac:dyDescent="0.25">
      <c r="A13" s="91" t="s">
        <v>264</v>
      </c>
      <c r="B13" s="91" t="s">
        <v>207</v>
      </c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x14ac:dyDescent="0.2">
      <c r="A14" s="233" t="s">
        <v>12</v>
      </c>
      <c r="B14" s="233">
        <v>2</v>
      </c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x14ac:dyDescent="0.2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ht="13.5" thickBot="1" x14ac:dyDescent="0.25">
      <c r="A16" s="91" t="s">
        <v>345</v>
      </c>
      <c r="B16" s="91" t="s">
        <v>129</v>
      </c>
      <c r="C16" s="91" t="s">
        <v>130</v>
      </c>
      <c r="D16" s="91" t="s">
        <v>131</v>
      </c>
      <c r="E16" s="91" t="s">
        <v>132</v>
      </c>
      <c r="F16" s="91" t="s">
        <v>133</v>
      </c>
      <c r="G16" s="91" t="s">
        <v>134</v>
      </c>
      <c r="H16" s="91" t="s">
        <v>135</v>
      </c>
      <c r="I16" s="91" t="s">
        <v>136</v>
      </c>
      <c r="J16" s="91" t="s">
        <v>137</v>
      </c>
      <c r="K16" s="91" t="s">
        <v>138</v>
      </c>
      <c r="L16" s="91" t="s">
        <v>149</v>
      </c>
      <c r="M16" s="91" t="s">
        <v>174</v>
      </c>
      <c r="N16" s="91" t="s">
        <v>129</v>
      </c>
      <c r="O16" s="91" t="s">
        <v>130</v>
      </c>
      <c r="P16" s="91" t="s">
        <v>131</v>
      </c>
      <c r="Q16" s="91" t="s">
        <v>175</v>
      </c>
      <c r="R16" s="87"/>
      <c r="S16" s="87"/>
      <c r="T16" s="87"/>
      <c r="U16" s="87"/>
      <c r="V16" s="87"/>
      <c r="W16" s="87"/>
      <c r="X16" s="87"/>
      <c r="Y16" s="87"/>
      <c r="Z16" s="87"/>
    </row>
    <row r="17" spans="1:26" x14ac:dyDescent="0.2">
      <c r="A17" s="233" t="s">
        <v>325</v>
      </c>
      <c r="B17" s="233" t="s">
        <v>351</v>
      </c>
      <c r="C17" s="233" t="s">
        <v>351</v>
      </c>
      <c r="D17" s="233" t="s">
        <v>351</v>
      </c>
      <c r="E17" s="233" t="s">
        <v>353</v>
      </c>
      <c r="F17" s="233" t="s">
        <v>353</v>
      </c>
      <c r="G17" s="233" t="s">
        <v>351</v>
      </c>
      <c r="H17" s="233" t="s">
        <v>351</v>
      </c>
      <c r="I17" s="233" t="s">
        <v>351</v>
      </c>
      <c r="J17" s="233" t="s">
        <v>351</v>
      </c>
      <c r="K17" s="233" t="s">
        <v>351</v>
      </c>
      <c r="L17" s="233" t="s">
        <v>351</v>
      </c>
      <c r="M17" s="233" t="s">
        <v>351</v>
      </c>
      <c r="N17" s="233" t="s">
        <v>351</v>
      </c>
      <c r="O17" s="233" t="s">
        <v>351</v>
      </c>
      <c r="P17" s="233" t="s">
        <v>351</v>
      </c>
      <c r="Q17" s="233" t="s">
        <v>351</v>
      </c>
      <c r="R17" s="87"/>
      <c r="S17" s="87"/>
      <c r="T17" s="87"/>
      <c r="U17" s="87"/>
      <c r="V17" s="87"/>
      <c r="W17" s="87"/>
      <c r="X17" s="87"/>
      <c r="Y17" s="87"/>
      <c r="Z17" s="87"/>
    </row>
    <row r="18" spans="1:26" x14ac:dyDescent="0.2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ht="13.5" thickBot="1" x14ac:dyDescent="0.25">
      <c r="A19" s="91" t="s">
        <v>346</v>
      </c>
      <c r="B19" s="91" t="s">
        <v>129</v>
      </c>
      <c r="C19" s="91" t="s">
        <v>130</v>
      </c>
      <c r="D19" s="91" t="s">
        <v>131</v>
      </c>
      <c r="E19" s="91" t="s">
        <v>132</v>
      </c>
      <c r="F19" s="91" t="s">
        <v>133</v>
      </c>
      <c r="G19" s="91" t="s">
        <v>134</v>
      </c>
      <c r="H19" s="91" t="s">
        <v>135</v>
      </c>
      <c r="I19" s="91" t="s">
        <v>136</v>
      </c>
      <c r="J19" s="91" t="s">
        <v>137</v>
      </c>
      <c r="K19" s="91" t="s">
        <v>138</v>
      </c>
      <c r="L19" s="91" t="s">
        <v>149</v>
      </c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x14ac:dyDescent="0.2">
      <c r="A20" s="233" t="s">
        <v>139</v>
      </c>
      <c r="B20" s="233" t="s">
        <v>351</v>
      </c>
      <c r="C20" s="233" t="s">
        <v>351</v>
      </c>
      <c r="D20" s="233" t="s">
        <v>351</v>
      </c>
      <c r="E20" s="233" t="s">
        <v>353</v>
      </c>
      <c r="F20" s="233" t="s">
        <v>351</v>
      </c>
      <c r="G20" s="233" t="s">
        <v>351</v>
      </c>
      <c r="H20" s="233" t="s">
        <v>351</v>
      </c>
      <c r="I20" s="233" t="s">
        <v>351</v>
      </c>
      <c r="J20" s="233" t="s">
        <v>351</v>
      </c>
      <c r="K20" s="233" t="s">
        <v>351</v>
      </c>
      <c r="L20" s="233" t="s">
        <v>351</v>
      </c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x14ac:dyDescent="0.2">
      <c r="A21" s="232" t="s">
        <v>210</v>
      </c>
      <c r="B21" s="232" t="s">
        <v>353</v>
      </c>
      <c r="C21" s="232" t="s">
        <v>353</v>
      </c>
      <c r="D21" s="232" t="s">
        <v>353</v>
      </c>
      <c r="E21" s="232" t="s">
        <v>351</v>
      </c>
      <c r="F21" s="232" t="s">
        <v>351</v>
      </c>
      <c r="G21" s="232" t="s">
        <v>351</v>
      </c>
      <c r="H21" s="232" t="s">
        <v>351</v>
      </c>
      <c r="I21" s="232" t="s">
        <v>351</v>
      </c>
      <c r="J21" s="232" t="s">
        <v>351</v>
      </c>
      <c r="K21" s="232" t="s">
        <v>351</v>
      </c>
      <c r="L21" s="232" t="s">
        <v>351</v>
      </c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x14ac:dyDescent="0.2">
      <c r="A22" s="232" t="s">
        <v>309</v>
      </c>
      <c r="B22" s="232" t="s">
        <v>351</v>
      </c>
      <c r="C22" s="232" t="s">
        <v>351</v>
      </c>
      <c r="D22" s="232" t="s">
        <v>351</v>
      </c>
      <c r="E22" s="232" t="s">
        <v>351</v>
      </c>
      <c r="F22" s="232" t="s">
        <v>351</v>
      </c>
      <c r="G22" s="232" t="s">
        <v>351</v>
      </c>
      <c r="H22" s="232" t="s">
        <v>351</v>
      </c>
      <c r="I22" s="232" t="s">
        <v>351</v>
      </c>
      <c r="J22" s="232" t="s">
        <v>353</v>
      </c>
      <c r="K22" s="232" t="s">
        <v>353</v>
      </c>
      <c r="L22" s="232" t="s">
        <v>351</v>
      </c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x14ac:dyDescent="0.2">
      <c r="A23" s="232" t="s">
        <v>309</v>
      </c>
      <c r="B23" s="232" t="s">
        <v>351</v>
      </c>
      <c r="C23" s="232" t="s">
        <v>351</v>
      </c>
      <c r="D23" s="232" t="s">
        <v>351</v>
      </c>
      <c r="E23" s="232" t="s">
        <v>353</v>
      </c>
      <c r="F23" s="232" t="s">
        <v>351</v>
      </c>
      <c r="G23" s="232" t="s">
        <v>351</v>
      </c>
      <c r="H23" s="232" t="s">
        <v>351</v>
      </c>
      <c r="I23" s="232" t="s">
        <v>353</v>
      </c>
      <c r="J23" s="232" t="s">
        <v>351</v>
      </c>
      <c r="K23" s="232" t="s">
        <v>351</v>
      </c>
      <c r="L23" s="232" t="s">
        <v>351</v>
      </c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x14ac:dyDescent="0.2">
      <c r="A24" s="232" t="s">
        <v>309</v>
      </c>
      <c r="B24" s="232" t="s">
        <v>351</v>
      </c>
      <c r="C24" s="232" t="s">
        <v>351</v>
      </c>
      <c r="D24" s="232" t="s">
        <v>351</v>
      </c>
      <c r="E24" s="232" t="s">
        <v>351</v>
      </c>
      <c r="F24" s="232" t="s">
        <v>351</v>
      </c>
      <c r="G24" s="232" t="s">
        <v>351</v>
      </c>
      <c r="H24" s="232" t="s">
        <v>353</v>
      </c>
      <c r="I24" s="232" t="s">
        <v>351</v>
      </c>
      <c r="J24" s="232" t="s">
        <v>351</v>
      </c>
      <c r="K24" s="232" t="s">
        <v>351</v>
      </c>
      <c r="L24" s="232" t="s">
        <v>351</v>
      </c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x14ac:dyDescent="0.2">
      <c r="A25" s="232" t="s">
        <v>231</v>
      </c>
      <c r="B25" s="232" t="s">
        <v>351</v>
      </c>
      <c r="C25" s="232" t="s">
        <v>351</v>
      </c>
      <c r="D25" s="232" t="s">
        <v>351</v>
      </c>
      <c r="E25" s="232" t="s">
        <v>351</v>
      </c>
      <c r="F25" s="232" t="s">
        <v>351</v>
      </c>
      <c r="G25" s="232" t="s">
        <v>353</v>
      </c>
      <c r="H25" s="232" t="s">
        <v>351</v>
      </c>
      <c r="I25" s="232" t="s">
        <v>351</v>
      </c>
      <c r="J25" s="232" t="s">
        <v>351</v>
      </c>
      <c r="K25" s="232" t="s">
        <v>351</v>
      </c>
      <c r="L25" s="232" t="s">
        <v>351</v>
      </c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x14ac:dyDescent="0.2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13.5" thickBot="1" x14ac:dyDescent="0.25">
      <c r="A27" s="91" t="s">
        <v>347</v>
      </c>
      <c r="B27" s="91" t="s">
        <v>129</v>
      </c>
      <c r="C27" s="91" t="s">
        <v>130</v>
      </c>
      <c r="D27" s="91" t="s">
        <v>131</v>
      </c>
      <c r="E27" s="91" t="s">
        <v>132</v>
      </c>
      <c r="F27" s="91" t="s">
        <v>133</v>
      </c>
      <c r="G27" s="91" t="s">
        <v>134</v>
      </c>
      <c r="H27" s="91" t="s">
        <v>135</v>
      </c>
      <c r="I27" s="91" t="s">
        <v>136</v>
      </c>
      <c r="J27" s="91" t="s">
        <v>137</v>
      </c>
      <c r="K27" s="91" t="s">
        <v>138</v>
      </c>
      <c r="L27" s="91" t="s">
        <v>149</v>
      </c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x14ac:dyDescent="0.2">
      <c r="A28" s="233" t="s">
        <v>310</v>
      </c>
      <c r="B28" s="233" t="s">
        <v>351</v>
      </c>
      <c r="C28" s="233" t="s">
        <v>351</v>
      </c>
      <c r="D28" s="233" t="s">
        <v>351</v>
      </c>
      <c r="E28" s="233" t="s">
        <v>353</v>
      </c>
      <c r="F28" s="233" t="s">
        <v>351</v>
      </c>
      <c r="G28" s="233" t="s">
        <v>351</v>
      </c>
      <c r="H28" s="233" t="s">
        <v>353</v>
      </c>
      <c r="I28" s="233" t="s">
        <v>351</v>
      </c>
      <c r="J28" s="233" t="s">
        <v>351</v>
      </c>
      <c r="K28" s="233" t="s">
        <v>351</v>
      </c>
      <c r="L28" s="233" t="s">
        <v>351</v>
      </c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x14ac:dyDescent="0.2">
      <c r="A29" s="232" t="s">
        <v>310</v>
      </c>
      <c r="B29" s="232" t="s">
        <v>351</v>
      </c>
      <c r="C29" s="232" t="s">
        <v>351</v>
      </c>
      <c r="D29" s="232" t="s">
        <v>351</v>
      </c>
      <c r="E29" s="232" t="s">
        <v>351</v>
      </c>
      <c r="F29" s="232" t="s">
        <v>351</v>
      </c>
      <c r="G29" s="232" t="s">
        <v>353</v>
      </c>
      <c r="H29" s="232" t="s">
        <v>353</v>
      </c>
      <c r="I29" s="232" t="s">
        <v>351</v>
      </c>
      <c r="J29" s="232" t="s">
        <v>351</v>
      </c>
      <c r="K29" s="232" t="s">
        <v>351</v>
      </c>
      <c r="L29" s="232" t="s">
        <v>351</v>
      </c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x14ac:dyDescent="0.2">
      <c r="A30" s="232" t="s">
        <v>233</v>
      </c>
      <c r="B30" s="232" t="s">
        <v>351</v>
      </c>
      <c r="C30" s="232" t="s">
        <v>351</v>
      </c>
      <c r="D30" s="232" t="s">
        <v>351</v>
      </c>
      <c r="E30" s="232" t="s">
        <v>351</v>
      </c>
      <c r="F30" s="232" t="s">
        <v>351</v>
      </c>
      <c r="G30" s="232" t="s">
        <v>351</v>
      </c>
      <c r="H30" s="232" t="s">
        <v>351</v>
      </c>
      <c r="I30" s="232" t="s">
        <v>353</v>
      </c>
      <c r="J30" s="232" t="s">
        <v>351</v>
      </c>
      <c r="K30" s="232" t="s">
        <v>351</v>
      </c>
      <c r="L30" s="232" t="s">
        <v>351</v>
      </c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x14ac:dyDescent="0.2">
      <c r="A31" s="232" t="s">
        <v>219</v>
      </c>
      <c r="B31" s="232" t="s">
        <v>351</v>
      </c>
      <c r="C31" s="232" t="s">
        <v>351</v>
      </c>
      <c r="D31" s="232" t="s">
        <v>351</v>
      </c>
      <c r="E31" s="232" t="s">
        <v>351</v>
      </c>
      <c r="F31" s="232" t="s">
        <v>353</v>
      </c>
      <c r="G31" s="232" t="s">
        <v>351</v>
      </c>
      <c r="H31" s="232" t="s">
        <v>351</v>
      </c>
      <c r="I31" s="232" t="s">
        <v>351</v>
      </c>
      <c r="J31" s="232" t="s">
        <v>351</v>
      </c>
      <c r="K31" s="232" t="s">
        <v>351</v>
      </c>
      <c r="L31" s="232" t="s">
        <v>351</v>
      </c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x14ac:dyDescent="0.2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x14ac:dyDescent="0.2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x14ac:dyDescent="0.2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x14ac:dyDescent="0.2">
      <c r="A35" s="87"/>
      <c r="B35" s="87"/>
      <c r="C35" s="87"/>
      <c r="D35" s="87"/>
      <c r="E35" s="88" t="s">
        <v>269</v>
      </c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x14ac:dyDescent="0.2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13.5" thickBot="1" x14ac:dyDescent="0.25">
      <c r="A37" s="91" t="s">
        <v>264</v>
      </c>
      <c r="B37" s="91" t="s">
        <v>207</v>
      </c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x14ac:dyDescent="0.2">
      <c r="A38" s="233" t="s">
        <v>12</v>
      </c>
      <c r="B38" s="233">
        <v>2</v>
      </c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x14ac:dyDescent="0.2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13.5" thickBot="1" x14ac:dyDescent="0.25">
      <c r="A40" s="91" t="s">
        <v>348</v>
      </c>
      <c r="B40" s="91" t="s">
        <v>129</v>
      </c>
      <c r="C40" s="91" t="s">
        <v>130</v>
      </c>
      <c r="D40" s="91" t="s">
        <v>131</v>
      </c>
      <c r="E40" s="91" t="s">
        <v>132</v>
      </c>
      <c r="F40" s="91" t="s">
        <v>133</v>
      </c>
      <c r="G40" s="91" t="s">
        <v>134</v>
      </c>
      <c r="H40" s="91" t="s">
        <v>135</v>
      </c>
      <c r="I40" s="91" t="s">
        <v>136</v>
      </c>
      <c r="J40" s="91" t="s">
        <v>137</v>
      </c>
      <c r="K40" s="91" t="s">
        <v>138</v>
      </c>
      <c r="L40" s="91" t="s">
        <v>149</v>
      </c>
      <c r="M40" s="91" t="s">
        <v>174</v>
      </c>
      <c r="N40" s="91" t="s">
        <v>129</v>
      </c>
      <c r="O40" s="91" t="s">
        <v>130</v>
      </c>
      <c r="P40" s="91" t="s">
        <v>131</v>
      </c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x14ac:dyDescent="0.2">
      <c r="A41" s="233" t="s">
        <v>325</v>
      </c>
      <c r="B41" s="233" t="s">
        <v>351</v>
      </c>
      <c r="C41" s="233" t="s">
        <v>351</v>
      </c>
      <c r="D41" s="233" t="s">
        <v>351</v>
      </c>
      <c r="E41" s="233" t="s">
        <v>353</v>
      </c>
      <c r="F41" s="233" t="s">
        <v>353</v>
      </c>
      <c r="G41" s="233" t="s">
        <v>351</v>
      </c>
      <c r="H41" s="233" t="s">
        <v>351</v>
      </c>
      <c r="I41" s="233" t="s">
        <v>351</v>
      </c>
      <c r="J41" s="233" t="s">
        <v>351</v>
      </c>
      <c r="K41" s="233" t="s">
        <v>351</v>
      </c>
      <c r="L41" s="233" t="s">
        <v>351</v>
      </c>
      <c r="M41" s="233" t="s">
        <v>351</v>
      </c>
      <c r="N41" s="233" t="s">
        <v>351</v>
      </c>
      <c r="O41" s="233" t="s">
        <v>351</v>
      </c>
      <c r="P41" s="233" t="s">
        <v>351</v>
      </c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x14ac:dyDescent="0.2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13.5" thickBot="1" x14ac:dyDescent="0.25">
      <c r="A43" s="91" t="s">
        <v>349</v>
      </c>
      <c r="B43" s="91" t="s">
        <v>129</v>
      </c>
      <c r="C43" s="91" t="s">
        <v>130</v>
      </c>
      <c r="D43" s="91" t="s">
        <v>131</v>
      </c>
      <c r="E43" s="91" t="s">
        <v>132</v>
      </c>
      <c r="F43" s="91" t="s">
        <v>133</v>
      </c>
      <c r="G43" s="91" t="s">
        <v>134</v>
      </c>
      <c r="H43" s="91" t="s">
        <v>135</v>
      </c>
      <c r="I43" s="91" t="s">
        <v>136</v>
      </c>
      <c r="J43" s="91" t="s">
        <v>137</v>
      </c>
      <c r="K43" s="91" t="s">
        <v>138</v>
      </c>
      <c r="L43" s="91" t="s">
        <v>149</v>
      </c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x14ac:dyDescent="0.2">
      <c r="A44" s="233" t="s">
        <v>221</v>
      </c>
      <c r="B44" s="233" t="s">
        <v>351</v>
      </c>
      <c r="C44" s="233" t="s">
        <v>353</v>
      </c>
      <c r="D44" s="233" t="s">
        <v>351</v>
      </c>
      <c r="E44" s="233" t="s">
        <v>351</v>
      </c>
      <c r="F44" s="233" t="s">
        <v>351</v>
      </c>
      <c r="G44" s="233" t="s">
        <v>351</v>
      </c>
      <c r="H44" s="233" t="s">
        <v>351</v>
      </c>
      <c r="I44" s="233" t="s">
        <v>351</v>
      </c>
      <c r="J44" s="233" t="s">
        <v>351</v>
      </c>
      <c r="K44" s="233" t="s">
        <v>351</v>
      </c>
      <c r="L44" s="233" t="s">
        <v>351</v>
      </c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x14ac:dyDescent="0.2">
      <c r="A45" s="232" t="s">
        <v>225</v>
      </c>
      <c r="B45" s="232" t="s">
        <v>351</v>
      </c>
      <c r="C45" s="232" t="s">
        <v>351</v>
      </c>
      <c r="D45" s="232" t="s">
        <v>351</v>
      </c>
      <c r="E45" s="232" t="s">
        <v>351</v>
      </c>
      <c r="F45" s="232" t="s">
        <v>351</v>
      </c>
      <c r="G45" s="232" t="s">
        <v>351</v>
      </c>
      <c r="H45" s="232" t="s">
        <v>353</v>
      </c>
      <c r="I45" s="232" t="s">
        <v>351</v>
      </c>
      <c r="J45" s="232" t="s">
        <v>351</v>
      </c>
      <c r="K45" s="232" t="s">
        <v>351</v>
      </c>
      <c r="L45" s="232" t="s">
        <v>351</v>
      </c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x14ac:dyDescent="0.2">
      <c r="A46" s="232" t="s">
        <v>210</v>
      </c>
      <c r="B46" s="232" t="s">
        <v>351</v>
      </c>
      <c r="C46" s="232" t="s">
        <v>351</v>
      </c>
      <c r="D46" s="232" t="s">
        <v>351</v>
      </c>
      <c r="E46" s="232" t="s">
        <v>351</v>
      </c>
      <c r="F46" s="232" t="s">
        <v>351</v>
      </c>
      <c r="G46" s="232" t="s">
        <v>353</v>
      </c>
      <c r="H46" s="232" t="s">
        <v>351</v>
      </c>
      <c r="I46" s="232" t="s">
        <v>353</v>
      </c>
      <c r="J46" s="232" t="s">
        <v>351</v>
      </c>
      <c r="K46" s="232" t="s">
        <v>351</v>
      </c>
      <c r="L46" s="232" t="s">
        <v>351</v>
      </c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x14ac:dyDescent="0.2">
      <c r="A47" s="232" t="s">
        <v>229</v>
      </c>
      <c r="B47" s="232" t="s">
        <v>351</v>
      </c>
      <c r="C47" s="232" t="s">
        <v>351</v>
      </c>
      <c r="D47" s="232" t="s">
        <v>351</v>
      </c>
      <c r="E47" s="232" t="s">
        <v>353</v>
      </c>
      <c r="F47" s="232" t="s">
        <v>353</v>
      </c>
      <c r="G47" s="232" t="s">
        <v>353</v>
      </c>
      <c r="H47" s="232" t="s">
        <v>351</v>
      </c>
      <c r="I47" s="232" t="s">
        <v>353</v>
      </c>
      <c r="J47" s="232" t="s">
        <v>351</v>
      </c>
      <c r="K47" s="232" t="s">
        <v>351</v>
      </c>
      <c r="L47" s="232" t="s">
        <v>351</v>
      </c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x14ac:dyDescent="0.2">
      <c r="A48" s="232" t="s">
        <v>215</v>
      </c>
      <c r="B48" s="232" t="s">
        <v>351</v>
      </c>
      <c r="C48" s="232" t="s">
        <v>351</v>
      </c>
      <c r="D48" s="232" t="s">
        <v>351</v>
      </c>
      <c r="E48" s="232" t="s">
        <v>353</v>
      </c>
      <c r="F48" s="232" t="s">
        <v>353</v>
      </c>
      <c r="G48" s="232" t="s">
        <v>351</v>
      </c>
      <c r="H48" s="232" t="s">
        <v>351</v>
      </c>
      <c r="I48" s="232" t="s">
        <v>351</v>
      </c>
      <c r="J48" s="232" t="s">
        <v>351</v>
      </c>
      <c r="K48" s="232" t="s">
        <v>351</v>
      </c>
      <c r="L48" s="232" t="s">
        <v>351</v>
      </c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x14ac:dyDescent="0.2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13.5" thickBot="1" x14ac:dyDescent="0.25">
      <c r="A50" s="91" t="s">
        <v>350</v>
      </c>
      <c r="B50" s="91" t="s">
        <v>129</v>
      </c>
      <c r="C50" s="91" t="s">
        <v>130</v>
      </c>
      <c r="D50" s="91" t="s">
        <v>131</v>
      </c>
      <c r="E50" s="91" t="s">
        <v>132</v>
      </c>
      <c r="F50" s="91" t="s">
        <v>133</v>
      </c>
      <c r="G50" s="91" t="s">
        <v>134</v>
      </c>
      <c r="H50" s="91" t="s">
        <v>135</v>
      </c>
      <c r="I50" s="91" t="s">
        <v>136</v>
      </c>
      <c r="J50" s="91" t="s">
        <v>137</v>
      </c>
      <c r="K50" s="91" t="s">
        <v>138</v>
      </c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x14ac:dyDescent="0.2">
      <c r="A51" s="233" t="s">
        <v>228</v>
      </c>
      <c r="B51" s="233" t="s">
        <v>351</v>
      </c>
      <c r="C51" s="233" t="s">
        <v>351</v>
      </c>
      <c r="D51" s="233" t="s">
        <v>351</v>
      </c>
      <c r="E51" s="233" t="s">
        <v>353</v>
      </c>
      <c r="F51" s="233" t="s">
        <v>351</v>
      </c>
      <c r="G51" s="233" t="s">
        <v>351</v>
      </c>
      <c r="H51" s="233" t="s">
        <v>351</v>
      </c>
      <c r="I51" s="233" t="s">
        <v>351</v>
      </c>
      <c r="J51" s="233" t="s">
        <v>351</v>
      </c>
      <c r="K51" s="233" t="s">
        <v>351</v>
      </c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x14ac:dyDescent="0.2">
      <c r="A52" s="232" t="s">
        <v>219</v>
      </c>
      <c r="B52" s="232" t="s">
        <v>351</v>
      </c>
      <c r="C52" s="232" t="s">
        <v>351</v>
      </c>
      <c r="D52" s="232" t="s">
        <v>351</v>
      </c>
      <c r="E52" s="232" t="s">
        <v>351</v>
      </c>
      <c r="F52" s="232" t="s">
        <v>353</v>
      </c>
      <c r="G52" s="232" t="s">
        <v>351</v>
      </c>
      <c r="H52" s="232" t="s">
        <v>351</v>
      </c>
      <c r="I52" s="232" t="s">
        <v>351</v>
      </c>
      <c r="J52" s="232" t="s">
        <v>351</v>
      </c>
      <c r="K52" s="232" t="s">
        <v>351</v>
      </c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x14ac:dyDescent="0.2">
      <c r="A53" s="232" t="s">
        <v>342</v>
      </c>
      <c r="B53" s="232" t="s">
        <v>351</v>
      </c>
      <c r="C53" s="232" t="s">
        <v>351</v>
      </c>
      <c r="D53" s="232" t="s">
        <v>351</v>
      </c>
      <c r="E53" s="232" t="s">
        <v>351</v>
      </c>
      <c r="F53" s="232" t="s">
        <v>351</v>
      </c>
      <c r="G53" s="232" t="s">
        <v>351</v>
      </c>
      <c r="H53" s="232" t="s">
        <v>353</v>
      </c>
      <c r="I53" s="232" t="s">
        <v>351</v>
      </c>
      <c r="J53" s="232" t="s">
        <v>351</v>
      </c>
      <c r="K53" s="232" t="s">
        <v>351</v>
      </c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x14ac:dyDescent="0.2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x14ac:dyDescent="0.2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x14ac:dyDescent="0.2">
      <c r="A56" s="87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x14ac:dyDescent="0.2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x14ac:dyDescent="0.2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x14ac:dyDescent="0.2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x14ac:dyDescent="0.2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x14ac:dyDescent="0.2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x14ac:dyDescent="0.2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x14ac:dyDescent="0.2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x14ac:dyDescent="0.2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x14ac:dyDescent="0.2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x14ac:dyDescent="0.2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x14ac:dyDescent="0.2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x14ac:dyDescent="0.2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x14ac:dyDescent="0.2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x14ac:dyDescent="0.2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x14ac:dyDescent="0.2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x14ac:dyDescent="0.2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x14ac:dyDescent="0.2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x14ac:dyDescent="0.2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x14ac:dyDescent="0.2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x14ac:dyDescent="0.2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x14ac:dyDescent="0.2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x14ac:dyDescent="0.2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x14ac:dyDescent="0.2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x14ac:dyDescent="0.2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x14ac:dyDescent="0.2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x14ac:dyDescent="0.2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x14ac:dyDescent="0.2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x14ac:dyDescent="0.2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x14ac:dyDescent="0.2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x14ac:dyDescent="0.2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x14ac:dyDescent="0.2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x14ac:dyDescent="0.2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x14ac:dyDescent="0.2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x14ac:dyDescent="0.2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x14ac:dyDescent="0.2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x14ac:dyDescent="0.2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x14ac:dyDescent="0.2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x14ac:dyDescent="0.2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x14ac:dyDescent="0.2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x14ac:dyDescent="0.2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x14ac:dyDescent="0.2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x14ac:dyDescent="0.2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x14ac:dyDescent="0.2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x14ac:dyDescent="0.2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x14ac:dyDescent="0.2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x14ac:dyDescent="0.2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x14ac:dyDescent="0.2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x14ac:dyDescent="0.2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x14ac:dyDescent="0.2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x14ac:dyDescent="0.2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x14ac:dyDescent="0.2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x14ac:dyDescent="0.2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x14ac:dyDescent="0.2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x14ac:dyDescent="0.2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x14ac:dyDescent="0.2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x14ac:dyDescent="0.2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x14ac:dyDescent="0.2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x14ac:dyDescent="0.2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x14ac:dyDescent="0.2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x14ac:dyDescent="0.2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x14ac:dyDescent="0.2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x14ac:dyDescent="0.2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x14ac:dyDescent="0.2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x14ac:dyDescent="0.2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x14ac:dyDescent="0.2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x14ac:dyDescent="0.2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x14ac:dyDescent="0.2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x14ac:dyDescent="0.2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x14ac:dyDescent="0.2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x14ac:dyDescent="0.2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x14ac:dyDescent="0.2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x14ac:dyDescent="0.2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x14ac:dyDescent="0.2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x14ac:dyDescent="0.2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x14ac:dyDescent="0.2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x14ac:dyDescent="0.2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x14ac:dyDescent="0.2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x14ac:dyDescent="0.2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x14ac:dyDescent="0.2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x14ac:dyDescent="0.2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x14ac:dyDescent="0.2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x14ac:dyDescent="0.2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x14ac:dyDescent="0.2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x14ac:dyDescent="0.2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x14ac:dyDescent="0.2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x14ac:dyDescent="0.2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x14ac:dyDescent="0.2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x14ac:dyDescent="0.2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x14ac:dyDescent="0.2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x14ac:dyDescent="0.2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x14ac:dyDescent="0.2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x14ac:dyDescent="0.2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x14ac:dyDescent="0.2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x14ac:dyDescent="0.2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x14ac:dyDescent="0.2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x14ac:dyDescent="0.2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x14ac:dyDescent="0.2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x14ac:dyDescent="0.2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x14ac:dyDescent="0.2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x14ac:dyDescent="0.2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x14ac:dyDescent="0.2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x14ac:dyDescent="0.2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x14ac:dyDescent="0.2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x14ac:dyDescent="0.2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x14ac:dyDescent="0.2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x14ac:dyDescent="0.2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x14ac:dyDescent="0.2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x14ac:dyDescent="0.2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x14ac:dyDescent="0.2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x14ac:dyDescent="0.2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x14ac:dyDescent="0.2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x14ac:dyDescent="0.2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x14ac:dyDescent="0.2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x14ac:dyDescent="0.2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x14ac:dyDescent="0.2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x14ac:dyDescent="0.2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x14ac:dyDescent="0.2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x14ac:dyDescent="0.2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x14ac:dyDescent="0.2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x14ac:dyDescent="0.2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x14ac:dyDescent="0.2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x14ac:dyDescent="0.2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x14ac:dyDescent="0.2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x14ac:dyDescent="0.2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x14ac:dyDescent="0.2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x14ac:dyDescent="0.2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x14ac:dyDescent="0.2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x14ac:dyDescent="0.2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x14ac:dyDescent="0.2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x14ac:dyDescent="0.2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x14ac:dyDescent="0.2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x14ac:dyDescent="0.2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x14ac:dyDescent="0.2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x14ac:dyDescent="0.2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x14ac:dyDescent="0.2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x14ac:dyDescent="0.2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x14ac:dyDescent="0.2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x14ac:dyDescent="0.2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x14ac:dyDescent="0.2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x14ac:dyDescent="0.2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x14ac:dyDescent="0.2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x14ac:dyDescent="0.2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x14ac:dyDescent="0.2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x14ac:dyDescent="0.2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x14ac:dyDescent="0.2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x14ac:dyDescent="0.2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x14ac:dyDescent="0.2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x14ac:dyDescent="0.2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x14ac:dyDescent="0.2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x14ac:dyDescent="0.2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x14ac:dyDescent="0.2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x14ac:dyDescent="0.2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x14ac:dyDescent="0.2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x14ac:dyDescent="0.2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x14ac:dyDescent="0.2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x14ac:dyDescent="0.2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x14ac:dyDescent="0.2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x14ac:dyDescent="0.2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x14ac:dyDescent="0.2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x14ac:dyDescent="0.2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x14ac:dyDescent="0.2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x14ac:dyDescent="0.2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x14ac:dyDescent="0.2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x14ac:dyDescent="0.2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x14ac:dyDescent="0.2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x14ac:dyDescent="0.2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x14ac:dyDescent="0.2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x14ac:dyDescent="0.2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x14ac:dyDescent="0.2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x14ac:dyDescent="0.2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x14ac:dyDescent="0.2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x14ac:dyDescent="0.2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x14ac:dyDescent="0.2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x14ac:dyDescent="0.2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x14ac:dyDescent="0.2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x14ac:dyDescent="0.2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x14ac:dyDescent="0.2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x14ac:dyDescent="0.2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x14ac:dyDescent="0.2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x14ac:dyDescent="0.2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x14ac:dyDescent="0.2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x14ac:dyDescent="0.2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x14ac:dyDescent="0.2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x14ac:dyDescent="0.2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x14ac:dyDescent="0.2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x14ac:dyDescent="0.2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x14ac:dyDescent="0.2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x14ac:dyDescent="0.2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x14ac:dyDescent="0.2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x14ac:dyDescent="0.2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x14ac:dyDescent="0.2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x14ac:dyDescent="0.2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x14ac:dyDescent="0.2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x14ac:dyDescent="0.2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x14ac:dyDescent="0.2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x14ac:dyDescent="0.2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x14ac:dyDescent="0.2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x14ac:dyDescent="0.2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x14ac:dyDescent="0.2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x14ac:dyDescent="0.2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x14ac:dyDescent="0.2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x14ac:dyDescent="0.2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x14ac:dyDescent="0.2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x14ac:dyDescent="0.2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x14ac:dyDescent="0.2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x14ac:dyDescent="0.2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x14ac:dyDescent="0.2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x14ac:dyDescent="0.2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x14ac:dyDescent="0.2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x14ac:dyDescent="0.2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x14ac:dyDescent="0.2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x14ac:dyDescent="0.2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x14ac:dyDescent="0.2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x14ac:dyDescent="0.2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x14ac:dyDescent="0.2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x14ac:dyDescent="0.2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x14ac:dyDescent="0.2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x14ac:dyDescent="0.2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x14ac:dyDescent="0.2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x14ac:dyDescent="0.2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x14ac:dyDescent="0.2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x14ac:dyDescent="0.2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x14ac:dyDescent="0.2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x14ac:dyDescent="0.2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x14ac:dyDescent="0.2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x14ac:dyDescent="0.2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x14ac:dyDescent="0.2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x14ac:dyDescent="0.2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x14ac:dyDescent="0.2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x14ac:dyDescent="0.2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x14ac:dyDescent="0.2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x14ac:dyDescent="0.2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x14ac:dyDescent="0.2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x14ac:dyDescent="0.2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x14ac:dyDescent="0.2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x14ac:dyDescent="0.2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x14ac:dyDescent="0.2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x14ac:dyDescent="0.2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x14ac:dyDescent="0.2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x14ac:dyDescent="0.2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x14ac:dyDescent="0.2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x14ac:dyDescent="0.2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x14ac:dyDescent="0.2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x14ac:dyDescent="0.2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x14ac:dyDescent="0.2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x14ac:dyDescent="0.2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x14ac:dyDescent="0.2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x14ac:dyDescent="0.2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x14ac:dyDescent="0.2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x14ac:dyDescent="0.2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x14ac:dyDescent="0.2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x14ac:dyDescent="0.2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x14ac:dyDescent="0.2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x14ac:dyDescent="0.2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x14ac:dyDescent="0.2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x14ac:dyDescent="0.2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x14ac:dyDescent="0.2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x14ac:dyDescent="0.2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x14ac:dyDescent="0.2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x14ac:dyDescent="0.2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x14ac:dyDescent="0.2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x14ac:dyDescent="0.2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x14ac:dyDescent="0.2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x14ac:dyDescent="0.2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x14ac:dyDescent="0.2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x14ac:dyDescent="0.2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x14ac:dyDescent="0.2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x14ac:dyDescent="0.2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x14ac:dyDescent="0.2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x14ac:dyDescent="0.2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x14ac:dyDescent="0.2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x14ac:dyDescent="0.2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x14ac:dyDescent="0.2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x14ac:dyDescent="0.2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x14ac:dyDescent="0.2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x14ac:dyDescent="0.2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x14ac:dyDescent="0.2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x14ac:dyDescent="0.2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x14ac:dyDescent="0.2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x14ac:dyDescent="0.2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x14ac:dyDescent="0.2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x14ac:dyDescent="0.2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x14ac:dyDescent="0.2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x14ac:dyDescent="0.2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x14ac:dyDescent="0.2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x14ac:dyDescent="0.2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x14ac:dyDescent="0.2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x14ac:dyDescent="0.2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x14ac:dyDescent="0.2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x14ac:dyDescent="0.2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x14ac:dyDescent="0.2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x14ac:dyDescent="0.2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x14ac:dyDescent="0.2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x14ac:dyDescent="0.2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x14ac:dyDescent="0.2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x14ac:dyDescent="0.2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x14ac:dyDescent="0.2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x14ac:dyDescent="0.2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x14ac:dyDescent="0.2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x14ac:dyDescent="0.2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x14ac:dyDescent="0.2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x14ac:dyDescent="0.2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x14ac:dyDescent="0.2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x14ac:dyDescent="0.2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x14ac:dyDescent="0.2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x14ac:dyDescent="0.2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x14ac:dyDescent="0.2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x14ac:dyDescent="0.2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x14ac:dyDescent="0.2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x14ac:dyDescent="0.2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x14ac:dyDescent="0.2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x14ac:dyDescent="0.2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x14ac:dyDescent="0.2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x14ac:dyDescent="0.2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x14ac:dyDescent="0.2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x14ac:dyDescent="0.2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x14ac:dyDescent="0.2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x14ac:dyDescent="0.2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x14ac:dyDescent="0.2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x14ac:dyDescent="0.2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x14ac:dyDescent="0.2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x14ac:dyDescent="0.2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x14ac:dyDescent="0.2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x14ac:dyDescent="0.2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x14ac:dyDescent="0.2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x14ac:dyDescent="0.2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x14ac:dyDescent="0.2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x14ac:dyDescent="0.2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x14ac:dyDescent="0.2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x14ac:dyDescent="0.2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x14ac:dyDescent="0.2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x14ac:dyDescent="0.2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x14ac:dyDescent="0.2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x14ac:dyDescent="0.2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x14ac:dyDescent="0.2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x14ac:dyDescent="0.2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x14ac:dyDescent="0.2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x14ac:dyDescent="0.2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x14ac:dyDescent="0.2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x14ac:dyDescent="0.2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x14ac:dyDescent="0.2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x14ac:dyDescent="0.2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x14ac:dyDescent="0.2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x14ac:dyDescent="0.2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x14ac:dyDescent="0.2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x14ac:dyDescent="0.2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x14ac:dyDescent="0.2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x14ac:dyDescent="0.2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x14ac:dyDescent="0.2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x14ac:dyDescent="0.2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x14ac:dyDescent="0.2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x14ac:dyDescent="0.2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x14ac:dyDescent="0.2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x14ac:dyDescent="0.2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x14ac:dyDescent="0.2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x14ac:dyDescent="0.2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x14ac:dyDescent="0.2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x14ac:dyDescent="0.2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x14ac:dyDescent="0.2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x14ac:dyDescent="0.2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x14ac:dyDescent="0.2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x14ac:dyDescent="0.2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x14ac:dyDescent="0.2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x14ac:dyDescent="0.2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x14ac:dyDescent="0.2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x14ac:dyDescent="0.2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x14ac:dyDescent="0.2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x14ac:dyDescent="0.2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x14ac:dyDescent="0.2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x14ac:dyDescent="0.2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x14ac:dyDescent="0.2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x14ac:dyDescent="0.2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x14ac:dyDescent="0.2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x14ac:dyDescent="0.2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x14ac:dyDescent="0.2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x14ac:dyDescent="0.2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x14ac:dyDescent="0.2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x14ac:dyDescent="0.2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x14ac:dyDescent="0.2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x14ac:dyDescent="0.2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x14ac:dyDescent="0.2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x14ac:dyDescent="0.2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x14ac:dyDescent="0.2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x14ac:dyDescent="0.2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x14ac:dyDescent="0.2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x14ac:dyDescent="0.2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x14ac:dyDescent="0.2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x14ac:dyDescent="0.2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x14ac:dyDescent="0.2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x14ac:dyDescent="0.2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x14ac:dyDescent="0.2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x14ac:dyDescent="0.2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x14ac:dyDescent="0.2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x14ac:dyDescent="0.2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x14ac:dyDescent="0.2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x14ac:dyDescent="0.2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x14ac:dyDescent="0.2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x14ac:dyDescent="0.2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x14ac:dyDescent="0.2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x14ac:dyDescent="0.2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x14ac:dyDescent="0.2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x14ac:dyDescent="0.2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x14ac:dyDescent="0.2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x14ac:dyDescent="0.2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x14ac:dyDescent="0.2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x14ac:dyDescent="0.2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x14ac:dyDescent="0.2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x14ac:dyDescent="0.2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x14ac:dyDescent="0.2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x14ac:dyDescent="0.2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x14ac:dyDescent="0.2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x14ac:dyDescent="0.2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x14ac:dyDescent="0.2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x14ac:dyDescent="0.2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x14ac:dyDescent="0.2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x14ac:dyDescent="0.2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x14ac:dyDescent="0.2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x14ac:dyDescent="0.2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x14ac:dyDescent="0.2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x14ac:dyDescent="0.2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x14ac:dyDescent="0.2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x14ac:dyDescent="0.2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x14ac:dyDescent="0.2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x14ac:dyDescent="0.2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x14ac:dyDescent="0.2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x14ac:dyDescent="0.2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x14ac:dyDescent="0.2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x14ac:dyDescent="0.2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x14ac:dyDescent="0.2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x14ac:dyDescent="0.2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x14ac:dyDescent="0.2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x14ac:dyDescent="0.2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x14ac:dyDescent="0.2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x14ac:dyDescent="0.2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x14ac:dyDescent="0.2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x14ac:dyDescent="0.2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x14ac:dyDescent="0.2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x14ac:dyDescent="0.2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x14ac:dyDescent="0.2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x14ac:dyDescent="0.2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x14ac:dyDescent="0.2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x14ac:dyDescent="0.2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x14ac:dyDescent="0.2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x14ac:dyDescent="0.2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x14ac:dyDescent="0.2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x14ac:dyDescent="0.2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x14ac:dyDescent="0.2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x14ac:dyDescent="0.2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x14ac:dyDescent="0.2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x14ac:dyDescent="0.2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x14ac:dyDescent="0.2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x14ac:dyDescent="0.2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x14ac:dyDescent="0.2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x14ac:dyDescent="0.2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x14ac:dyDescent="0.2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x14ac:dyDescent="0.2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x14ac:dyDescent="0.2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x14ac:dyDescent="0.2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x14ac:dyDescent="0.2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x14ac:dyDescent="0.2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x14ac:dyDescent="0.2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x14ac:dyDescent="0.2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x14ac:dyDescent="0.2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x14ac:dyDescent="0.2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x14ac:dyDescent="0.2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x14ac:dyDescent="0.2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x14ac:dyDescent="0.2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x14ac:dyDescent="0.2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x14ac:dyDescent="0.2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x14ac:dyDescent="0.2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x14ac:dyDescent="0.2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x14ac:dyDescent="0.2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x14ac:dyDescent="0.2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x14ac:dyDescent="0.2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x14ac:dyDescent="0.2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x14ac:dyDescent="0.2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x14ac:dyDescent="0.2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x14ac:dyDescent="0.2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x14ac:dyDescent="0.2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x14ac:dyDescent="0.2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x14ac:dyDescent="0.2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x14ac:dyDescent="0.2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x14ac:dyDescent="0.2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x14ac:dyDescent="0.2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x14ac:dyDescent="0.2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x14ac:dyDescent="0.2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x14ac:dyDescent="0.2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x14ac:dyDescent="0.2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x14ac:dyDescent="0.2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x14ac:dyDescent="0.2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x14ac:dyDescent="0.2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x14ac:dyDescent="0.2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x14ac:dyDescent="0.2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x14ac:dyDescent="0.2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x14ac:dyDescent="0.2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x14ac:dyDescent="0.2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x14ac:dyDescent="0.2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x14ac:dyDescent="0.2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x14ac:dyDescent="0.2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x14ac:dyDescent="0.2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x14ac:dyDescent="0.2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x14ac:dyDescent="0.2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x14ac:dyDescent="0.2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x14ac:dyDescent="0.2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x14ac:dyDescent="0.2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x14ac:dyDescent="0.2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x14ac:dyDescent="0.2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x14ac:dyDescent="0.2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x14ac:dyDescent="0.2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x14ac:dyDescent="0.2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x14ac:dyDescent="0.2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x14ac:dyDescent="0.2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x14ac:dyDescent="0.2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x14ac:dyDescent="0.2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x14ac:dyDescent="0.2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x14ac:dyDescent="0.2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x14ac:dyDescent="0.2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x14ac:dyDescent="0.2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x14ac:dyDescent="0.2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x14ac:dyDescent="0.2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x14ac:dyDescent="0.2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x14ac:dyDescent="0.2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x14ac:dyDescent="0.2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x14ac:dyDescent="0.2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x14ac:dyDescent="0.2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x14ac:dyDescent="0.2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x14ac:dyDescent="0.2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x14ac:dyDescent="0.2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x14ac:dyDescent="0.2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x14ac:dyDescent="0.2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x14ac:dyDescent="0.2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x14ac:dyDescent="0.2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x14ac:dyDescent="0.2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x14ac:dyDescent="0.2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x14ac:dyDescent="0.2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x14ac:dyDescent="0.2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x14ac:dyDescent="0.2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x14ac:dyDescent="0.2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x14ac:dyDescent="0.2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x14ac:dyDescent="0.2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x14ac:dyDescent="0.2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x14ac:dyDescent="0.2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x14ac:dyDescent="0.2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x14ac:dyDescent="0.2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x14ac:dyDescent="0.2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x14ac:dyDescent="0.2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</sheetData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4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zoomScale="90" zoomScaleNormal="90" workbookViewId="0">
      <selection activeCell="C23" sqref="C23"/>
    </sheetView>
  </sheetViews>
  <sheetFormatPr defaultRowHeight="15.75" x14ac:dyDescent="0.25"/>
  <cols>
    <col min="1" max="1" width="7.42578125" style="92" customWidth="1"/>
    <col min="2" max="2" width="7.85546875" style="92" customWidth="1"/>
    <col min="3" max="3" width="35.7109375" style="95" customWidth="1"/>
    <col min="4" max="4" width="4.28515625" style="92" customWidth="1"/>
    <col min="5" max="6" width="11.42578125" style="92" customWidth="1"/>
    <col min="7" max="7" width="20" style="92" customWidth="1"/>
    <col min="8" max="8" width="11.42578125" style="92" customWidth="1"/>
    <col min="9" max="9" width="4.28515625" style="92" customWidth="1"/>
    <col min="10" max="16384" width="9.140625" style="92"/>
  </cols>
  <sheetData>
    <row r="1" spans="1:26" s="20" customFormat="1" ht="15" x14ac:dyDescent="0.2">
      <c r="A1" s="20" t="s">
        <v>266</v>
      </c>
      <c r="B1" s="20" t="str">
        <f>Issue</f>
        <v>2024 Show Season V1 7/22/2024</v>
      </c>
      <c r="C1" s="96"/>
    </row>
    <row r="2" spans="1:26" x14ac:dyDescent="0.25">
      <c r="H2" s="181"/>
      <c r="I2"/>
    </row>
    <row r="3" spans="1:26" ht="19.5" customHeight="1" x14ac:dyDescent="0.4">
      <c r="B3" s="216"/>
      <c r="C3" s="214" t="s">
        <v>323</v>
      </c>
      <c r="D3" s="215"/>
      <c r="E3" s="100" t="e">
        <f>VLOOKUP(SelShowDay,ShowDates,3,FALSE)</f>
        <v>#N/A</v>
      </c>
      <c r="F3" s="99"/>
      <c r="G3" s="99"/>
      <c r="H3" s="207" t="s">
        <v>129</v>
      </c>
      <c r="I3" s="101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77"/>
      <c r="C5" s="96" t="s">
        <v>186</v>
      </c>
      <c r="F5" s="20" t="s">
        <v>187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98">
        <v>114</v>
      </c>
      <c r="B6" s="85" t="s">
        <v>129</v>
      </c>
      <c r="C6" s="85" t="s">
        <v>130</v>
      </c>
      <c r="D6" s="85" t="s">
        <v>131</v>
      </c>
      <c r="E6" s="85" t="s">
        <v>132</v>
      </c>
      <c r="F6" s="85" t="s">
        <v>133</v>
      </c>
      <c r="G6" s="85" t="s">
        <v>134</v>
      </c>
      <c r="H6" s="85" t="s">
        <v>135</v>
      </c>
      <c r="I6" s="85" t="s">
        <v>136</v>
      </c>
      <c r="J6" s="85" t="s">
        <v>137</v>
      </c>
      <c r="K6" s="85" t="s">
        <v>138</v>
      </c>
      <c r="L6" s="85" t="s">
        <v>149</v>
      </c>
      <c r="M6" s="85" t="s">
        <v>174</v>
      </c>
      <c r="N6" s="85" t="s">
        <v>129</v>
      </c>
      <c r="O6" s="85" t="s">
        <v>130</v>
      </c>
      <c r="P6" s="85" t="s">
        <v>131</v>
      </c>
      <c r="Q6" s="85" t="s">
        <v>175</v>
      </c>
      <c r="R6" s="85"/>
      <c r="S6" s="85"/>
      <c r="T6" s="85"/>
      <c r="U6" s="85"/>
      <c r="V6" s="85"/>
      <c r="W6" s="85"/>
      <c r="X6" s="85"/>
      <c r="Y6" s="85"/>
      <c r="Z6" s="85"/>
    </row>
    <row r="7" spans="1:26" x14ac:dyDescent="0.25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 t="s">
        <v>202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x14ac:dyDescent="0.25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ht="16.5" thickBot="1" x14ac:dyDescent="0.3">
      <c r="A10" s="93"/>
      <c r="B10" s="93" t="s">
        <v>134</v>
      </c>
      <c r="C10" s="97" t="s">
        <v>49</v>
      </c>
      <c r="D10" s="94"/>
      <c r="E10" s="94"/>
      <c r="F10" s="94"/>
      <c r="G10" s="94"/>
      <c r="H10" s="94"/>
      <c r="I10" s="94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x14ac:dyDescent="0.25">
      <c r="A11" s="93"/>
      <c r="B11" s="93"/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ht="16.5" thickBot="1" x14ac:dyDescent="0.3">
      <c r="A12" s="93"/>
      <c r="B12" s="93" t="s">
        <v>135</v>
      </c>
      <c r="C12" s="97" t="s">
        <v>49</v>
      </c>
      <c r="D12" s="94"/>
      <c r="E12" s="94"/>
      <c r="F12" s="94"/>
      <c r="G12" s="94"/>
      <c r="H12" s="94"/>
      <c r="I12" s="94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x14ac:dyDescent="0.25">
      <c r="A13" s="93"/>
      <c r="B13" s="93"/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ht="16.5" thickBot="1" x14ac:dyDescent="0.3">
      <c r="A14" s="93"/>
      <c r="B14" s="93" t="s">
        <v>136</v>
      </c>
      <c r="C14" s="97" t="s">
        <v>49</v>
      </c>
      <c r="D14" s="94"/>
      <c r="E14" s="94"/>
      <c r="F14" s="94"/>
      <c r="G14" s="94"/>
      <c r="H14" s="94"/>
      <c r="I14" s="94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x14ac:dyDescent="0.25">
      <c r="A15" s="93"/>
      <c r="B15" s="93"/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ht="16.5" thickBot="1" x14ac:dyDescent="0.3">
      <c r="A16" s="93"/>
      <c r="B16" s="93" t="s">
        <v>137</v>
      </c>
      <c r="C16" s="97" t="s">
        <v>49</v>
      </c>
      <c r="D16" s="94"/>
      <c r="E16" s="94"/>
      <c r="F16" s="94"/>
      <c r="G16" s="94"/>
      <c r="H16" s="94"/>
      <c r="I16" s="94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ht="16.5" thickBot="1" x14ac:dyDescent="0.3">
      <c r="A18" s="93"/>
      <c r="B18" s="93" t="s">
        <v>138</v>
      </c>
      <c r="C18" s="97" t="s">
        <v>49</v>
      </c>
      <c r="D18" s="94"/>
      <c r="E18" s="94"/>
      <c r="F18" s="94"/>
      <c r="G18" s="94"/>
      <c r="H18" s="94"/>
      <c r="I18" s="94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x14ac:dyDescent="0.25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 t="s">
        <v>327</v>
      </c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x14ac:dyDescent="0.25">
      <c r="A21" s="93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ht="16.5" thickBot="1" x14ac:dyDescent="0.3">
      <c r="A22" s="93"/>
      <c r="B22" s="93" t="s">
        <v>132</v>
      </c>
      <c r="C22" s="97" t="s">
        <v>303</v>
      </c>
      <c r="D22" s="94"/>
      <c r="E22" s="94"/>
      <c r="F22" s="94"/>
      <c r="G22" s="94"/>
      <c r="H22" s="94"/>
      <c r="I22" s="94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x14ac:dyDescent="0.25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ht="16.5" thickBot="1" x14ac:dyDescent="0.3">
      <c r="A24" s="93"/>
      <c r="B24" s="93" t="s">
        <v>133</v>
      </c>
      <c r="C24" s="97" t="s">
        <v>303</v>
      </c>
      <c r="D24" s="94"/>
      <c r="E24" s="94"/>
      <c r="F24" s="94"/>
      <c r="G24" s="94"/>
      <c r="H24" s="94"/>
      <c r="I24" s="94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x14ac:dyDescent="0.25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ht="16.5" thickBot="1" x14ac:dyDescent="0.3">
      <c r="A26" s="93"/>
      <c r="B26" s="93" t="s">
        <v>134</v>
      </c>
      <c r="C26" s="97" t="s">
        <v>31</v>
      </c>
      <c r="D26" s="94"/>
      <c r="E26" s="94"/>
      <c r="F26" s="94"/>
      <c r="G26" s="94"/>
      <c r="H26" s="94"/>
      <c r="I26" s="94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x14ac:dyDescent="0.25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ht="16.5" thickBot="1" x14ac:dyDescent="0.3">
      <c r="A28" s="93"/>
      <c r="B28" s="93" t="s">
        <v>135</v>
      </c>
      <c r="C28" s="97" t="s">
        <v>31</v>
      </c>
      <c r="D28" s="94"/>
      <c r="E28" s="94"/>
      <c r="F28" s="94"/>
      <c r="G28" s="94"/>
      <c r="H28" s="94"/>
      <c r="I28" s="94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x14ac:dyDescent="0.25">
      <c r="A29" s="93"/>
      <c r="B29" s="93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ht="16.5" thickBot="1" x14ac:dyDescent="0.3">
      <c r="A30" s="93"/>
      <c r="B30" s="93" t="s">
        <v>136</v>
      </c>
      <c r="C30" s="97" t="s">
        <v>31</v>
      </c>
      <c r="D30" s="94"/>
      <c r="E30" s="94"/>
      <c r="F30" s="94"/>
      <c r="G30" s="94"/>
      <c r="H30" s="94"/>
      <c r="I30" s="94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ht="16.5" thickBot="1" x14ac:dyDescent="0.3">
      <c r="A32" s="93"/>
      <c r="B32" s="93" t="s">
        <v>137</v>
      </c>
      <c r="C32" s="97" t="s">
        <v>31</v>
      </c>
      <c r="D32" s="94"/>
      <c r="E32" s="94"/>
      <c r="F32" s="94"/>
      <c r="G32" s="94"/>
      <c r="H32" s="94"/>
      <c r="I32" s="94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ht="16.5" thickBot="1" x14ac:dyDescent="0.3">
      <c r="A34" s="93"/>
      <c r="B34" s="93" t="s">
        <v>138</v>
      </c>
      <c r="C34" s="97" t="s">
        <v>31</v>
      </c>
      <c r="D34" s="94"/>
      <c r="E34" s="94"/>
      <c r="F34" s="94"/>
      <c r="G34" s="94"/>
      <c r="H34" s="94"/>
      <c r="I34" s="94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ht="16.5" thickBot="1" x14ac:dyDescent="0.3">
      <c r="A36" s="93"/>
      <c r="B36" s="93" t="s">
        <v>149</v>
      </c>
      <c r="C36" s="97" t="s">
        <v>31</v>
      </c>
      <c r="D36" s="94"/>
      <c r="E36" s="94"/>
      <c r="F36" s="94"/>
      <c r="G36" s="94"/>
      <c r="H36" s="94"/>
      <c r="I36" s="94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ht="16.5" thickBot="1" x14ac:dyDescent="0.3">
      <c r="A38" s="93"/>
      <c r="B38" s="93" t="s">
        <v>174</v>
      </c>
      <c r="C38" s="97" t="s">
        <v>31</v>
      </c>
      <c r="D38" s="94"/>
      <c r="E38" s="94"/>
      <c r="F38" s="94"/>
      <c r="G38" s="94"/>
      <c r="H38" s="94"/>
      <c r="I38" s="94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 t="s">
        <v>325</v>
      </c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ht="16.5" thickBot="1" x14ac:dyDescent="0.3">
      <c r="A42" s="93"/>
      <c r="B42" s="93" t="s">
        <v>132</v>
      </c>
      <c r="C42" s="97" t="s">
        <v>52</v>
      </c>
      <c r="D42" s="94"/>
      <c r="E42" s="94"/>
      <c r="F42" s="94"/>
      <c r="G42" s="94"/>
      <c r="H42" s="94"/>
      <c r="I42" s="94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ht="16.5" thickBot="1" x14ac:dyDescent="0.3">
      <c r="A44" s="93"/>
      <c r="B44" s="93" t="s">
        <v>133</v>
      </c>
      <c r="C44" s="97" t="s">
        <v>52</v>
      </c>
      <c r="D44" s="94"/>
      <c r="E44" s="94"/>
      <c r="F44" s="94"/>
      <c r="G44" s="94"/>
      <c r="H44" s="94"/>
      <c r="I44" s="94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ht="16.5" thickBot="1" x14ac:dyDescent="0.3">
      <c r="A46" s="93"/>
      <c r="B46" s="93" t="s">
        <v>134</v>
      </c>
      <c r="C46" s="97" t="s">
        <v>119</v>
      </c>
      <c r="D46" s="94"/>
      <c r="E46" s="94"/>
      <c r="F46" s="94"/>
      <c r="G46" s="94"/>
      <c r="H46" s="94"/>
      <c r="I46" s="94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ht="16.5" thickBot="1" x14ac:dyDescent="0.3">
      <c r="A48" s="93"/>
      <c r="B48" s="93" t="s">
        <v>135</v>
      </c>
      <c r="C48" s="97" t="s">
        <v>117</v>
      </c>
      <c r="D48" s="94"/>
      <c r="E48" s="94"/>
      <c r="F48" s="94"/>
      <c r="G48" s="94"/>
      <c r="H48" s="94"/>
      <c r="I48" s="94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ht="16.5" thickBot="1" x14ac:dyDescent="0.3">
      <c r="A50" s="93"/>
      <c r="B50" s="93" t="s">
        <v>136</v>
      </c>
      <c r="C50" s="97" t="s">
        <v>26</v>
      </c>
      <c r="D50" s="94"/>
      <c r="E50" s="94"/>
      <c r="F50" s="94"/>
      <c r="G50" s="94"/>
      <c r="H50" s="94"/>
      <c r="I50" s="94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x14ac:dyDescent="0.25">
      <c r="A51" s="93"/>
      <c r="B51" s="93"/>
      <c r="C51" s="93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ht="16.5" thickBot="1" x14ac:dyDescent="0.3">
      <c r="A52" s="93"/>
      <c r="B52" s="93" t="s">
        <v>137</v>
      </c>
      <c r="C52" s="97" t="s">
        <v>119</v>
      </c>
      <c r="D52" s="94"/>
      <c r="E52" s="94"/>
      <c r="F52" s="94"/>
      <c r="G52" s="94"/>
      <c r="H52" s="94"/>
      <c r="I52" s="94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x14ac:dyDescent="0.25">
      <c r="A53" s="93"/>
      <c r="B53" s="93"/>
      <c r="C53" s="93"/>
      <c r="D53" s="93"/>
      <c r="E53" s="93"/>
      <c r="F53" s="93"/>
      <c r="G53" s="93"/>
      <c r="H53" s="93"/>
      <c r="I53" s="93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ht="16.5" thickBot="1" x14ac:dyDescent="0.3">
      <c r="A54" s="93"/>
      <c r="B54" s="93" t="s">
        <v>138</v>
      </c>
      <c r="C54" s="97" t="s">
        <v>117</v>
      </c>
      <c r="D54" s="94"/>
      <c r="E54" s="94"/>
      <c r="F54" s="94"/>
      <c r="G54" s="94"/>
      <c r="H54" s="94"/>
      <c r="I54" s="94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ht="16.5" thickBot="1" x14ac:dyDescent="0.3">
      <c r="A56" s="93"/>
      <c r="B56" s="93" t="s">
        <v>149</v>
      </c>
      <c r="C56" s="97" t="s">
        <v>108</v>
      </c>
      <c r="D56" s="94"/>
      <c r="E56" s="94"/>
      <c r="F56" s="94"/>
      <c r="G56" s="94"/>
      <c r="H56" s="94"/>
      <c r="I56" s="94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ht="16.5" thickBot="1" x14ac:dyDescent="0.3">
      <c r="A58" s="93"/>
      <c r="B58" s="93" t="s">
        <v>174</v>
      </c>
      <c r="C58" s="97" t="s">
        <v>117</v>
      </c>
      <c r="D58" s="94"/>
      <c r="E58" s="94"/>
      <c r="F58" s="94"/>
      <c r="G58" s="94"/>
      <c r="H58" s="94"/>
      <c r="I58" s="94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ht="16.5" thickBot="1" x14ac:dyDescent="0.3">
      <c r="A60" s="93"/>
      <c r="B60" s="93" t="s">
        <v>132</v>
      </c>
      <c r="C60" s="97" t="s">
        <v>353</v>
      </c>
      <c r="D60" s="94"/>
      <c r="E60" s="94"/>
      <c r="F60" s="94"/>
      <c r="G60" s="94"/>
      <c r="H60" s="94"/>
      <c r="I60" s="94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ht="16.5" thickBot="1" x14ac:dyDescent="0.3">
      <c r="A62" s="93"/>
      <c r="B62" s="93" t="s">
        <v>133</v>
      </c>
      <c r="C62" s="97" t="s">
        <v>353</v>
      </c>
      <c r="D62" s="94"/>
      <c r="E62" s="94"/>
      <c r="F62" s="94"/>
      <c r="G62" s="94"/>
      <c r="H62" s="94"/>
      <c r="I62" s="94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ht="16.5" thickBot="1" x14ac:dyDescent="0.3">
      <c r="A64" s="93"/>
      <c r="B64" s="93" t="s">
        <v>134</v>
      </c>
      <c r="C64" s="97" t="s">
        <v>57</v>
      </c>
      <c r="D64" s="94"/>
      <c r="E64" s="94"/>
      <c r="F64" s="94"/>
      <c r="G64" s="94"/>
      <c r="H64" s="94"/>
      <c r="I64" s="94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ht="16.5" thickBot="1" x14ac:dyDescent="0.3">
      <c r="A66" s="93"/>
      <c r="B66" s="93" t="s">
        <v>135</v>
      </c>
      <c r="C66" s="97" t="s">
        <v>57</v>
      </c>
      <c r="D66" s="94"/>
      <c r="E66" s="94"/>
      <c r="F66" s="94"/>
      <c r="G66" s="94"/>
      <c r="H66" s="94"/>
      <c r="I66" s="94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ht="16.5" thickBot="1" x14ac:dyDescent="0.3">
      <c r="A68" s="93"/>
      <c r="B68" s="93" t="s">
        <v>136</v>
      </c>
      <c r="C68" s="97" t="s">
        <v>118</v>
      </c>
      <c r="D68" s="94"/>
      <c r="E68" s="94"/>
      <c r="F68" s="94"/>
      <c r="G68" s="94"/>
      <c r="H68" s="94"/>
      <c r="I68" s="94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ht="16.5" thickBot="1" x14ac:dyDescent="0.3">
      <c r="A70" s="93"/>
      <c r="B70" s="93" t="s">
        <v>137</v>
      </c>
      <c r="C70" s="97" t="s">
        <v>26</v>
      </c>
      <c r="D70" s="94"/>
      <c r="E70" s="94"/>
      <c r="F70" s="94"/>
      <c r="G70" s="94"/>
      <c r="H70" s="94"/>
      <c r="I70" s="94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ht="16.5" thickBot="1" x14ac:dyDescent="0.3">
      <c r="A72" s="93"/>
      <c r="B72" s="93" t="s">
        <v>138</v>
      </c>
      <c r="C72" s="97" t="s">
        <v>108</v>
      </c>
      <c r="D72" s="94"/>
      <c r="E72" s="94"/>
      <c r="F72" s="94"/>
      <c r="G72" s="94"/>
      <c r="H72" s="94"/>
      <c r="I72" s="94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ht="16.5" thickBot="1" x14ac:dyDescent="0.3">
      <c r="A74" s="93"/>
      <c r="B74" s="93" t="s">
        <v>149</v>
      </c>
      <c r="C74" s="97" t="s">
        <v>28</v>
      </c>
      <c r="D74" s="94"/>
      <c r="E74" s="94"/>
      <c r="F74" s="94"/>
      <c r="G74" s="94"/>
      <c r="H74" s="94"/>
      <c r="I74" s="94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ht="16.5" thickBot="1" x14ac:dyDescent="0.3">
      <c r="A76" s="93"/>
      <c r="B76" s="93" t="s">
        <v>174</v>
      </c>
      <c r="C76" s="97" t="s">
        <v>108</v>
      </c>
      <c r="D76" s="94"/>
      <c r="E76" s="94"/>
      <c r="F76" s="94"/>
      <c r="G76" s="94"/>
      <c r="H76" s="94"/>
      <c r="I76" s="94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 t="s">
        <v>127</v>
      </c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ht="16.5" thickBot="1" x14ac:dyDescent="0.3">
      <c r="A80" s="93"/>
      <c r="B80" s="93" t="s">
        <v>136</v>
      </c>
      <c r="C80" s="97" t="s">
        <v>114</v>
      </c>
      <c r="D80" s="94"/>
      <c r="E80" s="94"/>
      <c r="F80" s="94"/>
      <c r="G80" s="94"/>
      <c r="H80" s="94"/>
      <c r="I80" s="94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ht="16.5" thickBot="1" x14ac:dyDescent="0.3">
      <c r="A82" s="93"/>
      <c r="B82" s="93" t="s">
        <v>137</v>
      </c>
      <c r="C82" s="97" t="s">
        <v>114</v>
      </c>
      <c r="D82" s="94"/>
      <c r="E82" s="94"/>
      <c r="F82" s="94"/>
      <c r="G82" s="94"/>
      <c r="H82" s="94"/>
      <c r="I82" s="94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ht="16.5" thickBot="1" x14ac:dyDescent="0.3">
      <c r="A84" s="93"/>
      <c r="B84" s="93" t="s">
        <v>138</v>
      </c>
      <c r="C84" s="97" t="s">
        <v>114</v>
      </c>
      <c r="D84" s="94"/>
      <c r="E84" s="94"/>
      <c r="F84" s="94"/>
      <c r="G84" s="94"/>
      <c r="H84" s="94"/>
      <c r="I84" s="94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ht="16.5" thickBot="1" x14ac:dyDescent="0.3">
      <c r="A86" s="93"/>
      <c r="B86" s="93" t="s">
        <v>149</v>
      </c>
      <c r="C86" s="97" t="s">
        <v>114</v>
      </c>
      <c r="D86" s="94"/>
      <c r="E86" s="94"/>
      <c r="F86" s="94"/>
      <c r="G86" s="94"/>
      <c r="H86" s="94"/>
      <c r="I86" s="94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ht="16.5" thickBot="1" x14ac:dyDescent="0.3">
      <c r="A88" s="93"/>
      <c r="B88" s="93" t="s">
        <v>174</v>
      </c>
      <c r="C88" s="97" t="s">
        <v>114</v>
      </c>
      <c r="D88" s="94"/>
      <c r="E88" s="94"/>
      <c r="F88" s="94"/>
      <c r="G88" s="94"/>
      <c r="H88" s="94"/>
      <c r="I88" s="94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ht="16.5" thickBot="1" x14ac:dyDescent="0.3">
      <c r="A90" s="93"/>
      <c r="B90" s="93" t="s">
        <v>129</v>
      </c>
      <c r="C90" s="97" t="s">
        <v>114</v>
      </c>
      <c r="D90" s="94"/>
      <c r="E90" s="94"/>
      <c r="F90" s="94"/>
      <c r="G90" s="94"/>
      <c r="H90" s="94"/>
      <c r="I90" s="94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ht="16.5" thickBot="1" x14ac:dyDescent="0.3">
      <c r="A92" s="93"/>
      <c r="B92" s="93" t="s">
        <v>130</v>
      </c>
      <c r="C92" s="97" t="s">
        <v>114</v>
      </c>
      <c r="D92" s="94"/>
      <c r="E92" s="94"/>
      <c r="F92" s="94"/>
      <c r="G92" s="94"/>
      <c r="H92" s="94"/>
      <c r="I92" s="94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 t="s">
        <v>208</v>
      </c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ht="16.5" thickBot="1" x14ac:dyDescent="0.3">
      <c r="A96" s="93"/>
      <c r="B96" s="93" t="s">
        <v>134</v>
      </c>
      <c r="C96" s="97" t="s">
        <v>52</v>
      </c>
      <c r="D96" s="94"/>
      <c r="E96" s="94"/>
      <c r="F96" s="94"/>
      <c r="G96" s="94"/>
      <c r="H96" s="94"/>
      <c r="I96" s="94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ht="16.5" thickBot="1" x14ac:dyDescent="0.3">
      <c r="A98" s="93"/>
      <c r="B98" s="93" t="s">
        <v>135</v>
      </c>
      <c r="C98" s="97" t="s">
        <v>52</v>
      </c>
      <c r="D98" s="94"/>
      <c r="E98" s="94"/>
      <c r="F98" s="94"/>
      <c r="G98" s="94"/>
      <c r="H98" s="94"/>
      <c r="I98" s="94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ht="16.5" thickBot="1" x14ac:dyDescent="0.3">
      <c r="A100" s="93"/>
      <c r="B100" s="93" t="s">
        <v>136</v>
      </c>
      <c r="C100" s="97" t="s">
        <v>52</v>
      </c>
      <c r="D100" s="94"/>
      <c r="E100" s="94"/>
      <c r="F100" s="94"/>
      <c r="G100" s="94"/>
      <c r="H100" s="94"/>
      <c r="I100" s="94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ht="16.5" thickBot="1" x14ac:dyDescent="0.3">
      <c r="A102" s="93"/>
      <c r="B102" s="93" t="s">
        <v>137</v>
      </c>
      <c r="C102" s="97" t="s">
        <v>52</v>
      </c>
      <c r="D102" s="94"/>
      <c r="E102" s="94"/>
      <c r="F102" s="94"/>
      <c r="G102" s="94"/>
      <c r="H102" s="94"/>
      <c r="I102" s="94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ht="16.5" thickBot="1" x14ac:dyDescent="0.3">
      <c r="A104" s="93"/>
      <c r="B104" s="93" t="s">
        <v>138</v>
      </c>
      <c r="C104" s="97" t="s">
        <v>57</v>
      </c>
      <c r="D104" s="94"/>
      <c r="E104" s="94"/>
      <c r="F104" s="94"/>
      <c r="G104" s="94"/>
      <c r="H104" s="94"/>
      <c r="I104" s="94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ht="16.5" thickBot="1" x14ac:dyDescent="0.3">
      <c r="A106" s="93"/>
      <c r="B106" s="93" t="s">
        <v>149</v>
      </c>
      <c r="C106" s="97" t="s">
        <v>57</v>
      </c>
      <c r="D106" s="94"/>
      <c r="E106" s="94"/>
      <c r="F106" s="94"/>
      <c r="G106" s="94"/>
      <c r="H106" s="94"/>
      <c r="I106" s="94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ht="16.5" thickBot="1" x14ac:dyDescent="0.3">
      <c r="A108" s="93"/>
      <c r="B108" s="93" t="s">
        <v>174</v>
      </c>
      <c r="C108" s="97" t="s">
        <v>57</v>
      </c>
      <c r="D108" s="94"/>
      <c r="E108" s="94"/>
      <c r="F108" s="94"/>
      <c r="G108" s="94"/>
      <c r="H108" s="94"/>
      <c r="I108" s="94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ht="16.5" thickBot="1" x14ac:dyDescent="0.3">
      <c r="A110" s="93"/>
      <c r="B110" s="93" t="s">
        <v>129</v>
      </c>
      <c r="C110" s="97" t="s">
        <v>57</v>
      </c>
      <c r="D110" s="94"/>
      <c r="E110" s="94"/>
      <c r="F110" s="94"/>
      <c r="G110" s="94"/>
      <c r="H110" s="94"/>
      <c r="I110" s="94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ht="16.5" thickBot="1" x14ac:dyDescent="0.3">
      <c r="A112" s="93"/>
      <c r="B112" s="93" t="s">
        <v>130</v>
      </c>
      <c r="C112" s="97" t="s">
        <v>57</v>
      </c>
      <c r="D112" s="94"/>
      <c r="E112" s="94"/>
      <c r="F112" s="94"/>
      <c r="G112" s="94"/>
      <c r="H112" s="94"/>
      <c r="I112" s="94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  <row r="601" spans="1:26" x14ac:dyDescent="0.25">
      <c r="A601" s="93"/>
      <c r="B601" s="93"/>
      <c r="C601" s="93"/>
      <c r="D601" s="93"/>
      <c r="E601" s="93"/>
      <c r="F601" s="93"/>
      <c r="G601" s="93"/>
      <c r="H601" s="93"/>
      <c r="I601" s="93"/>
      <c r="J601" s="93"/>
      <c r="K601" s="93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  <c r="X601" s="93"/>
      <c r="Y601" s="93"/>
      <c r="Z601" s="93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00000000-0002-0000-0900-000002000000}">
      <formula1>B6:Q6</formula1>
    </dataValidation>
  </dataValidations>
  <pageMargins left="0.75" right="0.75" top="1" bottom="1" header="0.5" footer="0.5"/>
  <pageSetup scale="7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4" workbookViewId="0">
      <selection activeCell="C23" sqref="C23"/>
    </sheetView>
  </sheetViews>
  <sheetFormatPr defaultRowHeight="15.75" x14ac:dyDescent="0.25"/>
  <cols>
    <col min="1" max="3" width="9.140625" style="92"/>
    <col min="4" max="4" width="18.28515625" style="92" customWidth="1"/>
    <col min="5" max="6" width="9.140625" style="92"/>
    <col min="7" max="7" width="18.28515625" style="92" customWidth="1"/>
    <col min="8" max="16384" width="9.140625" style="92"/>
  </cols>
  <sheetData>
    <row r="1" spans="1:26" ht="26.25" x14ac:dyDescent="0.4">
      <c r="B1" s="99" t="s">
        <v>322</v>
      </c>
      <c r="C1" s="99"/>
      <c r="D1" s="99"/>
      <c r="E1" s="99" t="s">
        <v>153</v>
      </c>
      <c r="F1" s="99"/>
      <c r="G1" s="99"/>
      <c r="H1" s="99" t="s">
        <v>197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186</v>
      </c>
    </row>
    <row r="5" spans="1:26" x14ac:dyDescent="0.25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149</v>
      </c>
      <c r="C7" s="93" t="s">
        <v>114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174</v>
      </c>
      <c r="C9" s="93" t="s">
        <v>114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129</v>
      </c>
      <c r="C11" s="93" t="s">
        <v>114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130</v>
      </c>
      <c r="C13" s="93" t="s">
        <v>114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131</v>
      </c>
      <c r="C15" s="93" t="s">
        <v>114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129</v>
      </c>
      <c r="C19" s="93" t="s">
        <v>114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130</v>
      </c>
      <c r="C21" s="93" t="s">
        <v>114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131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132</v>
      </c>
      <c r="C25" s="93" t="s">
        <v>353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133</v>
      </c>
      <c r="C27" s="93" t="s">
        <v>303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134</v>
      </c>
      <c r="C29" s="93" t="s">
        <v>303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135</v>
      </c>
      <c r="C31" s="93" t="s">
        <v>118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136</v>
      </c>
      <c r="C33" s="93" t="s">
        <v>108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137</v>
      </c>
      <c r="C35" s="93" t="s">
        <v>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138</v>
      </c>
      <c r="C37" s="93" t="s">
        <v>188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131</v>
      </c>
      <c r="C41" s="93" t="s">
        <v>353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132</v>
      </c>
      <c r="C43" s="93" t="s">
        <v>301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133</v>
      </c>
      <c r="C45" s="93" t="s">
        <v>8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134</v>
      </c>
      <c r="C47" s="93" t="s">
        <v>301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135</v>
      </c>
      <c r="C49" s="93" t="s">
        <v>124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136</v>
      </c>
      <c r="C51" s="93" t="s">
        <v>89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137</v>
      </c>
      <c r="C53" s="93" t="s">
        <v>8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>
      <selection activeCell="C23" sqref="C23"/>
    </sheetView>
  </sheetViews>
  <sheetFormatPr defaultRowHeight="15.75" x14ac:dyDescent="0.25"/>
  <cols>
    <col min="1" max="3" width="9.140625" style="92"/>
    <col min="4" max="4" width="16" style="92" customWidth="1"/>
    <col min="5" max="5" width="13.7109375" style="92" customWidth="1"/>
    <col min="6" max="6" width="9.140625" style="92"/>
    <col min="7" max="7" width="27.42578125" style="92" customWidth="1"/>
    <col min="8" max="16384" width="9.140625" style="92"/>
  </cols>
  <sheetData>
    <row r="1" spans="1:26" ht="26.25" x14ac:dyDescent="0.4">
      <c r="B1" s="99" t="s">
        <v>322</v>
      </c>
      <c r="C1" s="99"/>
      <c r="D1" s="99"/>
      <c r="E1" s="99" t="s">
        <v>199</v>
      </c>
      <c r="F1" s="99"/>
      <c r="G1" s="99"/>
      <c r="H1" s="99" t="s">
        <v>197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186</v>
      </c>
    </row>
    <row r="5" spans="1:26" x14ac:dyDescent="0.25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149</v>
      </c>
      <c r="C7" s="93" t="s">
        <v>57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174</v>
      </c>
      <c r="C9" s="93" t="s">
        <v>57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129</v>
      </c>
      <c r="C11" s="93" t="s">
        <v>57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130</v>
      </c>
      <c r="C13" s="93" t="s">
        <v>57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131</v>
      </c>
      <c r="C15" s="93" t="s">
        <v>57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129</v>
      </c>
      <c r="C19" s="93" t="s">
        <v>353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130</v>
      </c>
      <c r="C21" s="93" t="s">
        <v>353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131</v>
      </c>
      <c r="C23" s="93" t="s">
        <v>353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132</v>
      </c>
      <c r="C25" s="93" t="s">
        <v>119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133</v>
      </c>
      <c r="C27" s="93" t="s">
        <v>124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134</v>
      </c>
      <c r="C29" s="93" t="s">
        <v>124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135</v>
      </c>
      <c r="C31" s="93" t="s">
        <v>113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136</v>
      </c>
      <c r="C33" s="93" t="s">
        <v>47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137</v>
      </c>
      <c r="C35" s="93" t="s">
        <v>118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138</v>
      </c>
      <c r="C37" s="93" t="s">
        <v>113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131</v>
      </c>
      <c r="C41" s="93" t="s">
        <v>303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132</v>
      </c>
      <c r="C43" s="93" t="s">
        <v>119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133</v>
      </c>
      <c r="C45" s="93" t="s">
        <v>353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134</v>
      </c>
      <c r="C47" s="93" t="s">
        <v>353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135</v>
      </c>
      <c r="C49" s="93" t="s">
        <v>188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136</v>
      </c>
      <c r="C51" s="93" t="s">
        <v>113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137</v>
      </c>
      <c r="C53" s="93" t="s">
        <v>31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topLeftCell="A16" workbookViewId="0">
      <selection activeCell="C23" sqref="C23"/>
    </sheetView>
  </sheetViews>
  <sheetFormatPr defaultRowHeight="15.75" x14ac:dyDescent="0.25"/>
  <cols>
    <col min="1" max="3" width="9.140625" style="92"/>
    <col min="4" max="4" width="18.28515625" style="92" customWidth="1"/>
    <col min="5" max="6" width="9.140625" style="92"/>
    <col min="7" max="7" width="18.28515625" style="92" customWidth="1"/>
    <col min="8" max="16384" width="9.140625" style="92"/>
  </cols>
  <sheetData>
    <row r="1" spans="1:26" ht="26.25" x14ac:dyDescent="0.4">
      <c r="B1" s="99" t="s">
        <v>200</v>
      </c>
      <c r="C1" s="99"/>
      <c r="D1" s="99"/>
      <c r="E1" s="99" t="s">
        <v>153</v>
      </c>
      <c r="F1" s="99"/>
      <c r="G1" s="99"/>
      <c r="H1" s="99" t="s">
        <v>197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186</v>
      </c>
    </row>
    <row r="5" spans="1:26" x14ac:dyDescent="0.25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149</v>
      </c>
      <c r="C7" s="93" t="s">
        <v>114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174</v>
      </c>
      <c r="C9" s="93" t="s">
        <v>114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129</v>
      </c>
      <c r="C11" s="93" t="s">
        <v>114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130</v>
      </c>
      <c r="C13" s="93" t="s">
        <v>114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131</v>
      </c>
      <c r="C15" s="93" t="s">
        <v>114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129</v>
      </c>
      <c r="C19" s="93" t="s">
        <v>114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130</v>
      </c>
      <c r="C21" s="93" t="s">
        <v>114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131</v>
      </c>
      <c r="C23" s="93" t="s">
        <v>114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132</v>
      </c>
      <c r="C25" s="93" t="s">
        <v>114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133</v>
      </c>
      <c r="C27" s="93" t="s">
        <v>114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134</v>
      </c>
      <c r="C29" s="93" t="s">
        <v>114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135</v>
      </c>
      <c r="C31" s="93" t="s">
        <v>118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136</v>
      </c>
      <c r="C33" s="93" t="s">
        <v>114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137</v>
      </c>
      <c r="C35" s="93" t="s">
        <v>114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138</v>
      </c>
      <c r="C37" s="93" t="s">
        <v>114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131</v>
      </c>
      <c r="C41" s="93" t="s">
        <v>8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132</v>
      </c>
      <c r="C43" s="93" t="s">
        <v>108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133</v>
      </c>
      <c r="C45" s="93" t="s">
        <v>301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134</v>
      </c>
      <c r="C47" s="93" t="s">
        <v>47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135</v>
      </c>
      <c r="C49" s="93" t="s">
        <v>18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136</v>
      </c>
      <c r="C51" s="93" t="s">
        <v>113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137</v>
      </c>
      <c r="C53" s="93" t="s">
        <v>47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topLeftCell="A17" workbookViewId="0">
      <selection activeCell="C23" sqref="C23"/>
    </sheetView>
  </sheetViews>
  <sheetFormatPr defaultRowHeight="15.75" x14ac:dyDescent="0.25"/>
  <cols>
    <col min="1" max="3" width="9.140625" style="92"/>
    <col min="4" max="4" width="16" style="92" customWidth="1"/>
    <col min="5" max="5" width="13.7109375" style="92" customWidth="1"/>
    <col min="6" max="6" width="9.140625" style="92"/>
    <col min="7" max="7" width="27.42578125" style="92" customWidth="1"/>
    <col min="8" max="16384" width="9.140625" style="92"/>
  </cols>
  <sheetData>
    <row r="1" spans="1:26" ht="26.25" x14ac:dyDescent="0.4">
      <c r="B1" s="99" t="s">
        <v>200</v>
      </c>
      <c r="C1" s="99"/>
      <c r="D1" s="99"/>
      <c r="E1" s="99" t="s">
        <v>199</v>
      </c>
      <c r="F1" s="99"/>
      <c r="G1" s="99"/>
      <c r="H1" s="99" t="s">
        <v>197</v>
      </c>
    </row>
    <row r="3" spans="1:26" ht="20.25" x14ac:dyDescent="0.3">
      <c r="F3" s="104" t="str">
        <f>Season</f>
        <v>2022/2023</v>
      </c>
    </row>
    <row r="4" spans="1:26" x14ac:dyDescent="0.25">
      <c r="C4" s="92" t="s">
        <v>186</v>
      </c>
    </row>
    <row r="5" spans="1:26" x14ac:dyDescent="0.25">
      <c r="A5" s="93" t="s">
        <v>195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  <c r="Y5" s="93"/>
      <c r="Z5" s="93"/>
    </row>
    <row r="6" spans="1:26" x14ac:dyDescent="0.25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</row>
    <row r="7" spans="1:26" ht="16.5" thickBot="1" x14ac:dyDescent="0.3">
      <c r="A7" s="93"/>
      <c r="B7" s="93" t="s">
        <v>149</v>
      </c>
      <c r="C7" s="93" t="s">
        <v>57</v>
      </c>
      <c r="D7" s="94"/>
      <c r="E7" s="94"/>
      <c r="F7" s="94"/>
      <c r="G7" s="94"/>
      <c r="H7" s="94"/>
      <c r="I7" s="94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</row>
    <row r="8" spans="1:26" x14ac:dyDescent="0.25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</row>
    <row r="9" spans="1:26" ht="16.5" thickBot="1" x14ac:dyDescent="0.3">
      <c r="A9" s="93"/>
      <c r="B9" s="93" t="s">
        <v>174</v>
      </c>
      <c r="C9" s="93" t="s">
        <v>57</v>
      </c>
      <c r="D9" s="94"/>
      <c r="E9" s="94"/>
      <c r="F9" s="94"/>
      <c r="G9" s="94"/>
      <c r="H9" s="94"/>
      <c r="I9" s="94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</row>
    <row r="10" spans="1:26" x14ac:dyDescent="0.25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</row>
    <row r="11" spans="1:26" ht="16.5" thickBot="1" x14ac:dyDescent="0.3">
      <c r="A11" s="93"/>
      <c r="B11" s="93" t="s">
        <v>129</v>
      </c>
      <c r="C11" s="93" t="s">
        <v>57</v>
      </c>
      <c r="D11" s="94"/>
      <c r="E11" s="94"/>
      <c r="F11" s="94"/>
      <c r="G11" s="94"/>
      <c r="H11" s="94"/>
      <c r="I11" s="94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</row>
    <row r="12" spans="1:26" x14ac:dyDescent="0.25">
      <c r="A12" s="93"/>
      <c r="B12" s="93"/>
      <c r="C12" s="93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</row>
    <row r="13" spans="1:26" ht="16.5" thickBot="1" x14ac:dyDescent="0.3">
      <c r="A13" s="93"/>
      <c r="B13" s="93" t="s">
        <v>130</v>
      </c>
      <c r="C13" s="93" t="s">
        <v>57</v>
      </c>
      <c r="D13" s="94"/>
      <c r="E13" s="94"/>
      <c r="F13" s="94"/>
      <c r="G13" s="94"/>
      <c r="H13" s="94"/>
      <c r="I13" s="94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</row>
    <row r="14" spans="1:26" x14ac:dyDescent="0.25">
      <c r="A14" s="93"/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</row>
    <row r="15" spans="1:26" ht="16.5" thickBot="1" x14ac:dyDescent="0.3">
      <c r="A15" s="93"/>
      <c r="B15" s="93" t="s">
        <v>131</v>
      </c>
      <c r="C15" s="93" t="s">
        <v>57</v>
      </c>
      <c r="D15" s="94"/>
      <c r="E15" s="94"/>
      <c r="F15" s="94"/>
      <c r="G15" s="94"/>
      <c r="H15" s="94"/>
      <c r="I15" s="94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</row>
    <row r="16" spans="1:26" x14ac:dyDescent="0.25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</row>
    <row r="17" spans="1:26" x14ac:dyDescent="0.25">
      <c r="A17" s="93" t="s">
        <v>196</v>
      </c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</row>
    <row r="18" spans="1:26" x14ac:dyDescent="0.25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</row>
    <row r="19" spans="1:26" ht="16.5" thickBot="1" x14ac:dyDescent="0.3">
      <c r="A19" s="93"/>
      <c r="B19" s="93" t="s">
        <v>129</v>
      </c>
      <c r="C19" s="93" t="s">
        <v>296</v>
      </c>
      <c r="D19" s="94"/>
      <c r="E19" s="94"/>
      <c r="F19" s="94"/>
      <c r="G19" s="94"/>
      <c r="H19" s="94"/>
      <c r="I19" s="94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</row>
    <row r="20" spans="1:26" x14ac:dyDescent="0.25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</row>
    <row r="21" spans="1:26" ht="16.5" thickBot="1" x14ac:dyDescent="0.3">
      <c r="A21" s="93"/>
      <c r="B21" s="93" t="s">
        <v>130</v>
      </c>
      <c r="C21" s="93" t="s">
        <v>296</v>
      </c>
      <c r="D21" s="94"/>
      <c r="E21" s="94"/>
      <c r="F21" s="94"/>
      <c r="G21" s="94"/>
      <c r="H21" s="94"/>
      <c r="I21" s="94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  <c r="U21" s="93"/>
      <c r="V21" s="93"/>
      <c r="W21" s="93"/>
      <c r="X21" s="93"/>
      <c r="Y21" s="93"/>
      <c r="Z21" s="93"/>
    </row>
    <row r="22" spans="1:26" x14ac:dyDescent="0.25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</row>
    <row r="23" spans="1:26" ht="16.5" thickBot="1" x14ac:dyDescent="0.3">
      <c r="A23" s="93"/>
      <c r="B23" s="93" t="s">
        <v>131</v>
      </c>
      <c r="C23" s="93" t="s">
        <v>113</v>
      </c>
      <c r="D23" s="94"/>
      <c r="E23" s="94"/>
      <c r="F23" s="94"/>
      <c r="G23" s="94"/>
      <c r="H23" s="94"/>
      <c r="I23" s="94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  <c r="U23" s="93"/>
      <c r="V23" s="93"/>
      <c r="W23" s="93"/>
      <c r="X23" s="93"/>
      <c r="Y23" s="93"/>
      <c r="Z23" s="93"/>
    </row>
    <row r="24" spans="1:26" x14ac:dyDescent="0.25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</row>
    <row r="25" spans="1:26" ht="16.5" thickBot="1" x14ac:dyDescent="0.3">
      <c r="A25" s="93"/>
      <c r="B25" s="93" t="s">
        <v>132</v>
      </c>
      <c r="C25" s="93" t="s">
        <v>113</v>
      </c>
      <c r="D25" s="94"/>
      <c r="E25" s="94"/>
      <c r="F25" s="94"/>
      <c r="G25" s="94"/>
      <c r="H25" s="94"/>
      <c r="I25" s="94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</row>
    <row r="26" spans="1:26" x14ac:dyDescent="0.25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</row>
    <row r="27" spans="1:26" ht="16.5" thickBot="1" x14ac:dyDescent="0.3">
      <c r="A27" s="93"/>
      <c r="B27" s="93" t="s">
        <v>133</v>
      </c>
      <c r="C27" s="93" t="s">
        <v>119</v>
      </c>
      <c r="D27" s="94"/>
      <c r="E27" s="94"/>
      <c r="F27" s="94"/>
      <c r="G27" s="94"/>
      <c r="H27" s="94"/>
      <c r="I27" s="94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</row>
    <row r="28" spans="1:26" x14ac:dyDescent="0.25">
      <c r="A28" s="93"/>
      <c r="B28" s="93"/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</row>
    <row r="29" spans="1:26" ht="16.5" thickBot="1" x14ac:dyDescent="0.3">
      <c r="A29" s="93"/>
      <c r="B29" s="93" t="s">
        <v>134</v>
      </c>
      <c r="C29" s="93" t="s">
        <v>353</v>
      </c>
      <c r="D29" s="94"/>
      <c r="E29" s="94"/>
      <c r="F29" s="94"/>
      <c r="G29" s="94"/>
      <c r="H29" s="94"/>
      <c r="I29" s="94"/>
      <c r="J29" s="93"/>
      <c r="K29" s="93"/>
      <c r="L29" s="93"/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</row>
    <row r="30" spans="1:26" x14ac:dyDescent="0.25">
      <c r="A30" s="93"/>
      <c r="B30" s="93"/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</row>
    <row r="31" spans="1:26" ht="16.5" thickBot="1" x14ac:dyDescent="0.3">
      <c r="A31" s="93"/>
      <c r="B31" s="93" t="s">
        <v>135</v>
      </c>
      <c r="C31" s="93" t="s">
        <v>113</v>
      </c>
      <c r="D31" s="94"/>
      <c r="E31" s="94"/>
      <c r="F31" s="94"/>
      <c r="G31" s="94"/>
      <c r="H31" s="94"/>
      <c r="I31" s="94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</row>
    <row r="32" spans="1:26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</row>
    <row r="33" spans="1:26" ht="16.5" thickBot="1" x14ac:dyDescent="0.3">
      <c r="A33" s="93"/>
      <c r="B33" s="93" t="s">
        <v>136</v>
      </c>
      <c r="C33" s="93" t="s">
        <v>353</v>
      </c>
      <c r="D33" s="94"/>
      <c r="E33" s="94"/>
      <c r="F33" s="94"/>
      <c r="G33" s="94"/>
      <c r="H33" s="94"/>
      <c r="I33" s="94"/>
      <c r="J33" s="93"/>
      <c r="K33" s="93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</row>
    <row r="34" spans="1:26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</row>
    <row r="35" spans="1:26" ht="16.5" thickBot="1" x14ac:dyDescent="0.3">
      <c r="A35" s="93"/>
      <c r="B35" s="93" t="s">
        <v>137</v>
      </c>
      <c r="C35" s="93" t="s">
        <v>70</v>
      </c>
      <c r="D35" s="94"/>
      <c r="E35" s="94"/>
      <c r="F35" s="94"/>
      <c r="G35" s="94"/>
      <c r="H35" s="94"/>
      <c r="I35" s="94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</row>
    <row r="36" spans="1:26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</row>
    <row r="37" spans="1:26" ht="16.5" thickBot="1" x14ac:dyDescent="0.3">
      <c r="A37" s="93"/>
      <c r="B37" s="93" t="s">
        <v>138</v>
      </c>
      <c r="C37" s="93" t="s">
        <v>70</v>
      </c>
      <c r="D37" s="94"/>
      <c r="E37" s="94"/>
      <c r="F37" s="94"/>
      <c r="G37" s="94"/>
      <c r="H37" s="94"/>
      <c r="I37" s="94"/>
      <c r="J37" s="93"/>
      <c r="K37" s="93"/>
      <c r="L37" s="93"/>
      <c r="M37" s="93"/>
      <c r="N37" s="93"/>
      <c r="O37" s="93"/>
      <c r="P37" s="93"/>
      <c r="Q37" s="93"/>
      <c r="R37" s="93"/>
      <c r="S37" s="93"/>
      <c r="T37" s="93"/>
      <c r="U37" s="93"/>
      <c r="V37" s="93"/>
      <c r="W37" s="93"/>
      <c r="X37" s="93"/>
      <c r="Y37" s="93"/>
      <c r="Z37" s="93"/>
    </row>
    <row r="38" spans="1:26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</row>
    <row r="39" spans="1:26" x14ac:dyDescent="0.25">
      <c r="A39" s="93" t="s">
        <v>198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3"/>
      <c r="U39" s="93"/>
      <c r="V39" s="93"/>
      <c r="W39" s="93"/>
      <c r="X39" s="93"/>
      <c r="Y39" s="93"/>
      <c r="Z39" s="93"/>
    </row>
    <row r="40" spans="1:26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</row>
    <row r="41" spans="1:26" ht="16.5" thickBot="1" x14ac:dyDescent="0.3">
      <c r="A41" s="93"/>
      <c r="B41" s="93" t="s">
        <v>131</v>
      </c>
      <c r="C41" s="93" t="s">
        <v>303</v>
      </c>
      <c r="D41" s="94"/>
      <c r="E41" s="94"/>
      <c r="F41" s="94"/>
      <c r="G41" s="94"/>
      <c r="H41" s="94"/>
      <c r="I41" s="94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</row>
    <row r="42" spans="1:26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</row>
    <row r="43" spans="1:26" ht="16.5" thickBot="1" x14ac:dyDescent="0.3">
      <c r="A43" s="93"/>
      <c r="B43" s="93" t="s">
        <v>132</v>
      </c>
      <c r="C43" s="93" t="s">
        <v>119</v>
      </c>
      <c r="D43" s="94"/>
      <c r="E43" s="94"/>
      <c r="F43" s="94"/>
      <c r="G43" s="94"/>
      <c r="H43" s="94"/>
      <c r="I43" s="94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</row>
    <row r="44" spans="1:26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</row>
    <row r="45" spans="1:26" ht="16.5" thickBot="1" x14ac:dyDescent="0.3">
      <c r="A45" s="93"/>
      <c r="B45" s="93" t="s">
        <v>133</v>
      </c>
      <c r="C45" s="93" t="s">
        <v>117</v>
      </c>
      <c r="D45" s="94"/>
      <c r="E45" s="94"/>
      <c r="F45" s="94"/>
      <c r="G45" s="94"/>
      <c r="H45" s="94"/>
      <c r="I45" s="94"/>
      <c r="J45" s="93"/>
      <c r="K45" s="93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  <c r="X45" s="93"/>
      <c r="Y45" s="93"/>
      <c r="Z45" s="93"/>
    </row>
    <row r="46" spans="1:26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</row>
    <row r="47" spans="1:26" ht="16.5" thickBot="1" x14ac:dyDescent="0.3">
      <c r="A47" s="93"/>
      <c r="B47" s="93" t="s">
        <v>134</v>
      </c>
      <c r="C47" s="93" t="s">
        <v>31</v>
      </c>
      <c r="D47" s="94"/>
      <c r="E47" s="94"/>
      <c r="F47" s="94"/>
      <c r="G47" s="94"/>
      <c r="H47" s="94"/>
      <c r="I47" s="94"/>
      <c r="J47" s="93"/>
      <c r="K47" s="93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</row>
    <row r="48" spans="1:26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</row>
    <row r="49" spans="1:26" ht="16.5" thickBot="1" x14ac:dyDescent="0.3">
      <c r="A49" s="93"/>
      <c r="B49" s="93" t="s">
        <v>135</v>
      </c>
      <c r="C49" s="93" t="s">
        <v>113</v>
      </c>
      <c r="D49" s="94"/>
      <c r="E49" s="94"/>
      <c r="F49" s="94"/>
      <c r="G49" s="94"/>
      <c r="H49" s="94"/>
      <c r="I49" s="94"/>
      <c r="J49" s="93"/>
      <c r="K49" s="93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</row>
    <row r="50" spans="1:26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</row>
    <row r="51" spans="1:26" ht="16.5" thickBot="1" x14ac:dyDescent="0.3">
      <c r="A51" s="93"/>
      <c r="B51" s="93" t="s">
        <v>136</v>
      </c>
      <c r="C51" s="93" t="s">
        <v>47</v>
      </c>
      <c r="D51" s="94"/>
      <c r="E51" s="94"/>
      <c r="F51" s="94"/>
      <c r="G51" s="94"/>
      <c r="H51" s="94"/>
      <c r="I51" s="94"/>
      <c r="J51" s="93"/>
      <c r="K51" s="93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</row>
    <row r="52" spans="1:26" x14ac:dyDescent="0.25">
      <c r="A52" s="93"/>
      <c r="B52" s="9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</row>
    <row r="53" spans="1:26" ht="16.5" thickBot="1" x14ac:dyDescent="0.3">
      <c r="A53" s="93"/>
      <c r="B53" s="93" t="s">
        <v>137</v>
      </c>
      <c r="C53" s="93" t="s">
        <v>124</v>
      </c>
      <c r="D53" s="94"/>
      <c r="E53" s="94"/>
      <c r="F53" s="94"/>
      <c r="G53" s="94"/>
      <c r="H53" s="94"/>
      <c r="I53" s="94"/>
      <c r="J53" s="93"/>
      <c r="K53" s="93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  <c r="X53" s="93"/>
      <c r="Y53" s="93"/>
      <c r="Z53" s="93"/>
    </row>
    <row r="54" spans="1:26" x14ac:dyDescent="0.25">
      <c r="A54" s="93"/>
      <c r="B54" s="93"/>
      <c r="C54" s="93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</row>
    <row r="55" spans="1:26" x14ac:dyDescent="0.25">
      <c r="A55" s="93"/>
      <c r="B55" s="93"/>
      <c r="C55" s="93"/>
      <c r="D55" s="93"/>
      <c r="E55" s="93"/>
      <c r="F55" s="93"/>
      <c r="G55" s="93"/>
      <c r="H55" s="93"/>
      <c r="I55" s="93"/>
      <c r="J55" s="93"/>
      <c r="K55" s="93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</row>
    <row r="56" spans="1:26" x14ac:dyDescent="0.25">
      <c r="A56" s="93"/>
      <c r="B56" s="93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</row>
    <row r="57" spans="1:26" x14ac:dyDescent="0.25">
      <c r="A57" s="93"/>
      <c r="B57" s="93"/>
      <c r="C57" s="93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</row>
    <row r="58" spans="1:26" x14ac:dyDescent="0.25">
      <c r="A58" s="93"/>
      <c r="B58" s="93"/>
      <c r="C58" s="93"/>
      <c r="D58" s="93"/>
      <c r="E58" s="93"/>
      <c r="F58" s="93"/>
      <c r="G58" s="93"/>
      <c r="H58" s="93"/>
      <c r="I58" s="93"/>
      <c r="J58" s="93"/>
      <c r="K58" s="93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</row>
    <row r="59" spans="1:26" x14ac:dyDescent="0.25">
      <c r="A59" s="93"/>
      <c r="B59" s="93"/>
      <c r="C59" s="93"/>
      <c r="D59" s="93"/>
      <c r="E59" s="93"/>
      <c r="F59" s="93"/>
      <c r="G59" s="93"/>
      <c r="H59" s="93"/>
      <c r="I59" s="93"/>
      <c r="J59" s="93"/>
      <c r="K59" s="93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</row>
    <row r="60" spans="1:26" x14ac:dyDescent="0.25">
      <c r="A60" s="93"/>
      <c r="B60" s="93"/>
      <c r="C60" s="93"/>
      <c r="D60" s="93"/>
      <c r="E60" s="93"/>
      <c r="F60" s="93"/>
      <c r="G60" s="93"/>
      <c r="H60" s="93"/>
      <c r="I60" s="93"/>
      <c r="J60" s="93"/>
      <c r="K60" s="93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</row>
    <row r="61" spans="1:26" x14ac:dyDescent="0.25">
      <c r="A61" s="93"/>
      <c r="B61" s="93"/>
      <c r="C61" s="93"/>
      <c r="D61" s="93"/>
      <c r="E61" s="93"/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  <c r="X61" s="93"/>
      <c r="Y61" s="93"/>
      <c r="Z61" s="93"/>
    </row>
    <row r="62" spans="1:26" x14ac:dyDescent="0.25">
      <c r="A62" s="93"/>
      <c r="B62" s="93"/>
      <c r="C62" s="93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  <c r="X62" s="93"/>
      <c r="Y62" s="93"/>
      <c r="Z62" s="93"/>
    </row>
    <row r="63" spans="1:26" x14ac:dyDescent="0.25">
      <c r="A63" s="93"/>
      <c r="B63" s="93"/>
      <c r="C63" s="93"/>
      <c r="D63" s="93"/>
      <c r="E63" s="93"/>
      <c r="F63" s="93"/>
      <c r="G63" s="93"/>
      <c r="H63" s="93"/>
      <c r="I63" s="93"/>
      <c r="J63" s="93"/>
      <c r="K63" s="93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</row>
    <row r="64" spans="1:26" x14ac:dyDescent="0.25">
      <c r="A64" s="93"/>
      <c r="B64" s="93"/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</row>
    <row r="65" spans="1:26" x14ac:dyDescent="0.25">
      <c r="A65" s="93"/>
      <c r="B65" s="93"/>
      <c r="C65" s="93"/>
      <c r="D65" s="93"/>
      <c r="E65" s="93"/>
      <c r="F65" s="93"/>
      <c r="G65" s="93"/>
      <c r="H65" s="93"/>
      <c r="I65" s="93"/>
      <c r="J65" s="93"/>
      <c r="K65" s="93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  <c r="X65" s="93"/>
      <c r="Y65" s="93"/>
      <c r="Z65" s="93"/>
    </row>
    <row r="66" spans="1:26" x14ac:dyDescent="0.25">
      <c r="A66" s="93"/>
      <c r="B66" s="93"/>
      <c r="C66" s="93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</row>
    <row r="67" spans="1:26" x14ac:dyDescent="0.25">
      <c r="A67" s="93"/>
      <c r="B67" s="93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  <c r="X67" s="93"/>
      <c r="Y67" s="93"/>
      <c r="Z67" s="93"/>
    </row>
    <row r="68" spans="1:26" x14ac:dyDescent="0.25">
      <c r="A68" s="93"/>
      <c r="B68" s="93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</row>
    <row r="69" spans="1:26" x14ac:dyDescent="0.25">
      <c r="A69" s="93"/>
      <c r="B69" s="93"/>
      <c r="C69" s="93"/>
      <c r="D69" s="93"/>
      <c r="E69" s="93"/>
      <c r="F69" s="93"/>
      <c r="G69" s="93"/>
      <c r="H69" s="93"/>
      <c r="I69" s="93"/>
      <c r="J69" s="93"/>
      <c r="K69" s="93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</row>
    <row r="70" spans="1:26" x14ac:dyDescent="0.25">
      <c r="A70" s="93"/>
      <c r="B70" s="93"/>
      <c r="C70" s="93"/>
      <c r="D70" s="93"/>
      <c r="E70" s="93"/>
      <c r="F70" s="93"/>
      <c r="G70" s="93"/>
      <c r="H70" s="93"/>
      <c r="I70" s="93"/>
      <c r="J70" s="93"/>
      <c r="K70" s="93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</row>
    <row r="71" spans="1:26" x14ac:dyDescent="0.25">
      <c r="A71" s="93"/>
      <c r="B71" s="93"/>
      <c r="C71" s="93"/>
      <c r="D71" s="93"/>
      <c r="E71" s="93"/>
      <c r="F71" s="93"/>
      <c r="G71" s="93"/>
      <c r="H71" s="93"/>
      <c r="I71" s="93"/>
      <c r="J71" s="93"/>
      <c r="K71" s="93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  <c r="X71" s="93"/>
      <c r="Y71" s="93"/>
      <c r="Z71" s="93"/>
    </row>
    <row r="72" spans="1:26" x14ac:dyDescent="0.25">
      <c r="A72" s="93"/>
      <c r="B72" s="93"/>
      <c r="C72" s="93"/>
      <c r="D72" s="93"/>
      <c r="E72" s="93"/>
      <c r="F72" s="93"/>
      <c r="G72" s="93"/>
      <c r="H72" s="93"/>
      <c r="I72" s="93"/>
      <c r="J72" s="93"/>
      <c r="K72" s="93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3"/>
    </row>
    <row r="73" spans="1:26" x14ac:dyDescent="0.25">
      <c r="A73" s="93"/>
      <c r="B73" s="93"/>
      <c r="C73" s="93"/>
      <c r="D73" s="93"/>
      <c r="E73" s="93"/>
      <c r="F73" s="93"/>
      <c r="G73" s="93"/>
      <c r="H73" s="93"/>
      <c r="I73" s="93"/>
      <c r="J73" s="93"/>
      <c r="K73" s="93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</row>
    <row r="74" spans="1:26" x14ac:dyDescent="0.25">
      <c r="A74" s="93"/>
      <c r="B74" s="93"/>
      <c r="C74" s="93"/>
      <c r="D74" s="93"/>
      <c r="E74" s="93"/>
      <c r="F74" s="93"/>
      <c r="G74" s="93"/>
      <c r="H74" s="93"/>
      <c r="I74" s="93"/>
      <c r="J74" s="93"/>
      <c r="K74" s="93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</row>
    <row r="75" spans="1:26" x14ac:dyDescent="0.25">
      <c r="A75" s="93"/>
      <c r="B75" s="93"/>
      <c r="C75" s="93"/>
      <c r="D75" s="93"/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  <c r="X75" s="93"/>
      <c r="Y75" s="93"/>
      <c r="Z75" s="93"/>
    </row>
    <row r="76" spans="1:26" x14ac:dyDescent="0.25">
      <c r="A76" s="93"/>
      <c r="B76" s="93"/>
      <c r="C76" s="93"/>
      <c r="D76" s="93"/>
      <c r="E76" s="93"/>
      <c r="F76" s="93"/>
      <c r="G76" s="93"/>
      <c r="H76" s="93"/>
      <c r="I76" s="93"/>
      <c r="J76" s="93"/>
      <c r="K76" s="93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  <c r="X76" s="93"/>
      <c r="Y76" s="93"/>
      <c r="Z76" s="93"/>
    </row>
    <row r="77" spans="1:26" x14ac:dyDescent="0.25">
      <c r="A77" s="93"/>
      <c r="B77" s="93"/>
      <c r="C77" s="93"/>
      <c r="D77" s="93"/>
      <c r="E77" s="93"/>
      <c r="F77" s="93"/>
      <c r="G77" s="93"/>
      <c r="H77" s="93"/>
      <c r="I77" s="93"/>
      <c r="J77" s="93"/>
      <c r="K77" s="93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</row>
    <row r="78" spans="1:26" x14ac:dyDescent="0.25">
      <c r="A78" s="93"/>
      <c r="B78" s="93"/>
      <c r="C78" s="93"/>
      <c r="D78" s="93"/>
      <c r="E78" s="93"/>
      <c r="F78" s="93"/>
      <c r="G78" s="93"/>
      <c r="H78" s="93"/>
      <c r="I78" s="93"/>
      <c r="J78" s="93"/>
      <c r="K78" s="93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</row>
    <row r="79" spans="1:26" x14ac:dyDescent="0.25">
      <c r="A79" s="93"/>
      <c r="B79" s="93"/>
      <c r="C79" s="93"/>
      <c r="D79" s="93"/>
      <c r="E79" s="93"/>
      <c r="F79" s="93"/>
      <c r="G79" s="93"/>
      <c r="H79" s="93"/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  <c r="Y79" s="93"/>
      <c r="Z79" s="93"/>
    </row>
    <row r="80" spans="1:26" x14ac:dyDescent="0.25">
      <c r="A80" s="93"/>
      <c r="B80" s="93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</row>
    <row r="81" spans="1:26" x14ac:dyDescent="0.25">
      <c r="A81" s="93"/>
      <c r="B81" s="93"/>
      <c r="C81" s="93"/>
      <c r="D81" s="93"/>
      <c r="E81" s="93"/>
      <c r="F81" s="93"/>
      <c r="G81" s="93"/>
      <c r="H81" s="93"/>
      <c r="I81" s="93"/>
      <c r="J81" s="93"/>
      <c r="K81" s="93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  <c r="X81" s="93"/>
      <c r="Y81" s="93"/>
      <c r="Z81" s="93"/>
    </row>
    <row r="82" spans="1:26" x14ac:dyDescent="0.25">
      <c r="A82" s="93"/>
      <c r="B82" s="93"/>
      <c r="C82" s="93"/>
      <c r="D82" s="93"/>
      <c r="E82" s="93"/>
      <c r="F82" s="93"/>
      <c r="G82" s="93"/>
      <c r="H82" s="93"/>
      <c r="I82" s="93"/>
      <c r="J82" s="93"/>
      <c r="K82" s="93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  <c r="X82" s="93"/>
      <c r="Y82" s="93"/>
      <c r="Z82" s="93"/>
    </row>
    <row r="83" spans="1:26" x14ac:dyDescent="0.25">
      <c r="A83" s="93"/>
      <c r="B83" s="93"/>
      <c r="C83" s="93"/>
      <c r="D83" s="93"/>
      <c r="E83" s="93"/>
      <c r="F83" s="93"/>
      <c r="G83" s="93"/>
      <c r="H83" s="93"/>
      <c r="I83" s="93"/>
      <c r="J83" s="93"/>
      <c r="K83" s="93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</row>
    <row r="84" spans="1:26" x14ac:dyDescent="0.25">
      <c r="A84" s="93"/>
      <c r="B84" s="93"/>
      <c r="C84" s="93"/>
      <c r="D84" s="93"/>
      <c r="E84" s="93"/>
      <c r="F84" s="93"/>
      <c r="G84" s="93"/>
      <c r="H84" s="93"/>
      <c r="I84" s="93"/>
      <c r="J84" s="93"/>
      <c r="K84" s="93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</row>
    <row r="85" spans="1:26" x14ac:dyDescent="0.25">
      <c r="A85" s="93"/>
      <c r="B85" s="93"/>
      <c r="C85" s="93"/>
      <c r="D85" s="93"/>
      <c r="E85" s="93"/>
      <c r="F85" s="93"/>
      <c r="G85" s="93"/>
      <c r="H85" s="93"/>
      <c r="I85" s="93"/>
      <c r="J85" s="93"/>
      <c r="K85" s="93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  <c r="X85" s="93"/>
      <c r="Y85" s="93"/>
      <c r="Z85" s="93"/>
    </row>
    <row r="86" spans="1:26" x14ac:dyDescent="0.25">
      <c r="A86" s="93"/>
      <c r="B86" s="93"/>
      <c r="C86" s="93"/>
      <c r="D86" s="93"/>
      <c r="E86" s="93"/>
      <c r="F86" s="93"/>
      <c r="G86" s="93"/>
      <c r="H86" s="93"/>
      <c r="I86" s="93"/>
      <c r="J86" s="93"/>
      <c r="K86" s="93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</row>
    <row r="87" spans="1:26" x14ac:dyDescent="0.25">
      <c r="A87" s="93"/>
      <c r="B87" s="93"/>
      <c r="C87" s="93"/>
      <c r="D87" s="93"/>
      <c r="E87" s="93"/>
      <c r="F87" s="93"/>
      <c r="G87" s="93"/>
      <c r="H87" s="93"/>
      <c r="I87" s="93"/>
      <c r="J87" s="93"/>
      <c r="K87" s="93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</row>
    <row r="88" spans="1:26" x14ac:dyDescent="0.25">
      <c r="A88" s="93"/>
      <c r="B88" s="93"/>
      <c r="C88" s="93"/>
      <c r="D88" s="93"/>
      <c r="E88" s="93"/>
      <c r="F88" s="93"/>
      <c r="G88" s="93"/>
      <c r="H88" s="93"/>
      <c r="I88" s="93"/>
      <c r="J88" s="93"/>
      <c r="K88" s="93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  <c r="X88" s="93"/>
      <c r="Y88" s="93"/>
      <c r="Z88" s="93"/>
    </row>
    <row r="89" spans="1:26" x14ac:dyDescent="0.25">
      <c r="A89" s="93"/>
      <c r="B89" s="93"/>
      <c r="C89" s="93"/>
      <c r="D89" s="93"/>
      <c r="E89" s="93"/>
      <c r="F89" s="93"/>
      <c r="G89" s="93"/>
      <c r="H89" s="93"/>
      <c r="I89" s="93"/>
      <c r="J89" s="93"/>
      <c r="K89" s="93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  <c r="X89" s="93"/>
      <c r="Y89" s="93"/>
      <c r="Z89" s="93"/>
    </row>
    <row r="90" spans="1:26" x14ac:dyDescent="0.25">
      <c r="A90" s="93"/>
      <c r="B90" s="93"/>
      <c r="C90" s="93"/>
      <c r="D90" s="93"/>
      <c r="E90" s="93"/>
      <c r="F90" s="93"/>
      <c r="G90" s="93"/>
      <c r="H90" s="93"/>
      <c r="I90" s="93"/>
      <c r="J90" s="93"/>
      <c r="K90" s="93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</row>
    <row r="91" spans="1:26" x14ac:dyDescent="0.25">
      <c r="A91" s="93"/>
      <c r="B91" s="93"/>
      <c r="C91" s="93"/>
      <c r="D91" s="93"/>
      <c r="E91" s="93"/>
      <c r="F91" s="93"/>
      <c r="G91" s="93"/>
      <c r="H91" s="93"/>
      <c r="I91" s="93"/>
      <c r="J91" s="93"/>
      <c r="K91" s="93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  <c r="X91" s="93"/>
      <c r="Y91" s="93"/>
      <c r="Z91" s="93"/>
    </row>
    <row r="92" spans="1:26" x14ac:dyDescent="0.25">
      <c r="A92" s="93"/>
      <c r="B92" s="93"/>
      <c r="C92" s="93"/>
      <c r="D92" s="93"/>
      <c r="E92" s="93"/>
      <c r="F92" s="93"/>
      <c r="G92" s="93"/>
      <c r="H92" s="93"/>
      <c r="I92" s="93"/>
      <c r="J92" s="93"/>
      <c r="K92" s="93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</row>
    <row r="93" spans="1:26" x14ac:dyDescent="0.25">
      <c r="A93" s="93"/>
      <c r="B93" s="93"/>
      <c r="C93" s="93"/>
      <c r="D93" s="93"/>
      <c r="E93" s="93"/>
      <c r="F93" s="93"/>
      <c r="G93" s="93"/>
      <c r="H93" s="93"/>
      <c r="I93" s="93"/>
      <c r="J93" s="93"/>
      <c r="K93" s="93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</row>
    <row r="94" spans="1:26" x14ac:dyDescent="0.25">
      <c r="A94" s="93"/>
      <c r="B94" s="93"/>
      <c r="C94" s="93"/>
      <c r="D94" s="93"/>
      <c r="E94" s="93"/>
      <c r="F94" s="93"/>
      <c r="G94" s="93"/>
      <c r="H94" s="93"/>
      <c r="I94" s="93"/>
      <c r="J94" s="93"/>
      <c r="K94" s="93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  <c r="X94" s="93"/>
      <c r="Y94" s="93"/>
      <c r="Z94" s="93"/>
    </row>
    <row r="95" spans="1:26" x14ac:dyDescent="0.25">
      <c r="A95" s="93"/>
      <c r="B95" s="93"/>
      <c r="C95" s="93"/>
      <c r="D95" s="93"/>
      <c r="E95" s="93"/>
      <c r="F95" s="93"/>
      <c r="G95" s="93"/>
      <c r="H95" s="93"/>
      <c r="I95" s="93"/>
      <c r="J95" s="93"/>
      <c r="K95" s="93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  <c r="X95" s="93"/>
      <c r="Y95" s="93"/>
      <c r="Z95" s="93"/>
    </row>
    <row r="96" spans="1:26" x14ac:dyDescent="0.25">
      <c r="A96" s="93"/>
      <c r="B96" s="93"/>
      <c r="C96" s="93"/>
      <c r="D96" s="93"/>
      <c r="E96" s="93"/>
      <c r="F96" s="93"/>
      <c r="G96" s="93"/>
      <c r="H96" s="93"/>
      <c r="I96" s="93"/>
      <c r="J96" s="93"/>
      <c r="K96" s="93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  <c r="X96" s="93"/>
      <c r="Y96" s="93"/>
      <c r="Z96" s="93"/>
    </row>
    <row r="97" spans="1:26" x14ac:dyDescent="0.25">
      <c r="A97" s="93"/>
      <c r="B97" s="93"/>
      <c r="C97" s="93"/>
      <c r="D97" s="93"/>
      <c r="E97" s="93"/>
      <c r="F97" s="93"/>
      <c r="G97" s="93"/>
      <c r="H97" s="93"/>
      <c r="I97" s="93"/>
      <c r="J97" s="93"/>
      <c r="K97" s="93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</row>
    <row r="98" spans="1:26" x14ac:dyDescent="0.25">
      <c r="A98" s="93"/>
      <c r="B98" s="93"/>
      <c r="C98" s="93"/>
      <c r="D98" s="93"/>
      <c r="E98" s="93"/>
      <c r="F98" s="93"/>
      <c r="G98" s="93"/>
      <c r="H98" s="93"/>
      <c r="I98" s="93"/>
      <c r="J98" s="93"/>
      <c r="K98" s="93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  <c r="X98" s="93"/>
      <c r="Y98" s="93"/>
      <c r="Z98" s="93"/>
    </row>
    <row r="99" spans="1:26" x14ac:dyDescent="0.25">
      <c r="A99" s="93"/>
      <c r="B99" s="93"/>
      <c r="C99" s="93"/>
      <c r="D99" s="93"/>
      <c r="E99" s="93"/>
      <c r="F99" s="93"/>
      <c r="G99" s="93"/>
      <c r="H99" s="93"/>
      <c r="I99" s="93"/>
      <c r="J99" s="93"/>
      <c r="K99" s="93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  <c r="X99" s="93"/>
      <c r="Y99" s="93"/>
      <c r="Z99" s="93"/>
    </row>
    <row r="100" spans="1:26" x14ac:dyDescent="0.25">
      <c r="A100" s="93"/>
      <c r="B100" s="93"/>
      <c r="C100" s="93"/>
      <c r="D100" s="93"/>
      <c r="E100" s="93"/>
      <c r="F100" s="93"/>
      <c r="G100" s="93"/>
      <c r="H100" s="93"/>
      <c r="I100" s="93"/>
      <c r="J100" s="93"/>
      <c r="K100" s="93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</row>
    <row r="101" spans="1:26" x14ac:dyDescent="0.25">
      <c r="A101" s="93"/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</row>
    <row r="102" spans="1:26" x14ac:dyDescent="0.25">
      <c r="A102" s="93"/>
      <c r="B102" s="93"/>
      <c r="C102" s="93"/>
      <c r="D102" s="93"/>
      <c r="E102" s="93"/>
      <c r="F102" s="93"/>
      <c r="G102" s="93"/>
      <c r="H102" s="93"/>
      <c r="I102" s="93"/>
      <c r="J102" s="93"/>
      <c r="K102" s="93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  <c r="X102" s="93"/>
      <c r="Y102" s="93"/>
      <c r="Z102" s="93"/>
    </row>
    <row r="103" spans="1:26" x14ac:dyDescent="0.25">
      <c r="A103" s="93"/>
      <c r="B103" s="93"/>
      <c r="C103" s="93"/>
      <c r="D103" s="93"/>
      <c r="E103" s="93"/>
      <c r="F103" s="93"/>
      <c r="G103" s="93"/>
      <c r="H103" s="93"/>
      <c r="I103" s="93"/>
      <c r="J103" s="93"/>
      <c r="K103" s="93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</row>
    <row r="104" spans="1:26" x14ac:dyDescent="0.25">
      <c r="A104" s="93"/>
      <c r="B104" s="93"/>
      <c r="C104" s="93"/>
      <c r="D104" s="93"/>
      <c r="E104" s="93"/>
      <c r="F104" s="93"/>
      <c r="G104" s="93"/>
      <c r="H104" s="93"/>
      <c r="I104" s="93"/>
      <c r="J104" s="93"/>
      <c r="K104" s="93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  <c r="X104" s="93"/>
      <c r="Y104" s="93"/>
      <c r="Z104" s="93"/>
    </row>
    <row r="105" spans="1:26" x14ac:dyDescent="0.25">
      <c r="A105" s="93"/>
      <c r="B105" s="93"/>
      <c r="C105" s="93"/>
      <c r="D105" s="93"/>
      <c r="E105" s="93"/>
      <c r="F105" s="93"/>
      <c r="G105" s="93"/>
      <c r="H105" s="93"/>
      <c r="I105" s="93"/>
      <c r="J105" s="93"/>
      <c r="K105" s="93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</row>
    <row r="106" spans="1:26" x14ac:dyDescent="0.25">
      <c r="A106" s="93"/>
      <c r="B106" s="93"/>
      <c r="C106" s="93"/>
      <c r="D106" s="93"/>
      <c r="E106" s="93"/>
      <c r="F106" s="93"/>
      <c r="G106" s="93"/>
      <c r="H106" s="93"/>
      <c r="I106" s="93"/>
      <c r="J106" s="93"/>
      <c r="K106" s="93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</row>
    <row r="107" spans="1:26" x14ac:dyDescent="0.25">
      <c r="A107" s="93"/>
      <c r="B107" s="93"/>
      <c r="C107" s="93"/>
      <c r="D107" s="93"/>
      <c r="E107" s="93"/>
      <c r="F107" s="93"/>
      <c r="G107" s="93"/>
      <c r="H107" s="93"/>
      <c r="I107" s="93"/>
      <c r="J107" s="93"/>
      <c r="K107" s="93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  <c r="X107" s="93"/>
      <c r="Y107" s="93"/>
      <c r="Z107" s="93"/>
    </row>
    <row r="108" spans="1:26" x14ac:dyDescent="0.25">
      <c r="A108" s="93"/>
      <c r="B108" s="93"/>
      <c r="C108" s="93"/>
      <c r="D108" s="93"/>
      <c r="E108" s="93"/>
      <c r="F108" s="93"/>
      <c r="G108" s="93"/>
      <c r="H108" s="93"/>
      <c r="I108" s="93"/>
      <c r="J108" s="93"/>
      <c r="K108" s="93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</row>
    <row r="109" spans="1:26" x14ac:dyDescent="0.25">
      <c r="A109" s="93"/>
      <c r="B109" s="93"/>
      <c r="C109" s="93"/>
      <c r="D109" s="93"/>
      <c r="E109" s="93"/>
      <c r="F109" s="93"/>
      <c r="G109" s="93"/>
      <c r="H109" s="93"/>
      <c r="I109" s="93"/>
      <c r="J109" s="93"/>
      <c r="K109" s="93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</row>
    <row r="110" spans="1:26" x14ac:dyDescent="0.25">
      <c r="A110" s="93"/>
      <c r="B110" s="93"/>
      <c r="C110" s="93"/>
      <c r="D110" s="93"/>
      <c r="E110" s="93"/>
      <c r="F110" s="93"/>
      <c r="G110" s="93"/>
      <c r="H110" s="93"/>
      <c r="I110" s="93"/>
      <c r="J110" s="93"/>
      <c r="K110" s="93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</row>
    <row r="111" spans="1:26" x14ac:dyDescent="0.25">
      <c r="A111" s="93"/>
      <c r="B111" s="93"/>
      <c r="C111" s="93"/>
      <c r="D111" s="93"/>
      <c r="E111" s="93"/>
      <c r="F111" s="93"/>
      <c r="G111" s="93"/>
      <c r="H111" s="93"/>
      <c r="I111" s="93"/>
      <c r="J111" s="93"/>
      <c r="K111" s="93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</row>
    <row r="112" spans="1:26" x14ac:dyDescent="0.25">
      <c r="A112" s="93"/>
      <c r="B112" s="93"/>
      <c r="C112" s="93"/>
      <c r="D112" s="93"/>
      <c r="E112" s="93"/>
      <c r="F112" s="93"/>
      <c r="G112" s="93"/>
      <c r="H112" s="93"/>
      <c r="I112" s="93"/>
      <c r="J112" s="93"/>
      <c r="K112" s="93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  <c r="X112" s="93"/>
      <c r="Y112" s="93"/>
      <c r="Z112" s="93"/>
    </row>
    <row r="113" spans="1:26" x14ac:dyDescent="0.25">
      <c r="A113" s="93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</row>
    <row r="114" spans="1:26" x14ac:dyDescent="0.25">
      <c r="A114" s="93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</row>
    <row r="115" spans="1:26" x14ac:dyDescent="0.25">
      <c r="A115" s="93"/>
      <c r="B115" s="93"/>
      <c r="C115" s="93"/>
      <c r="D115" s="93"/>
      <c r="E115" s="93"/>
      <c r="F115" s="93"/>
      <c r="G115" s="93"/>
      <c r="H115" s="93"/>
      <c r="I115" s="93"/>
      <c r="J115" s="93"/>
      <c r="K115" s="93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  <c r="X115" s="93"/>
      <c r="Y115" s="93"/>
      <c r="Z115" s="93"/>
    </row>
    <row r="116" spans="1:26" x14ac:dyDescent="0.25">
      <c r="A116" s="93"/>
      <c r="B116" s="93"/>
      <c r="C116" s="93"/>
      <c r="D116" s="93"/>
      <c r="E116" s="93"/>
      <c r="F116" s="93"/>
      <c r="G116" s="93"/>
      <c r="H116" s="93"/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  <c r="Y116" s="93"/>
      <c r="Z116" s="93"/>
    </row>
    <row r="117" spans="1:26" x14ac:dyDescent="0.25">
      <c r="A117" s="93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</row>
    <row r="118" spans="1:26" x14ac:dyDescent="0.25">
      <c r="A118" s="93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</row>
    <row r="119" spans="1:26" x14ac:dyDescent="0.25">
      <c r="A119" s="93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</row>
    <row r="120" spans="1:26" x14ac:dyDescent="0.25">
      <c r="A120" s="93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</row>
    <row r="121" spans="1:26" x14ac:dyDescent="0.25">
      <c r="A121" s="93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</row>
    <row r="122" spans="1:26" x14ac:dyDescent="0.25">
      <c r="A122" s="93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</row>
    <row r="123" spans="1:26" x14ac:dyDescent="0.25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</row>
    <row r="124" spans="1:26" x14ac:dyDescent="0.25">
      <c r="A124" s="93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</row>
    <row r="125" spans="1:26" x14ac:dyDescent="0.25">
      <c r="A125" s="93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</row>
    <row r="126" spans="1:26" x14ac:dyDescent="0.25">
      <c r="A126" s="93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</row>
    <row r="127" spans="1:26" x14ac:dyDescent="0.25">
      <c r="A127" s="93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</row>
    <row r="128" spans="1:26" x14ac:dyDescent="0.25">
      <c r="A128" s="93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</row>
    <row r="129" spans="1:26" x14ac:dyDescent="0.25">
      <c r="A129" s="93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</row>
    <row r="130" spans="1:26" x14ac:dyDescent="0.25">
      <c r="A130" s="93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</row>
    <row r="131" spans="1:26" x14ac:dyDescent="0.25">
      <c r="A131" s="93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</row>
    <row r="132" spans="1:26" x14ac:dyDescent="0.25">
      <c r="A132" s="93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</row>
    <row r="133" spans="1:26" x14ac:dyDescent="0.25">
      <c r="A133" s="93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</row>
    <row r="134" spans="1:26" x14ac:dyDescent="0.25">
      <c r="A134" s="93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</row>
    <row r="135" spans="1:26" x14ac:dyDescent="0.25">
      <c r="A135" s="93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</row>
    <row r="136" spans="1:26" x14ac:dyDescent="0.25">
      <c r="A136" s="93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</row>
    <row r="137" spans="1:26" x14ac:dyDescent="0.25">
      <c r="A137" s="93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</row>
    <row r="138" spans="1:26" x14ac:dyDescent="0.25">
      <c r="A138" s="93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</row>
    <row r="139" spans="1:26" x14ac:dyDescent="0.25">
      <c r="A139" s="93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</row>
    <row r="140" spans="1:26" x14ac:dyDescent="0.25">
      <c r="A140" s="93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</row>
    <row r="141" spans="1:26" x14ac:dyDescent="0.25">
      <c r="A141" s="93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</row>
    <row r="142" spans="1:26" x14ac:dyDescent="0.25">
      <c r="A142" s="93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</row>
    <row r="143" spans="1:26" x14ac:dyDescent="0.25">
      <c r="A143" s="93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</row>
    <row r="144" spans="1:26" x14ac:dyDescent="0.25">
      <c r="A144" s="93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</row>
    <row r="145" spans="1:26" x14ac:dyDescent="0.25">
      <c r="A145" s="93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</row>
    <row r="146" spans="1:26" x14ac:dyDescent="0.25">
      <c r="A146" s="93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</row>
    <row r="147" spans="1:26" x14ac:dyDescent="0.25">
      <c r="A147" s="93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</row>
    <row r="148" spans="1:26" x14ac:dyDescent="0.25">
      <c r="A148" s="93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</row>
    <row r="149" spans="1:26" x14ac:dyDescent="0.25">
      <c r="A149" s="93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</row>
    <row r="150" spans="1:26" x14ac:dyDescent="0.25">
      <c r="A150" s="93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</row>
    <row r="151" spans="1:26" x14ac:dyDescent="0.25">
      <c r="A151" s="93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</row>
    <row r="152" spans="1:26" x14ac:dyDescent="0.25">
      <c r="A152" s="93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</row>
    <row r="153" spans="1:26" x14ac:dyDescent="0.25">
      <c r="A153" s="93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</row>
    <row r="154" spans="1:26" x14ac:dyDescent="0.25">
      <c r="A154" s="93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</row>
    <row r="155" spans="1:26" x14ac:dyDescent="0.25">
      <c r="A155" s="93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</row>
    <row r="156" spans="1:26" x14ac:dyDescent="0.25">
      <c r="A156" s="93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</row>
    <row r="157" spans="1:26" x14ac:dyDescent="0.25">
      <c r="A157" s="93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</row>
    <row r="158" spans="1:26" x14ac:dyDescent="0.25">
      <c r="A158" s="93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</row>
    <row r="159" spans="1:26" x14ac:dyDescent="0.25">
      <c r="A159" s="93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</row>
    <row r="160" spans="1:26" x14ac:dyDescent="0.25">
      <c r="A160" s="93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</row>
    <row r="161" spans="1:26" x14ac:dyDescent="0.25">
      <c r="A161" s="93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</row>
    <row r="162" spans="1:26" x14ac:dyDescent="0.25">
      <c r="A162" s="93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</row>
    <row r="163" spans="1:26" x14ac:dyDescent="0.25">
      <c r="A163" s="93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</row>
    <row r="164" spans="1:26" x14ac:dyDescent="0.25">
      <c r="A164" s="93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</row>
    <row r="165" spans="1:26" x14ac:dyDescent="0.25">
      <c r="A165" s="93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</row>
    <row r="166" spans="1:26" x14ac:dyDescent="0.25">
      <c r="A166" s="93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</row>
    <row r="167" spans="1:26" x14ac:dyDescent="0.25">
      <c r="A167" s="93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</row>
    <row r="168" spans="1:26" x14ac:dyDescent="0.25">
      <c r="A168" s="93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</row>
    <row r="169" spans="1:26" x14ac:dyDescent="0.25">
      <c r="A169" s="93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</row>
    <row r="170" spans="1:26" x14ac:dyDescent="0.25">
      <c r="A170" s="93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</row>
    <row r="171" spans="1:26" x14ac:dyDescent="0.25">
      <c r="A171" s="93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</row>
    <row r="172" spans="1:26" x14ac:dyDescent="0.25">
      <c r="A172" s="93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</row>
    <row r="173" spans="1:26" x14ac:dyDescent="0.25">
      <c r="A173" s="93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</row>
    <row r="174" spans="1:26" x14ac:dyDescent="0.25">
      <c r="A174" s="93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</row>
    <row r="175" spans="1:26" x14ac:dyDescent="0.25">
      <c r="A175" s="93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</row>
    <row r="176" spans="1:26" x14ac:dyDescent="0.25">
      <c r="A176" s="93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</row>
    <row r="177" spans="1:26" x14ac:dyDescent="0.25">
      <c r="A177" s="93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</row>
    <row r="178" spans="1:26" x14ac:dyDescent="0.25">
      <c r="A178" s="93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</row>
    <row r="179" spans="1:26" x14ac:dyDescent="0.25">
      <c r="A179" s="93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</row>
    <row r="180" spans="1:26" x14ac:dyDescent="0.25">
      <c r="A180" s="93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</row>
    <row r="181" spans="1:26" x14ac:dyDescent="0.25">
      <c r="A181" s="93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</row>
    <row r="182" spans="1:26" x14ac:dyDescent="0.25">
      <c r="A182" s="93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</row>
    <row r="183" spans="1:26" x14ac:dyDescent="0.25">
      <c r="A183" s="93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</row>
    <row r="184" spans="1:26" x14ac:dyDescent="0.25">
      <c r="A184" s="93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</row>
    <row r="185" spans="1:26" x14ac:dyDescent="0.25">
      <c r="A185" s="93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</row>
    <row r="186" spans="1:26" x14ac:dyDescent="0.25">
      <c r="A186" s="93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</row>
    <row r="187" spans="1:26" x14ac:dyDescent="0.25">
      <c r="A187" s="93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</row>
    <row r="188" spans="1:26" x14ac:dyDescent="0.25">
      <c r="A188" s="93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</row>
    <row r="189" spans="1:26" x14ac:dyDescent="0.25">
      <c r="A189" s="93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</row>
    <row r="190" spans="1:26" x14ac:dyDescent="0.25">
      <c r="A190" s="93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</row>
    <row r="191" spans="1:26" x14ac:dyDescent="0.25">
      <c r="A191" s="93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</row>
    <row r="192" spans="1:26" x14ac:dyDescent="0.25">
      <c r="A192" s="93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</row>
    <row r="193" spans="1:26" x14ac:dyDescent="0.25">
      <c r="A193" s="93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</row>
    <row r="194" spans="1:26" x14ac:dyDescent="0.25">
      <c r="A194" s="93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</row>
    <row r="195" spans="1:26" x14ac:dyDescent="0.25">
      <c r="A195" s="93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</row>
    <row r="196" spans="1:26" x14ac:dyDescent="0.25">
      <c r="A196" s="93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</row>
    <row r="197" spans="1:26" x14ac:dyDescent="0.25">
      <c r="A197" s="93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</row>
    <row r="198" spans="1:26" x14ac:dyDescent="0.25">
      <c r="A198" s="93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</row>
    <row r="199" spans="1:26" x14ac:dyDescent="0.25">
      <c r="A199" s="93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</row>
    <row r="200" spans="1:26" x14ac:dyDescent="0.25">
      <c r="A200" s="93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</row>
    <row r="201" spans="1:26" x14ac:dyDescent="0.25">
      <c r="A201" s="93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</row>
    <row r="202" spans="1:26" x14ac:dyDescent="0.25">
      <c r="A202" s="93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</row>
    <row r="203" spans="1:26" x14ac:dyDescent="0.25">
      <c r="A203" s="93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</row>
    <row r="204" spans="1:26" x14ac:dyDescent="0.25">
      <c r="A204" s="93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</row>
    <row r="205" spans="1:26" x14ac:dyDescent="0.25">
      <c r="A205" s="93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</row>
    <row r="206" spans="1:26" x14ac:dyDescent="0.25">
      <c r="A206" s="93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</row>
    <row r="207" spans="1:26" x14ac:dyDescent="0.25">
      <c r="A207" s="93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</row>
    <row r="208" spans="1:26" x14ac:dyDescent="0.25">
      <c r="A208" s="93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</row>
    <row r="209" spans="1:26" x14ac:dyDescent="0.25">
      <c r="A209" s="93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</row>
    <row r="210" spans="1:26" x14ac:dyDescent="0.25">
      <c r="A210" s="93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</row>
    <row r="211" spans="1:26" x14ac:dyDescent="0.25">
      <c r="A211" s="93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</row>
    <row r="212" spans="1:26" x14ac:dyDescent="0.25">
      <c r="A212" s="93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</row>
    <row r="213" spans="1:26" x14ac:dyDescent="0.25">
      <c r="A213" s="93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</row>
    <row r="214" spans="1:26" x14ac:dyDescent="0.25">
      <c r="A214" s="93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</row>
    <row r="215" spans="1:26" x14ac:dyDescent="0.25">
      <c r="A215" s="93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</row>
    <row r="216" spans="1:26" x14ac:dyDescent="0.25">
      <c r="A216" s="93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</row>
    <row r="217" spans="1:26" x14ac:dyDescent="0.25">
      <c r="A217" s="93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</row>
    <row r="218" spans="1:26" x14ac:dyDescent="0.25">
      <c r="A218" s="93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</row>
    <row r="219" spans="1:26" x14ac:dyDescent="0.25">
      <c r="A219" s="93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</row>
    <row r="220" spans="1:26" x14ac:dyDescent="0.25">
      <c r="A220" s="93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</row>
    <row r="221" spans="1:26" x14ac:dyDescent="0.25">
      <c r="A221" s="93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</row>
    <row r="222" spans="1:26" x14ac:dyDescent="0.25">
      <c r="A222" s="93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</row>
    <row r="223" spans="1:26" x14ac:dyDescent="0.25">
      <c r="A223" s="93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</row>
    <row r="224" spans="1:26" x14ac:dyDescent="0.25">
      <c r="A224" s="93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</row>
    <row r="225" spans="1:26" x14ac:dyDescent="0.25">
      <c r="A225" s="93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</row>
    <row r="226" spans="1:26" x14ac:dyDescent="0.25">
      <c r="A226" s="93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</row>
    <row r="227" spans="1:26" x14ac:dyDescent="0.25">
      <c r="A227" s="93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</row>
    <row r="228" spans="1:26" x14ac:dyDescent="0.25">
      <c r="A228" s="93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</row>
    <row r="229" spans="1:26" x14ac:dyDescent="0.25">
      <c r="A229" s="93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</row>
    <row r="230" spans="1:26" x14ac:dyDescent="0.25">
      <c r="A230" s="93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</row>
    <row r="231" spans="1:26" x14ac:dyDescent="0.25">
      <c r="A231" s="93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</row>
    <row r="232" spans="1:26" x14ac:dyDescent="0.25">
      <c r="A232" s="93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</row>
    <row r="233" spans="1:26" x14ac:dyDescent="0.25">
      <c r="A233" s="93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</row>
    <row r="234" spans="1:26" x14ac:dyDescent="0.25">
      <c r="A234" s="93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</row>
    <row r="235" spans="1:26" x14ac:dyDescent="0.25">
      <c r="A235" s="93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</row>
    <row r="236" spans="1:26" x14ac:dyDescent="0.25">
      <c r="A236" s="93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</row>
    <row r="237" spans="1:26" x14ac:dyDescent="0.25">
      <c r="A237" s="93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</row>
    <row r="238" spans="1:26" x14ac:dyDescent="0.25">
      <c r="A238" s="93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</row>
    <row r="239" spans="1:26" x14ac:dyDescent="0.25">
      <c r="A239" s="93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</row>
    <row r="240" spans="1:26" x14ac:dyDescent="0.25">
      <c r="A240" s="93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</row>
    <row r="241" spans="1:26" x14ac:dyDescent="0.25">
      <c r="A241" s="93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</row>
    <row r="242" spans="1:26" x14ac:dyDescent="0.25">
      <c r="A242" s="93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</row>
    <row r="243" spans="1:26" x14ac:dyDescent="0.25">
      <c r="A243" s="93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</row>
    <row r="244" spans="1:26" x14ac:dyDescent="0.25">
      <c r="A244" s="93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</row>
    <row r="245" spans="1:26" x14ac:dyDescent="0.25">
      <c r="A245" s="93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</row>
    <row r="246" spans="1:26" x14ac:dyDescent="0.25">
      <c r="A246" s="93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</row>
    <row r="247" spans="1:26" x14ac:dyDescent="0.25">
      <c r="A247" s="93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</row>
    <row r="248" spans="1:26" x14ac:dyDescent="0.25">
      <c r="A248" s="93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</row>
    <row r="249" spans="1:26" x14ac:dyDescent="0.25">
      <c r="A249" s="93"/>
      <c r="B249" s="93"/>
      <c r="C249" s="93"/>
      <c r="D249" s="93"/>
      <c r="E249" s="93"/>
      <c r="F249" s="93"/>
      <c r="G249" s="93"/>
      <c r="H249" s="93"/>
      <c r="I249" s="93"/>
      <c r="J249" s="93"/>
      <c r="K249" s="93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  <c r="X249" s="93"/>
      <c r="Y249" s="93"/>
      <c r="Z249" s="93"/>
    </row>
    <row r="250" spans="1:26" x14ac:dyDescent="0.25">
      <c r="A250" s="93"/>
      <c r="B250" s="93"/>
      <c r="C250" s="93"/>
      <c r="D250" s="93"/>
      <c r="E250" s="93"/>
      <c r="F250" s="93"/>
      <c r="G250" s="93"/>
      <c r="H250" s="93"/>
      <c r="I250" s="93"/>
      <c r="J250" s="93"/>
      <c r="K250" s="93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  <c r="X250" s="93"/>
      <c r="Y250" s="93"/>
      <c r="Z250" s="93"/>
    </row>
    <row r="251" spans="1:26" x14ac:dyDescent="0.25">
      <c r="A251" s="93"/>
      <c r="B251" s="93"/>
      <c r="C251" s="93"/>
      <c r="D251" s="93"/>
      <c r="E251" s="93"/>
      <c r="F251" s="93"/>
      <c r="G251" s="93"/>
      <c r="H251" s="93"/>
      <c r="I251" s="93"/>
      <c r="J251" s="93"/>
      <c r="K251" s="93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  <c r="X251" s="93"/>
      <c r="Y251" s="93"/>
      <c r="Z251" s="93"/>
    </row>
    <row r="252" spans="1:26" x14ac:dyDescent="0.25">
      <c r="A252" s="93"/>
      <c r="B252" s="93"/>
      <c r="C252" s="93"/>
      <c r="D252" s="93"/>
      <c r="E252" s="93"/>
      <c r="F252" s="93"/>
      <c r="G252" s="93"/>
      <c r="H252" s="93"/>
      <c r="I252" s="93"/>
      <c r="J252" s="93"/>
      <c r="K252" s="93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  <c r="X252" s="93"/>
      <c r="Y252" s="93"/>
      <c r="Z252" s="93"/>
    </row>
    <row r="253" spans="1:26" x14ac:dyDescent="0.25">
      <c r="A253" s="93"/>
      <c r="B253" s="93"/>
      <c r="C253" s="93"/>
      <c r="D253" s="93"/>
      <c r="E253" s="93"/>
      <c r="F253" s="93"/>
      <c r="G253" s="93"/>
      <c r="H253" s="93"/>
      <c r="I253" s="93"/>
      <c r="J253" s="93"/>
      <c r="K253" s="93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  <c r="X253" s="93"/>
      <c r="Y253" s="93"/>
      <c r="Z253" s="93"/>
    </row>
    <row r="254" spans="1:26" x14ac:dyDescent="0.25">
      <c r="A254" s="93"/>
      <c r="B254" s="93"/>
      <c r="C254" s="93"/>
      <c r="D254" s="93"/>
      <c r="E254" s="93"/>
      <c r="F254" s="93"/>
      <c r="G254" s="93"/>
      <c r="H254" s="93"/>
      <c r="I254" s="93"/>
      <c r="J254" s="93"/>
      <c r="K254" s="93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  <c r="X254" s="93"/>
      <c r="Y254" s="93"/>
      <c r="Z254" s="93"/>
    </row>
    <row r="255" spans="1:26" x14ac:dyDescent="0.25">
      <c r="A255" s="93"/>
      <c r="B255" s="93"/>
      <c r="C255" s="93"/>
      <c r="D255" s="93"/>
      <c r="E255" s="93"/>
      <c r="F255" s="93"/>
      <c r="G255" s="93"/>
      <c r="H255" s="93"/>
      <c r="I255" s="93"/>
      <c r="J255" s="93"/>
      <c r="K255" s="93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</row>
    <row r="256" spans="1:26" x14ac:dyDescent="0.25">
      <c r="A256" s="93"/>
      <c r="B256" s="93"/>
      <c r="C256" s="93"/>
      <c r="D256" s="93"/>
      <c r="E256" s="93"/>
      <c r="F256" s="93"/>
      <c r="G256" s="93"/>
      <c r="H256" s="93"/>
      <c r="I256" s="93"/>
      <c r="J256" s="93"/>
      <c r="K256" s="93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  <c r="X256" s="93"/>
      <c r="Y256" s="93"/>
      <c r="Z256" s="93"/>
    </row>
    <row r="257" spans="1:26" x14ac:dyDescent="0.25">
      <c r="A257" s="93"/>
      <c r="B257" s="93"/>
      <c r="C257" s="93"/>
      <c r="D257" s="93"/>
      <c r="E257" s="93"/>
      <c r="F257" s="93"/>
      <c r="G257" s="93"/>
      <c r="H257" s="93"/>
      <c r="I257" s="93"/>
      <c r="J257" s="93"/>
      <c r="K257" s="93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  <c r="X257" s="93"/>
      <c r="Y257" s="93"/>
      <c r="Z257" s="93"/>
    </row>
    <row r="258" spans="1:26" x14ac:dyDescent="0.25">
      <c r="A258" s="93"/>
      <c r="B258" s="93"/>
      <c r="C258" s="93"/>
      <c r="D258" s="93"/>
      <c r="E258" s="93"/>
      <c r="F258" s="93"/>
      <c r="G258" s="93"/>
      <c r="H258" s="93"/>
      <c r="I258" s="93"/>
      <c r="J258" s="93"/>
      <c r="K258" s="93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  <c r="X258" s="93"/>
      <c r="Y258" s="93"/>
      <c r="Z258" s="93"/>
    </row>
    <row r="259" spans="1:26" x14ac:dyDescent="0.25">
      <c r="A259" s="93"/>
      <c r="B259" s="93"/>
      <c r="C259" s="93"/>
      <c r="D259" s="93"/>
      <c r="E259" s="93"/>
      <c r="F259" s="93"/>
      <c r="G259" s="93"/>
      <c r="H259" s="93"/>
      <c r="I259" s="93"/>
      <c r="J259" s="93"/>
      <c r="K259" s="93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  <c r="X259" s="93"/>
      <c r="Y259" s="93"/>
      <c r="Z259" s="93"/>
    </row>
    <row r="260" spans="1:26" x14ac:dyDescent="0.25">
      <c r="A260" s="93"/>
      <c r="B260" s="93"/>
      <c r="C260" s="93"/>
      <c r="D260" s="93"/>
      <c r="E260" s="93"/>
      <c r="F260" s="93"/>
      <c r="G260" s="93"/>
      <c r="H260" s="93"/>
      <c r="I260" s="93"/>
      <c r="J260" s="93"/>
      <c r="K260" s="93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  <c r="X260" s="93"/>
      <c r="Y260" s="93"/>
      <c r="Z260" s="93"/>
    </row>
    <row r="261" spans="1:26" x14ac:dyDescent="0.25">
      <c r="A261" s="93"/>
      <c r="B261" s="93"/>
      <c r="C261" s="93"/>
      <c r="D261" s="93"/>
      <c r="E261" s="93"/>
      <c r="F261" s="93"/>
      <c r="G261" s="93"/>
      <c r="H261" s="93"/>
      <c r="I261" s="93"/>
      <c r="J261" s="93"/>
      <c r="K261" s="93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  <c r="X261" s="93"/>
      <c r="Y261" s="93"/>
      <c r="Z261" s="93"/>
    </row>
    <row r="262" spans="1:26" x14ac:dyDescent="0.25">
      <c r="A262" s="93"/>
      <c r="B262" s="93"/>
      <c r="C262" s="93"/>
      <c r="D262" s="93"/>
      <c r="E262" s="93"/>
      <c r="F262" s="93"/>
      <c r="G262" s="93"/>
      <c r="H262" s="93"/>
      <c r="I262" s="93"/>
      <c r="J262" s="93"/>
      <c r="K262" s="93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  <c r="X262" s="93"/>
      <c r="Y262" s="93"/>
      <c r="Z262" s="93"/>
    </row>
    <row r="263" spans="1:26" x14ac:dyDescent="0.25">
      <c r="A263" s="93"/>
      <c r="B263" s="93"/>
      <c r="C263" s="93"/>
      <c r="D263" s="93"/>
      <c r="E263" s="93"/>
      <c r="F263" s="93"/>
      <c r="G263" s="93"/>
      <c r="H263" s="93"/>
      <c r="I263" s="93"/>
      <c r="J263" s="93"/>
      <c r="K263" s="93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  <c r="X263" s="93"/>
      <c r="Y263" s="93"/>
      <c r="Z263" s="93"/>
    </row>
    <row r="264" spans="1:26" x14ac:dyDescent="0.25">
      <c r="A264" s="93"/>
      <c r="B264" s="93"/>
      <c r="C264" s="93"/>
      <c r="D264" s="93"/>
      <c r="E264" s="93"/>
      <c r="F264" s="93"/>
      <c r="G264" s="93"/>
      <c r="H264" s="93"/>
      <c r="I264" s="93"/>
      <c r="J264" s="93"/>
      <c r="K264" s="93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</row>
    <row r="265" spans="1:26" x14ac:dyDescent="0.25">
      <c r="A265" s="93"/>
      <c r="B265" s="93"/>
      <c r="C265" s="93"/>
      <c r="D265" s="93"/>
      <c r="E265" s="93"/>
      <c r="F265" s="93"/>
      <c r="G265" s="93"/>
      <c r="H265" s="93"/>
      <c r="I265" s="93"/>
      <c r="J265" s="93"/>
      <c r="K265" s="93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  <c r="X265" s="93"/>
      <c r="Y265" s="93"/>
      <c r="Z265" s="93"/>
    </row>
    <row r="266" spans="1:26" x14ac:dyDescent="0.25">
      <c r="A266" s="93"/>
      <c r="B266" s="93"/>
      <c r="C266" s="93"/>
      <c r="D266" s="93"/>
      <c r="E266" s="93"/>
      <c r="F266" s="93"/>
      <c r="G266" s="93"/>
      <c r="H266" s="93"/>
      <c r="I266" s="93"/>
      <c r="J266" s="93"/>
      <c r="K266" s="93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  <c r="X266" s="93"/>
      <c r="Y266" s="93"/>
      <c r="Z266" s="93"/>
    </row>
    <row r="267" spans="1:26" x14ac:dyDescent="0.25">
      <c r="A267" s="93"/>
      <c r="B267" s="93"/>
      <c r="C267" s="93"/>
      <c r="D267" s="93"/>
      <c r="E267" s="93"/>
      <c r="F267" s="93"/>
      <c r="G267" s="93"/>
      <c r="H267" s="93"/>
      <c r="I267" s="93"/>
      <c r="J267" s="93"/>
      <c r="K267" s="93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  <c r="X267" s="93"/>
      <c r="Y267" s="93"/>
      <c r="Z267" s="93"/>
    </row>
    <row r="268" spans="1:26" x14ac:dyDescent="0.25">
      <c r="A268" s="93"/>
      <c r="B268" s="93"/>
      <c r="C268" s="93"/>
      <c r="D268" s="93"/>
      <c r="E268" s="93"/>
      <c r="F268" s="93"/>
      <c r="G268" s="93"/>
      <c r="H268" s="93"/>
      <c r="I268" s="93"/>
      <c r="J268" s="93"/>
      <c r="K268" s="93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  <c r="X268" s="93"/>
      <c r="Y268" s="93"/>
      <c r="Z268" s="93"/>
    </row>
    <row r="269" spans="1:26" x14ac:dyDescent="0.25">
      <c r="A269" s="93"/>
      <c r="B269" s="93"/>
      <c r="C269" s="93"/>
      <c r="D269" s="93"/>
      <c r="E269" s="93"/>
      <c r="F269" s="93"/>
      <c r="G269" s="93"/>
      <c r="H269" s="93"/>
      <c r="I269" s="93"/>
      <c r="J269" s="93"/>
      <c r="K269" s="93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  <c r="X269" s="93"/>
      <c r="Y269" s="93"/>
      <c r="Z269" s="93"/>
    </row>
    <row r="270" spans="1:26" x14ac:dyDescent="0.25">
      <c r="A270" s="93"/>
      <c r="B270" s="93"/>
      <c r="C270" s="93"/>
      <c r="D270" s="93"/>
      <c r="E270" s="93"/>
      <c r="F270" s="93"/>
      <c r="G270" s="93"/>
      <c r="H270" s="93"/>
      <c r="I270" s="93"/>
      <c r="J270" s="93"/>
      <c r="K270" s="93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  <c r="X270" s="93"/>
      <c r="Y270" s="93"/>
      <c r="Z270" s="93"/>
    </row>
    <row r="271" spans="1:26" x14ac:dyDescent="0.25">
      <c r="A271" s="93"/>
      <c r="B271" s="93"/>
      <c r="C271" s="93"/>
      <c r="D271" s="93"/>
      <c r="E271" s="93"/>
      <c r="F271" s="93"/>
      <c r="G271" s="93"/>
      <c r="H271" s="93"/>
      <c r="I271" s="93"/>
      <c r="J271" s="93"/>
      <c r="K271" s="93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  <c r="X271" s="93"/>
      <c r="Y271" s="93"/>
      <c r="Z271" s="93"/>
    </row>
    <row r="272" spans="1:26" x14ac:dyDescent="0.25">
      <c r="A272" s="93"/>
      <c r="B272" s="93"/>
      <c r="C272" s="93"/>
      <c r="D272" s="93"/>
      <c r="E272" s="93"/>
      <c r="F272" s="93"/>
      <c r="G272" s="93"/>
      <c r="H272" s="93"/>
      <c r="I272" s="93"/>
      <c r="J272" s="93"/>
      <c r="K272" s="93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  <c r="X272" s="93"/>
      <c r="Y272" s="93"/>
      <c r="Z272" s="93"/>
    </row>
    <row r="273" spans="1:26" x14ac:dyDescent="0.25">
      <c r="A273" s="93"/>
      <c r="B273" s="93"/>
      <c r="C273" s="93"/>
      <c r="D273" s="93"/>
      <c r="E273" s="93"/>
      <c r="F273" s="93"/>
      <c r="G273" s="93"/>
      <c r="H273" s="93"/>
      <c r="I273" s="93"/>
      <c r="J273" s="93"/>
      <c r="K273" s="93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  <c r="X273" s="93"/>
      <c r="Y273" s="93"/>
      <c r="Z273" s="93"/>
    </row>
    <row r="274" spans="1:26" x14ac:dyDescent="0.25">
      <c r="A274" s="93"/>
      <c r="B274" s="93"/>
      <c r="C274" s="93"/>
      <c r="D274" s="93"/>
      <c r="E274" s="93"/>
      <c r="F274" s="93"/>
      <c r="G274" s="93"/>
      <c r="H274" s="93"/>
      <c r="I274" s="93"/>
      <c r="J274" s="93"/>
      <c r="K274" s="93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  <c r="X274" s="93"/>
      <c r="Y274" s="93"/>
      <c r="Z274" s="93"/>
    </row>
    <row r="275" spans="1:26" x14ac:dyDescent="0.25">
      <c r="A275" s="93"/>
      <c r="B275" s="93"/>
      <c r="C275" s="93"/>
      <c r="D275" s="93"/>
      <c r="E275" s="93"/>
      <c r="F275" s="93"/>
      <c r="G275" s="93"/>
      <c r="H275" s="93"/>
      <c r="I275" s="93"/>
      <c r="J275" s="93"/>
      <c r="K275" s="93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  <c r="X275" s="93"/>
      <c r="Y275" s="93"/>
      <c r="Z275" s="93"/>
    </row>
    <row r="276" spans="1:26" x14ac:dyDescent="0.25">
      <c r="A276" s="93"/>
      <c r="B276" s="93"/>
      <c r="C276" s="93"/>
      <c r="D276" s="93"/>
      <c r="E276" s="93"/>
      <c r="F276" s="93"/>
      <c r="G276" s="93"/>
      <c r="H276" s="93"/>
      <c r="I276" s="93"/>
      <c r="J276" s="93"/>
      <c r="K276" s="93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  <c r="X276" s="93"/>
      <c r="Y276" s="93"/>
      <c r="Z276" s="93"/>
    </row>
    <row r="277" spans="1:26" x14ac:dyDescent="0.25">
      <c r="A277" s="93"/>
      <c r="B277" s="93"/>
      <c r="C277" s="93"/>
      <c r="D277" s="93"/>
      <c r="E277" s="93"/>
      <c r="F277" s="93"/>
      <c r="G277" s="93"/>
      <c r="H277" s="93"/>
      <c r="I277" s="93"/>
      <c r="J277" s="93"/>
      <c r="K277" s="93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  <c r="X277" s="93"/>
      <c r="Y277" s="93"/>
      <c r="Z277" s="93"/>
    </row>
    <row r="278" spans="1:26" x14ac:dyDescent="0.25">
      <c r="A278" s="93"/>
      <c r="B278" s="93"/>
      <c r="C278" s="93"/>
      <c r="D278" s="93"/>
      <c r="E278" s="93"/>
      <c r="F278" s="93"/>
      <c r="G278" s="93"/>
      <c r="H278" s="93"/>
      <c r="I278" s="93"/>
      <c r="J278" s="93"/>
      <c r="K278" s="93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  <c r="X278" s="93"/>
      <c r="Y278" s="93"/>
      <c r="Z278" s="93"/>
    </row>
    <row r="279" spans="1:26" x14ac:dyDescent="0.25">
      <c r="A279" s="93"/>
      <c r="B279" s="93"/>
      <c r="C279" s="93"/>
      <c r="D279" s="93"/>
      <c r="E279" s="93"/>
      <c r="F279" s="93"/>
      <c r="G279" s="93"/>
      <c r="H279" s="93"/>
      <c r="I279" s="93"/>
      <c r="J279" s="93"/>
      <c r="K279" s="93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  <c r="X279" s="93"/>
      <c r="Y279" s="93"/>
      <c r="Z279" s="93"/>
    </row>
    <row r="280" spans="1:26" x14ac:dyDescent="0.25">
      <c r="A280" s="93"/>
      <c r="B280" s="93"/>
      <c r="C280" s="93"/>
      <c r="D280" s="93"/>
      <c r="E280" s="93"/>
      <c r="F280" s="93"/>
      <c r="G280" s="93"/>
      <c r="H280" s="93"/>
      <c r="I280" s="93"/>
      <c r="J280" s="93"/>
      <c r="K280" s="93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  <c r="X280" s="93"/>
      <c r="Y280" s="93"/>
      <c r="Z280" s="93"/>
    </row>
    <row r="281" spans="1:26" x14ac:dyDescent="0.25">
      <c r="A281" s="93"/>
      <c r="B281" s="93"/>
      <c r="C281" s="93"/>
      <c r="D281" s="93"/>
      <c r="E281" s="93"/>
      <c r="F281" s="93"/>
      <c r="G281" s="93"/>
      <c r="H281" s="93"/>
      <c r="I281" s="93"/>
      <c r="J281" s="93"/>
      <c r="K281" s="93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  <c r="X281" s="93"/>
      <c r="Y281" s="93"/>
      <c r="Z281" s="93"/>
    </row>
    <row r="282" spans="1:26" x14ac:dyDescent="0.25">
      <c r="A282" s="93"/>
      <c r="B282" s="93"/>
      <c r="C282" s="93"/>
      <c r="D282" s="93"/>
      <c r="E282" s="93"/>
      <c r="F282" s="93"/>
      <c r="G282" s="93"/>
      <c r="H282" s="93"/>
      <c r="I282" s="93"/>
      <c r="J282" s="93"/>
      <c r="K282" s="93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  <c r="X282" s="93"/>
      <c r="Y282" s="93"/>
      <c r="Z282" s="93"/>
    </row>
    <row r="283" spans="1:26" x14ac:dyDescent="0.25">
      <c r="A283" s="93"/>
      <c r="B283" s="93"/>
      <c r="C283" s="93"/>
      <c r="D283" s="93"/>
      <c r="E283" s="93"/>
      <c r="F283" s="93"/>
      <c r="G283" s="93"/>
      <c r="H283" s="93"/>
      <c r="I283" s="93"/>
      <c r="J283" s="93"/>
      <c r="K283" s="93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  <c r="X283" s="93"/>
      <c r="Y283" s="93"/>
      <c r="Z283" s="93"/>
    </row>
    <row r="284" spans="1:26" x14ac:dyDescent="0.25">
      <c r="A284" s="93"/>
      <c r="B284" s="93"/>
      <c r="C284" s="93"/>
      <c r="D284" s="93"/>
      <c r="E284" s="93"/>
      <c r="F284" s="93"/>
      <c r="G284" s="93"/>
      <c r="H284" s="93"/>
      <c r="I284" s="93"/>
      <c r="J284" s="93"/>
      <c r="K284" s="93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  <c r="X284" s="93"/>
      <c r="Y284" s="93"/>
      <c r="Z284" s="93"/>
    </row>
    <row r="285" spans="1:26" x14ac:dyDescent="0.25">
      <c r="A285" s="93"/>
      <c r="B285" s="93"/>
      <c r="C285" s="93"/>
      <c r="D285" s="93"/>
      <c r="E285" s="93"/>
      <c r="F285" s="93"/>
      <c r="G285" s="93"/>
      <c r="H285" s="93"/>
      <c r="I285" s="93"/>
      <c r="J285" s="93"/>
      <c r="K285" s="93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  <c r="X285" s="93"/>
      <c r="Y285" s="93"/>
      <c r="Z285" s="93"/>
    </row>
    <row r="286" spans="1:26" x14ac:dyDescent="0.25">
      <c r="A286" s="93"/>
      <c r="B286" s="93"/>
      <c r="C286" s="93"/>
      <c r="D286" s="93"/>
      <c r="E286" s="93"/>
      <c r="F286" s="93"/>
      <c r="G286" s="93"/>
      <c r="H286" s="93"/>
      <c r="I286" s="93"/>
      <c r="J286" s="93"/>
      <c r="K286" s="93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  <c r="X286" s="93"/>
      <c r="Y286" s="93"/>
      <c r="Z286" s="93"/>
    </row>
    <row r="287" spans="1:26" x14ac:dyDescent="0.25">
      <c r="A287" s="93"/>
      <c r="B287" s="93"/>
      <c r="C287" s="93"/>
      <c r="D287" s="93"/>
      <c r="E287" s="93"/>
      <c r="F287" s="93"/>
      <c r="G287" s="93"/>
      <c r="H287" s="93"/>
      <c r="I287" s="93"/>
      <c r="J287" s="93"/>
      <c r="K287" s="93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  <c r="X287" s="93"/>
      <c r="Y287" s="93"/>
      <c r="Z287" s="93"/>
    </row>
    <row r="288" spans="1:26" x14ac:dyDescent="0.25">
      <c r="A288" s="93"/>
      <c r="B288" s="93"/>
      <c r="C288" s="93"/>
      <c r="D288" s="93"/>
      <c r="E288" s="93"/>
      <c r="F288" s="93"/>
      <c r="G288" s="93"/>
      <c r="H288" s="93"/>
      <c r="I288" s="93"/>
      <c r="J288" s="93"/>
      <c r="K288" s="93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  <c r="X288" s="93"/>
      <c r="Y288" s="93"/>
      <c r="Z288" s="93"/>
    </row>
    <row r="289" spans="1:26" x14ac:dyDescent="0.25">
      <c r="A289" s="93"/>
      <c r="B289" s="93"/>
      <c r="C289" s="93"/>
      <c r="D289" s="93"/>
      <c r="E289" s="93"/>
      <c r="F289" s="93"/>
      <c r="G289" s="93"/>
      <c r="H289" s="93"/>
      <c r="I289" s="93"/>
      <c r="J289" s="93"/>
      <c r="K289" s="93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  <c r="X289" s="93"/>
      <c r="Y289" s="93"/>
      <c r="Z289" s="93"/>
    </row>
    <row r="290" spans="1:26" x14ac:dyDescent="0.25">
      <c r="A290" s="93"/>
      <c r="B290" s="93"/>
      <c r="C290" s="93"/>
      <c r="D290" s="93"/>
      <c r="E290" s="93"/>
      <c r="F290" s="93"/>
      <c r="G290" s="93"/>
      <c r="H290" s="93"/>
      <c r="I290" s="93"/>
      <c r="J290" s="93"/>
      <c r="K290" s="93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  <c r="X290" s="93"/>
      <c r="Y290" s="93"/>
      <c r="Z290" s="93"/>
    </row>
    <row r="291" spans="1:26" x14ac:dyDescent="0.25">
      <c r="A291" s="93"/>
      <c r="B291" s="93"/>
      <c r="C291" s="93"/>
      <c r="D291" s="93"/>
      <c r="E291" s="93"/>
      <c r="F291" s="93"/>
      <c r="G291" s="93"/>
      <c r="H291" s="93"/>
      <c r="I291" s="93"/>
      <c r="J291" s="93"/>
      <c r="K291" s="93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  <c r="X291" s="93"/>
      <c r="Y291" s="93"/>
      <c r="Z291" s="93"/>
    </row>
    <row r="292" spans="1:26" x14ac:dyDescent="0.25">
      <c r="A292" s="93"/>
      <c r="B292" s="93"/>
      <c r="C292" s="93"/>
      <c r="D292" s="93"/>
      <c r="E292" s="93"/>
      <c r="F292" s="93"/>
      <c r="G292" s="93"/>
      <c r="H292" s="93"/>
      <c r="I292" s="93"/>
      <c r="J292" s="93"/>
      <c r="K292" s="93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  <c r="X292" s="93"/>
      <c r="Y292" s="93"/>
      <c r="Z292" s="93"/>
    </row>
    <row r="293" spans="1:26" x14ac:dyDescent="0.25">
      <c r="A293" s="93"/>
      <c r="B293" s="93"/>
      <c r="C293" s="93"/>
      <c r="D293" s="93"/>
      <c r="E293" s="93"/>
      <c r="F293" s="93"/>
      <c r="G293" s="93"/>
      <c r="H293" s="93"/>
      <c r="I293" s="93"/>
      <c r="J293" s="93"/>
      <c r="K293" s="93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  <c r="X293" s="93"/>
      <c r="Y293" s="93"/>
      <c r="Z293" s="93"/>
    </row>
    <row r="294" spans="1:26" x14ac:dyDescent="0.25">
      <c r="A294" s="93"/>
      <c r="B294" s="93"/>
      <c r="C294" s="93"/>
      <c r="D294" s="93"/>
      <c r="E294" s="93"/>
      <c r="F294" s="93"/>
      <c r="G294" s="93"/>
      <c r="H294" s="93"/>
      <c r="I294" s="93"/>
      <c r="J294" s="93"/>
      <c r="K294" s="93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  <c r="X294" s="93"/>
      <c r="Y294" s="93"/>
      <c r="Z294" s="93"/>
    </row>
    <row r="295" spans="1:26" x14ac:dyDescent="0.25">
      <c r="A295" s="93"/>
      <c r="B295" s="93"/>
      <c r="C295" s="93"/>
      <c r="D295" s="93"/>
      <c r="E295" s="93"/>
      <c r="F295" s="93"/>
      <c r="G295" s="93"/>
      <c r="H295" s="93"/>
      <c r="I295" s="93"/>
      <c r="J295" s="93"/>
      <c r="K295" s="93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  <c r="X295" s="93"/>
      <c r="Y295" s="93"/>
      <c r="Z295" s="93"/>
    </row>
    <row r="296" spans="1:26" x14ac:dyDescent="0.25">
      <c r="A296" s="93"/>
      <c r="B296" s="93"/>
      <c r="C296" s="93"/>
      <c r="D296" s="93"/>
      <c r="E296" s="93"/>
      <c r="F296" s="93"/>
      <c r="G296" s="93"/>
      <c r="H296" s="93"/>
      <c r="I296" s="93"/>
      <c r="J296" s="93"/>
      <c r="K296" s="93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  <c r="X296" s="93"/>
      <c r="Y296" s="93"/>
      <c r="Z296" s="93"/>
    </row>
    <row r="297" spans="1:26" x14ac:dyDescent="0.25">
      <c r="A297" s="93"/>
      <c r="B297" s="93"/>
      <c r="C297" s="93"/>
      <c r="D297" s="93"/>
      <c r="E297" s="93"/>
      <c r="F297" s="93"/>
      <c r="G297" s="93"/>
      <c r="H297" s="93"/>
      <c r="I297" s="93"/>
      <c r="J297" s="93"/>
      <c r="K297" s="93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  <c r="X297" s="93"/>
      <c r="Y297" s="93"/>
      <c r="Z297" s="93"/>
    </row>
    <row r="298" spans="1:26" x14ac:dyDescent="0.25">
      <c r="A298" s="93"/>
      <c r="B298" s="93"/>
      <c r="C298" s="93"/>
      <c r="D298" s="93"/>
      <c r="E298" s="93"/>
      <c r="F298" s="93"/>
      <c r="G298" s="93"/>
      <c r="H298" s="93"/>
      <c r="I298" s="93"/>
      <c r="J298" s="93"/>
      <c r="K298" s="93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  <c r="X298" s="93"/>
      <c r="Y298" s="93"/>
      <c r="Z298" s="93"/>
    </row>
    <row r="299" spans="1:26" x14ac:dyDescent="0.25">
      <c r="A299" s="93"/>
      <c r="B299" s="93"/>
      <c r="C299" s="93"/>
      <c r="D299" s="93"/>
      <c r="E299" s="93"/>
      <c r="F299" s="93"/>
      <c r="G299" s="93"/>
      <c r="H299" s="93"/>
      <c r="I299" s="93"/>
      <c r="J299" s="93"/>
      <c r="K299" s="93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  <c r="X299" s="93"/>
      <c r="Y299" s="93"/>
      <c r="Z299" s="93"/>
    </row>
    <row r="300" spans="1:26" x14ac:dyDescent="0.25">
      <c r="A300" s="93"/>
      <c r="B300" s="93"/>
      <c r="C300" s="93"/>
      <c r="D300" s="93"/>
      <c r="E300" s="93"/>
      <c r="F300" s="93"/>
      <c r="G300" s="93"/>
      <c r="H300" s="93"/>
      <c r="I300" s="93"/>
      <c r="J300" s="93"/>
      <c r="K300" s="93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  <c r="X300" s="93"/>
      <c r="Y300" s="93"/>
      <c r="Z300" s="93"/>
    </row>
    <row r="301" spans="1:26" x14ac:dyDescent="0.25">
      <c r="A301" s="93"/>
      <c r="B301" s="93"/>
      <c r="C301" s="93"/>
      <c r="D301" s="93"/>
      <c r="E301" s="93"/>
      <c r="F301" s="93"/>
      <c r="G301" s="93"/>
      <c r="H301" s="93"/>
      <c r="I301" s="93"/>
      <c r="J301" s="93"/>
      <c r="K301" s="93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  <c r="X301" s="93"/>
      <c r="Y301" s="93"/>
      <c r="Z301" s="93"/>
    </row>
    <row r="302" spans="1:26" x14ac:dyDescent="0.25">
      <c r="A302" s="93"/>
      <c r="B302" s="93"/>
      <c r="C302" s="93"/>
      <c r="D302" s="93"/>
      <c r="E302" s="93"/>
      <c r="F302" s="93"/>
      <c r="G302" s="93"/>
      <c r="H302" s="93"/>
      <c r="I302" s="93"/>
      <c r="J302" s="93"/>
      <c r="K302" s="93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  <c r="X302" s="93"/>
      <c r="Y302" s="93"/>
      <c r="Z302" s="93"/>
    </row>
    <row r="303" spans="1:26" x14ac:dyDescent="0.25">
      <c r="A303" s="93"/>
      <c r="B303" s="93"/>
      <c r="C303" s="93"/>
      <c r="D303" s="93"/>
      <c r="E303" s="93"/>
      <c r="F303" s="93"/>
      <c r="G303" s="93"/>
      <c r="H303" s="93"/>
      <c r="I303" s="93"/>
      <c r="J303" s="93"/>
      <c r="K303" s="93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  <c r="X303" s="93"/>
      <c r="Y303" s="93"/>
      <c r="Z303" s="93"/>
    </row>
    <row r="304" spans="1:26" x14ac:dyDescent="0.25">
      <c r="A304" s="93"/>
      <c r="B304" s="93"/>
      <c r="C304" s="93"/>
      <c r="D304" s="93"/>
      <c r="E304" s="93"/>
      <c r="F304" s="93"/>
      <c r="G304" s="93"/>
      <c r="H304" s="93"/>
      <c r="I304" s="93"/>
      <c r="J304" s="93"/>
      <c r="K304" s="93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  <c r="X304" s="93"/>
      <c r="Y304" s="93"/>
      <c r="Z304" s="93"/>
    </row>
    <row r="305" spans="1:26" x14ac:dyDescent="0.25">
      <c r="A305" s="93"/>
      <c r="B305" s="93"/>
      <c r="C305" s="93"/>
      <c r="D305" s="93"/>
      <c r="E305" s="93"/>
      <c r="F305" s="93"/>
      <c r="G305" s="93"/>
      <c r="H305" s="93"/>
      <c r="I305" s="93"/>
      <c r="J305" s="93"/>
      <c r="K305" s="93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  <c r="X305" s="93"/>
      <c r="Y305" s="93"/>
      <c r="Z305" s="93"/>
    </row>
    <row r="306" spans="1:26" x14ac:dyDescent="0.25">
      <c r="A306" s="93"/>
      <c r="B306" s="93"/>
      <c r="C306" s="93"/>
      <c r="D306" s="93"/>
      <c r="E306" s="93"/>
      <c r="F306" s="93"/>
      <c r="G306" s="93"/>
      <c r="H306" s="93"/>
      <c r="I306" s="93"/>
      <c r="J306" s="93"/>
      <c r="K306" s="93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  <c r="X306" s="93"/>
      <c r="Y306" s="93"/>
      <c r="Z306" s="93"/>
    </row>
    <row r="307" spans="1:26" x14ac:dyDescent="0.25">
      <c r="A307" s="93"/>
      <c r="B307" s="93"/>
      <c r="C307" s="93"/>
      <c r="D307" s="93"/>
      <c r="E307" s="93"/>
      <c r="F307" s="93"/>
      <c r="G307" s="93"/>
      <c r="H307" s="93"/>
      <c r="I307" s="93"/>
      <c r="J307" s="93"/>
      <c r="K307" s="93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  <c r="X307" s="93"/>
      <c r="Y307" s="93"/>
      <c r="Z307" s="93"/>
    </row>
    <row r="308" spans="1:26" x14ac:dyDescent="0.25">
      <c r="A308" s="93"/>
      <c r="B308" s="93"/>
      <c r="C308" s="93"/>
      <c r="D308" s="93"/>
      <c r="E308" s="93"/>
      <c r="F308" s="93"/>
      <c r="G308" s="93"/>
      <c r="H308" s="93"/>
      <c r="I308" s="93"/>
      <c r="J308" s="93"/>
      <c r="K308" s="93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  <c r="X308" s="93"/>
      <c r="Y308" s="93"/>
      <c r="Z308" s="93"/>
    </row>
    <row r="309" spans="1:26" x14ac:dyDescent="0.25">
      <c r="A309" s="93"/>
      <c r="B309" s="93"/>
      <c r="C309" s="93"/>
      <c r="D309" s="93"/>
      <c r="E309" s="93"/>
      <c r="F309" s="93"/>
      <c r="G309" s="93"/>
      <c r="H309" s="93"/>
      <c r="I309" s="93"/>
      <c r="J309" s="93"/>
      <c r="K309" s="93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  <c r="X309" s="93"/>
      <c r="Y309" s="93"/>
      <c r="Z309" s="93"/>
    </row>
    <row r="310" spans="1:26" x14ac:dyDescent="0.25">
      <c r="A310" s="93"/>
      <c r="B310" s="93"/>
      <c r="C310" s="93"/>
      <c r="D310" s="93"/>
      <c r="E310" s="93"/>
      <c r="F310" s="93"/>
      <c r="G310" s="93"/>
      <c r="H310" s="93"/>
      <c r="I310" s="93"/>
      <c r="J310" s="93"/>
      <c r="K310" s="93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  <c r="X310" s="93"/>
      <c r="Y310" s="93"/>
      <c r="Z310" s="93"/>
    </row>
    <row r="311" spans="1:26" x14ac:dyDescent="0.25">
      <c r="A311" s="93"/>
      <c r="B311" s="93"/>
      <c r="C311" s="93"/>
      <c r="D311" s="93"/>
      <c r="E311" s="93"/>
      <c r="F311" s="93"/>
      <c r="G311" s="93"/>
      <c r="H311" s="93"/>
      <c r="I311" s="93"/>
      <c r="J311" s="93"/>
      <c r="K311" s="93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  <c r="X311" s="93"/>
      <c r="Y311" s="93"/>
      <c r="Z311" s="93"/>
    </row>
    <row r="312" spans="1:26" x14ac:dyDescent="0.25">
      <c r="A312" s="93"/>
      <c r="B312" s="93"/>
      <c r="C312" s="93"/>
      <c r="D312" s="93"/>
      <c r="E312" s="93"/>
      <c r="F312" s="93"/>
      <c r="G312" s="93"/>
      <c r="H312" s="93"/>
      <c r="I312" s="93"/>
      <c r="J312" s="93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</row>
    <row r="313" spans="1:26" x14ac:dyDescent="0.25">
      <c r="A313" s="93"/>
      <c r="B313" s="93"/>
      <c r="C313" s="93"/>
      <c r="D313" s="93"/>
      <c r="E313" s="93"/>
      <c r="F313" s="93"/>
      <c r="G313" s="93"/>
      <c r="H313" s="93"/>
      <c r="I313" s="93"/>
      <c r="J313" s="93"/>
      <c r="K313" s="93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  <c r="X313" s="93"/>
      <c r="Y313" s="93"/>
      <c r="Z313" s="93"/>
    </row>
    <row r="314" spans="1:26" x14ac:dyDescent="0.25">
      <c r="A314" s="93"/>
      <c r="B314" s="93"/>
      <c r="C314" s="93"/>
      <c r="D314" s="93"/>
      <c r="E314" s="93"/>
      <c r="F314" s="93"/>
      <c r="G314" s="93"/>
      <c r="H314" s="93"/>
      <c r="I314" s="93"/>
      <c r="J314" s="93"/>
      <c r="K314" s="93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  <c r="X314" s="93"/>
      <c r="Y314" s="93"/>
      <c r="Z314" s="93"/>
    </row>
    <row r="315" spans="1:26" x14ac:dyDescent="0.25">
      <c r="A315" s="93"/>
      <c r="B315" s="93"/>
      <c r="C315" s="93"/>
      <c r="D315" s="93"/>
      <c r="E315" s="93"/>
      <c r="F315" s="93"/>
      <c r="G315" s="93"/>
      <c r="H315" s="93"/>
      <c r="I315" s="93"/>
      <c r="J315" s="93"/>
      <c r="K315" s="93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  <c r="X315" s="93"/>
      <c r="Y315" s="93"/>
      <c r="Z315" s="93"/>
    </row>
    <row r="316" spans="1:26" x14ac:dyDescent="0.25">
      <c r="A316" s="93"/>
      <c r="B316" s="93"/>
      <c r="C316" s="93"/>
      <c r="D316" s="93"/>
      <c r="E316" s="93"/>
      <c r="F316" s="93"/>
      <c r="G316" s="93"/>
      <c r="H316" s="93"/>
      <c r="I316" s="93"/>
      <c r="J316" s="93"/>
      <c r="K316" s="93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  <c r="X316" s="93"/>
      <c r="Y316" s="93"/>
      <c r="Z316" s="93"/>
    </row>
    <row r="317" spans="1:26" x14ac:dyDescent="0.25">
      <c r="A317" s="93"/>
      <c r="B317" s="93"/>
      <c r="C317" s="93"/>
      <c r="D317" s="93"/>
      <c r="E317" s="93"/>
      <c r="F317" s="93"/>
      <c r="G317" s="93"/>
      <c r="H317" s="93"/>
      <c r="I317" s="93"/>
      <c r="J317" s="93"/>
      <c r="K317" s="93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  <c r="X317" s="93"/>
      <c r="Y317" s="93"/>
      <c r="Z317" s="93"/>
    </row>
    <row r="318" spans="1:26" x14ac:dyDescent="0.25">
      <c r="A318" s="93"/>
      <c r="B318" s="93"/>
      <c r="C318" s="93"/>
      <c r="D318" s="93"/>
      <c r="E318" s="93"/>
      <c r="F318" s="93"/>
      <c r="G318" s="93"/>
      <c r="H318" s="93"/>
      <c r="I318" s="93"/>
      <c r="J318" s="93"/>
      <c r="K318" s="93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  <c r="X318" s="93"/>
      <c r="Y318" s="93"/>
      <c r="Z318" s="93"/>
    </row>
    <row r="319" spans="1:26" x14ac:dyDescent="0.25">
      <c r="A319" s="93"/>
      <c r="B319" s="93"/>
      <c r="C319" s="93"/>
      <c r="D319" s="93"/>
      <c r="E319" s="93"/>
      <c r="F319" s="93"/>
      <c r="G319" s="93"/>
      <c r="H319" s="93"/>
      <c r="I319" s="93"/>
      <c r="J319" s="93"/>
      <c r="K319" s="93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</row>
    <row r="320" spans="1:26" x14ac:dyDescent="0.25">
      <c r="A320" s="93"/>
      <c r="B320" s="93"/>
      <c r="C320" s="93"/>
      <c r="D320" s="93"/>
      <c r="E320" s="93"/>
      <c r="F320" s="93"/>
      <c r="G320" s="93"/>
      <c r="H320" s="93"/>
      <c r="I320" s="93"/>
      <c r="J320" s="93"/>
      <c r="K320" s="93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  <c r="X320" s="93"/>
      <c r="Y320" s="93"/>
      <c r="Z320" s="93"/>
    </row>
    <row r="321" spans="1:26" x14ac:dyDescent="0.25">
      <c r="A321" s="93"/>
      <c r="B321" s="93"/>
      <c r="C321" s="93"/>
      <c r="D321" s="93"/>
      <c r="E321" s="93"/>
      <c r="F321" s="93"/>
      <c r="G321" s="93"/>
      <c r="H321" s="93"/>
      <c r="I321" s="93"/>
      <c r="J321" s="93"/>
      <c r="K321" s="93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  <c r="X321" s="93"/>
      <c r="Y321" s="93"/>
      <c r="Z321" s="93"/>
    </row>
    <row r="322" spans="1:26" x14ac:dyDescent="0.25">
      <c r="A322" s="93"/>
      <c r="B322" s="93"/>
      <c r="C322" s="93"/>
      <c r="D322" s="93"/>
      <c r="E322" s="93"/>
      <c r="F322" s="93"/>
      <c r="G322" s="93"/>
      <c r="H322" s="93"/>
      <c r="I322" s="93"/>
      <c r="J322" s="93"/>
      <c r="K322" s="93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  <c r="X322" s="93"/>
      <c r="Y322" s="93"/>
      <c r="Z322" s="93"/>
    </row>
    <row r="323" spans="1:26" x14ac:dyDescent="0.25">
      <c r="A323" s="93"/>
      <c r="B323" s="93"/>
      <c r="C323" s="93"/>
      <c r="D323" s="93"/>
      <c r="E323" s="93"/>
      <c r="F323" s="93"/>
      <c r="G323" s="93"/>
      <c r="H323" s="93"/>
      <c r="I323" s="93"/>
      <c r="J323" s="93"/>
      <c r="K323" s="93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  <c r="X323" s="93"/>
      <c r="Y323" s="93"/>
      <c r="Z323" s="93"/>
    </row>
    <row r="324" spans="1:26" x14ac:dyDescent="0.25">
      <c r="A324" s="93"/>
      <c r="B324" s="93"/>
      <c r="C324" s="93"/>
      <c r="D324" s="93"/>
      <c r="E324" s="93"/>
      <c r="F324" s="93"/>
      <c r="G324" s="93"/>
      <c r="H324" s="93"/>
      <c r="I324" s="93"/>
      <c r="J324" s="93"/>
      <c r="K324" s="93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  <c r="X324" s="93"/>
      <c r="Y324" s="93"/>
      <c r="Z324" s="93"/>
    </row>
    <row r="325" spans="1:26" x14ac:dyDescent="0.25">
      <c r="A325" s="93"/>
      <c r="B325" s="93"/>
      <c r="C325" s="93"/>
      <c r="D325" s="93"/>
      <c r="E325" s="93"/>
      <c r="F325" s="93"/>
      <c r="G325" s="93"/>
      <c r="H325" s="93"/>
      <c r="I325" s="93"/>
      <c r="J325" s="93"/>
      <c r="K325" s="93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  <c r="X325" s="93"/>
      <c r="Y325" s="93"/>
      <c r="Z325" s="93"/>
    </row>
    <row r="326" spans="1:26" x14ac:dyDescent="0.25">
      <c r="A326" s="93"/>
      <c r="B326" s="93"/>
      <c r="C326" s="93"/>
      <c r="D326" s="93"/>
      <c r="E326" s="93"/>
      <c r="F326" s="93"/>
      <c r="G326" s="93"/>
      <c r="H326" s="93"/>
      <c r="I326" s="93"/>
      <c r="J326" s="93"/>
      <c r="K326" s="93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  <c r="X326" s="93"/>
      <c r="Y326" s="93"/>
      <c r="Z326" s="93"/>
    </row>
    <row r="327" spans="1:26" x14ac:dyDescent="0.25">
      <c r="A327" s="93"/>
      <c r="B327" s="93"/>
      <c r="C327" s="93"/>
      <c r="D327" s="93"/>
      <c r="E327" s="93"/>
      <c r="F327" s="93"/>
      <c r="G327" s="93"/>
      <c r="H327" s="93"/>
      <c r="I327" s="93"/>
      <c r="J327" s="93"/>
      <c r="K327" s="93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</row>
    <row r="328" spans="1:26" x14ac:dyDescent="0.25">
      <c r="A328" s="93"/>
      <c r="B328" s="93"/>
      <c r="C328" s="93"/>
      <c r="D328" s="93"/>
      <c r="E328" s="93"/>
      <c r="F328" s="93"/>
      <c r="G328" s="93"/>
      <c r="H328" s="93"/>
      <c r="I328" s="93"/>
      <c r="J328" s="93"/>
      <c r="K328" s="93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  <c r="X328" s="93"/>
      <c r="Y328" s="93"/>
      <c r="Z328" s="93"/>
    </row>
    <row r="329" spans="1:26" x14ac:dyDescent="0.25">
      <c r="A329" s="93"/>
      <c r="B329" s="93"/>
      <c r="C329" s="93"/>
      <c r="D329" s="93"/>
      <c r="E329" s="93"/>
      <c r="F329" s="93"/>
      <c r="G329" s="93"/>
      <c r="H329" s="93"/>
      <c r="I329" s="93"/>
      <c r="J329" s="93"/>
      <c r="K329" s="93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  <c r="X329" s="93"/>
      <c r="Y329" s="93"/>
      <c r="Z329" s="93"/>
    </row>
    <row r="330" spans="1:26" x14ac:dyDescent="0.25">
      <c r="A330" s="93"/>
      <c r="B330" s="93"/>
      <c r="C330" s="93"/>
      <c r="D330" s="93"/>
      <c r="E330" s="93"/>
      <c r="F330" s="93"/>
      <c r="G330" s="93"/>
      <c r="H330" s="93"/>
      <c r="I330" s="93"/>
      <c r="J330" s="93"/>
      <c r="K330" s="93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  <c r="X330" s="93"/>
      <c r="Y330" s="93"/>
      <c r="Z330" s="93"/>
    </row>
    <row r="331" spans="1:26" x14ac:dyDescent="0.25">
      <c r="A331" s="93"/>
      <c r="B331" s="93"/>
      <c r="C331" s="93"/>
      <c r="D331" s="93"/>
      <c r="E331" s="93"/>
      <c r="F331" s="93"/>
      <c r="G331" s="93"/>
      <c r="H331" s="93"/>
      <c r="I331" s="93"/>
      <c r="J331" s="93"/>
      <c r="K331" s="93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  <c r="X331" s="93"/>
      <c r="Y331" s="93"/>
      <c r="Z331" s="93"/>
    </row>
    <row r="332" spans="1:26" x14ac:dyDescent="0.25">
      <c r="A332" s="93"/>
      <c r="B332" s="93"/>
      <c r="C332" s="93"/>
      <c r="D332" s="93"/>
      <c r="E332" s="93"/>
      <c r="F332" s="93"/>
      <c r="G332" s="93"/>
      <c r="H332" s="93"/>
      <c r="I332" s="93"/>
      <c r="J332" s="93"/>
      <c r="K332" s="93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  <c r="X332" s="93"/>
      <c r="Y332" s="93"/>
      <c r="Z332" s="93"/>
    </row>
    <row r="333" spans="1:26" x14ac:dyDescent="0.25">
      <c r="A333" s="93"/>
      <c r="B333" s="93"/>
      <c r="C333" s="93"/>
      <c r="D333" s="93"/>
      <c r="E333" s="93"/>
      <c r="F333" s="93"/>
      <c r="G333" s="93"/>
      <c r="H333" s="93"/>
      <c r="I333" s="93"/>
      <c r="J333" s="93"/>
      <c r="K333" s="93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  <c r="X333" s="93"/>
      <c r="Y333" s="93"/>
      <c r="Z333" s="93"/>
    </row>
    <row r="334" spans="1:26" x14ac:dyDescent="0.25">
      <c r="A334" s="93"/>
      <c r="B334" s="93"/>
      <c r="C334" s="93"/>
      <c r="D334" s="93"/>
      <c r="E334" s="93"/>
      <c r="F334" s="93"/>
      <c r="G334" s="93"/>
      <c r="H334" s="93"/>
      <c r="I334" s="93"/>
      <c r="J334" s="93"/>
      <c r="K334" s="93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  <c r="X334" s="93"/>
      <c r="Y334" s="93"/>
      <c r="Z334" s="93"/>
    </row>
    <row r="335" spans="1:26" x14ac:dyDescent="0.25">
      <c r="A335" s="93"/>
      <c r="B335" s="93"/>
      <c r="C335" s="93"/>
      <c r="D335" s="93"/>
      <c r="E335" s="93"/>
      <c r="F335" s="93"/>
      <c r="G335" s="93"/>
      <c r="H335" s="93"/>
      <c r="I335" s="93"/>
      <c r="J335" s="93"/>
      <c r="K335" s="93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  <c r="X335" s="93"/>
      <c r="Y335" s="93"/>
      <c r="Z335" s="93"/>
    </row>
    <row r="336" spans="1:26" x14ac:dyDescent="0.25">
      <c r="A336" s="93"/>
      <c r="B336" s="93"/>
      <c r="C336" s="93"/>
      <c r="D336" s="93"/>
      <c r="E336" s="93"/>
      <c r="F336" s="93"/>
      <c r="G336" s="93"/>
      <c r="H336" s="93"/>
      <c r="I336" s="93"/>
      <c r="J336" s="93"/>
      <c r="K336" s="93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  <c r="X336" s="93"/>
      <c r="Y336" s="93"/>
      <c r="Z336" s="93"/>
    </row>
    <row r="337" spans="1:26" x14ac:dyDescent="0.25">
      <c r="A337" s="93"/>
      <c r="B337" s="93"/>
      <c r="C337" s="93"/>
      <c r="D337" s="93"/>
      <c r="E337" s="93"/>
      <c r="F337" s="93"/>
      <c r="G337" s="93"/>
      <c r="H337" s="93"/>
      <c r="I337" s="93"/>
      <c r="J337" s="93"/>
      <c r="K337" s="93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  <c r="X337" s="93"/>
      <c r="Y337" s="93"/>
      <c r="Z337" s="93"/>
    </row>
    <row r="338" spans="1:26" x14ac:dyDescent="0.25">
      <c r="A338" s="93"/>
      <c r="B338" s="93"/>
      <c r="C338" s="93"/>
      <c r="D338" s="93"/>
      <c r="E338" s="93"/>
      <c r="F338" s="93"/>
      <c r="G338" s="93"/>
      <c r="H338" s="93"/>
      <c r="I338" s="93"/>
      <c r="J338" s="93"/>
      <c r="K338" s="93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  <c r="X338" s="93"/>
      <c r="Y338" s="93"/>
      <c r="Z338" s="93"/>
    </row>
    <row r="339" spans="1:26" x14ac:dyDescent="0.25">
      <c r="A339" s="93"/>
      <c r="B339" s="93"/>
      <c r="C339" s="93"/>
      <c r="D339" s="93"/>
      <c r="E339" s="93"/>
      <c r="F339" s="93"/>
      <c r="G339" s="93"/>
      <c r="H339" s="93"/>
      <c r="I339" s="93"/>
      <c r="J339" s="93"/>
      <c r="K339" s="93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  <c r="X339" s="93"/>
      <c r="Y339" s="93"/>
      <c r="Z339" s="93"/>
    </row>
    <row r="340" spans="1:26" x14ac:dyDescent="0.25">
      <c r="A340" s="93"/>
      <c r="B340" s="93"/>
      <c r="C340" s="93"/>
      <c r="D340" s="93"/>
      <c r="E340" s="93"/>
      <c r="F340" s="93"/>
      <c r="G340" s="93"/>
      <c r="H340" s="93"/>
      <c r="I340" s="93"/>
      <c r="J340" s="93"/>
      <c r="K340" s="93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  <c r="X340" s="93"/>
      <c r="Y340" s="93"/>
      <c r="Z340" s="93"/>
    </row>
    <row r="341" spans="1:26" x14ac:dyDescent="0.25">
      <c r="A341" s="93"/>
      <c r="B341" s="93"/>
      <c r="C341" s="93"/>
      <c r="D341" s="93"/>
      <c r="E341" s="93"/>
      <c r="F341" s="93"/>
      <c r="G341" s="93"/>
      <c r="H341" s="93"/>
      <c r="I341" s="93"/>
      <c r="J341" s="93"/>
      <c r="K341" s="93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  <c r="X341" s="93"/>
      <c r="Y341" s="93"/>
      <c r="Z341" s="93"/>
    </row>
    <row r="342" spans="1:26" x14ac:dyDescent="0.25">
      <c r="A342" s="93"/>
      <c r="B342" s="93"/>
      <c r="C342" s="93"/>
      <c r="D342" s="93"/>
      <c r="E342" s="93"/>
      <c r="F342" s="93"/>
      <c r="G342" s="93"/>
      <c r="H342" s="93"/>
      <c r="I342" s="93"/>
      <c r="J342" s="93"/>
      <c r="K342" s="93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  <c r="X342" s="93"/>
      <c r="Y342" s="93"/>
      <c r="Z342" s="93"/>
    </row>
    <row r="343" spans="1:26" x14ac:dyDescent="0.25">
      <c r="A343" s="93"/>
      <c r="B343" s="93"/>
      <c r="C343" s="93"/>
      <c r="D343" s="93"/>
      <c r="E343" s="93"/>
      <c r="F343" s="93"/>
      <c r="G343" s="93"/>
      <c r="H343" s="93"/>
      <c r="I343" s="93"/>
      <c r="J343" s="93"/>
      <c r="K343" s="93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  <c r="X343" s="93"/>
      <c r="Y343" s="93"/>
      <c r="Z343" s="93"/>
    </row>
    <row r="344" spans="1:26" x14ac:dyDescent="0.25">
      <c r="A344" s="93"/>
      <c r="B344" s="93"/>
      <c r="C344" s="93"/>
      <c r="D344" s="93"/>
      <c r="E344" s="93"/>
      <c r="F344" s="93"/>
      <c r="G344" s="93"/>
      <c r="H344" s="93"/>
      <c r="I344" s="93"/>
      <c r="J344" s="93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</row>
    <row r="345" spans="1:26" x14ac:dyDescent="0.25">
      <c r="A345" s="93"/>
      <c r="B345" s="93"/>
      <c r="C345" s="93"/>
      <c r="D345" s="93"/>
      <c r="E345" s="93"/>
      <c r="F345" s="93"/>
      <c r="G345" s="93"/>
      <c r="H345" s="93"/>
      <c r="I345" s="93"/>
      <c r="J345" s="93"/>
      <c r="K345" s="93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  <c r="X345" s="93"/>
      <c r="Y345" s="93"/>
      <c r="Z345" s="93"/>
    </row>
    <row r="346" spans="1:26" x14ac:dyDescent="0.25">
      <c r="A346" s="93"/>
      <c r="B346" s="93"/>
      <c r="C346" s="93"/>
      <c r="D346" s="93"/>
      <c r="E346" s="93"/>
      <c r="F346" s="93"/>
      <c r="G346" s="93"/>
      <c r="H346" s="93"/>
      <c r="I346" s="93"/>
      <c r="J346" s="93"/>
      <c r="K346" s="93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  <c r="X346" s="93"/>
      <c r="Y346" s="93"/>
      <c r="Z346" s="93"/>
    </row>
    <row r="347" spans="1:26" x14ac:dyDescent="0.25">
      <c r="A347" s="93"/>
      <c r="B347" s="93"/>
      <c r="C347" s="93"/>
      <c r="D347" s="93"/>
      <c r="E347" s="93"/>
      <c r="F347" s="93"/>
      <c r="G347" s="93"/>
      <c r="H347" s="93"/>
      <c r="I347" s="93"/>
      <c r="J347" s="93"/>
      <c r="K347" s="93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  <c r="X347" s="93"/>
      <c r="Y347" s="93"/>
      <c r="Z347" s="93"/>
    </row>
    <row r="348" spans="1:26" x14ac:dyDescent="0.25">
      <c r="A348" s="93"/>
      <c r="B348" s="93"/>
      <c r="C348" s="93"/>
      <c r="D348" s="93"/>
      <c r="E348" s="93"/>
      <c r="F348" s="93"/>
      <c r="G348" s="93"/>
      <c r="H348" s="93"/>
      <c r="I348" s="93"/>
      <c r="J348" s="93"/>
      <c r="K348" s="93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  <c r="X348" s="93"/>
      <c r="Y348" s="93"/>
      <c r="Z348" s="93"/>
    </row>
    <row r="349" spans="1:26" x14ac:dyDescent="0.25">
      <c r="A349" s="93"/>
      <c r="B349" s="93"/>
      <c r="C349" s="93"/>
      <c r="D349" s="93"/>
      <c r="E349" s="93"/>
      <c r="F349" s="93"/>
      <c r="G349" s="93"/>
      <c r="H349" s="93"/>
      <c r="I349" s="93"/>
      <c r="J349" s="93"/>
      <c r="K349" s="93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  <c r="X349" s="93"/>
      <c r="Y349" s="93"/>
      <c r="Z349" s="93"/>
    </row>
    <row r="350" spans="1:26" x14ac:dyDescent="0.25">
      <c r="A350" s="93"/>
      <c r="B350" s="93"/>
      <c r="C350" s="93"/>
      <c r="D350" s="93"/>
      <c r="E350" s="93"/>
      <c r="F350" s="93"/>
      <c r="G350" s="93"/>
      <c r="H350" s="93"/>
      <c r="I350" s="93"/>
      <c r="J350" s="93"/>
      <c r="K350" s="93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  <c r="X350" s="93"/>
      <c r="Y350" s="93"/>
      <c r="Z350" s="93"/>
    </row>
    <row r="351" spans="1:26" x14ac:dyDescent="0.25">
      <c r="A351" s="93"/>
      <c r="B351" s="93"/>
      <c r="C351" s="93"/>
      <c r="D351" s="93"/>
      <c r="E351" s="93"/>
      <c r="F351" s="93"/>
      <c r="G351" s="93"/>
      <c r="H351" s="93"/>
      <c r="I351" s="93"/>
      <c r="J351" s="93"/>
      <c r="K351" s="93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  <c r="X351" s="93"/>
      <c r="Y351" s="93"/>
      <c r="Z351" s="93"/>
    </row>
    <row r="352" spans="1:26" x14ac:dyDescent="0.25">
      <c r="A352" s="93"/>
      <c r="B352" s="93"/>
      <c r="C352" s="93"/>
      <c r="D352" s="93"/>
      <c r="E352" s="93"/>
      <c r="F352" s="93"/>
      <c r="G352" s="93"/>
      <c r="H352" s="93"/>
      <c r="I352" s="93"/>
      <c r="J352" s="93"/>
      <c r="K352" s="93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  <c r="X352" s="93"/>
      <c r="Y352" s="93"/>
      <c r="Z352" s="93"/>
    </row>
    <row r="353" spans="1:26" x14ac:dyDescent="0.25">
      <c r="A353" s="93"/>
      <c r="B353" s="93"/>
      <c r="C353" s="93"/>
      <c r="D353" s="93"/>
      <c r="E353" s="93"/>
      <c r="F353" s="93"/>
      <c r="G353" s="93"/>
      <c r="H353" s="93"/>
      <c r="I353" s="93"/>
      <c r="J353" s="93"/>
      <c r="K353" s="93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  <c r="X353" s="93"/>
      <c r="Y353" s="93"/>
      <c r="Z353" s="93"/>
    </row>
    <row r="354" spans="1:26" x14ac:dyDescent="0.25">
      <c r="A354" s="93"/>
      <c r="B354" s="93"/>
      <c r="C354" s="93"/>
      <c r="D354" s="93"/>
      <c r="E354" s="93"/>
      <c r="F354" s="93"/>
      <c r="G354" s="93"/>
      <c r="H354" s="93"/>
      <c r="I354" s="93"/>
      <c r="J354" s="93"/>
      <c r="K354" s="93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  <c r="X354" s="93"/>
      <c r="Y354" s="93"/>
      <c r="Z354" s="93"/>
    </row>
    <row r="355" spans="1:26" x14ac:dyDescent="0.25">
      <c r="A355" s="93"/>
      <c r="B355" s="93"/>
      <c r="C355" s="93"/>
      <c r="D355" s="93"/>
      <c r="E355" s="93"/>
      <c r="F355" s="93"/>
      <c r="G355" s="93"/>
      <c r="H355" s="93"/>
      <c r="I355" s="93"/>
      <c r="J355" s="93"/>
      <c r="K355" s="93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  <c r="X355" s="93"/>
      <c r="Y355" s="93"/>
      <c r="Z355" s="93"/>
    </row>
    <row r="356" spans="1:26" x14ac:dyDescent="0.25">
      <c r="A356" s="93"/>
      <c r="B356" s="93"/>
      <c r="C356" s="93"/>
      <c r="D356" s="93"/>
      <c r="E356" s="93"/>
      <c r="F356" s="93"/>
      <c r="G356" s="93"/>
      <c r="H356" s="93"/>
      <c r="I356" s="93"/>
      <c r="J356" s="93"/>
      <c r="K356" s="93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  <c r="X356" s="93"/>
      <c r="Y356" s="93"/>
      <c r="Z356" s="93"/>
    </row>
    <row r="357" spans="1:26" x14ac:dyDescent="0.25">
      <c r="A357" s="93"/>
      <c r="B357" s="93"/>
      <c r="C357" s="93"/>
      <c r="D357" s="93"/>
      <c r="E357" s="93"/>
      <c r="F357" s="93"/>
      <c r="G357" s="93"/>
      <c r="H357" s="93"/>
      <c r="I357" s="93"/>
      <c r="J357" s="93"/>
      <c r="K357" s="93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  <c r="X357" s="93"/>
      <c r="Y357" s="93"/>
      <c r="Z357" s="93"/>
    </row>
    <row r="358" spans="1:26" x14ac:dyDescent="0.25">
      <c r="A358" s="93"/>
      <c r="B358" s="93"/>
      <c r="C358" s="93"/>
      <c r="D358" s="93"/>
      <c r="E358" s="93"/>
      <c r="F358" s="93"/>
      <c r="G358" s="93"/>
      <c r="H358" s="93"/>
      <c r="I358" s="93"/>
      <c r="J358" s="93"/>
      <c r="K358" s="93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  <c r="X358" s="93"/>
      <c r="Y358" s="93"/>
      <c r="Z358" s="93"/>
    </row>
    <row r="359" spans="1:26" x14ac:dyDescent="0.25">
      <c r="A359" s="93"/>
      <c r="B359" s="93"/>
      <c r="C359" s="93"/>
      <c r="D359" s="93"/>
      <c r="E359" s="93"/>
      <c r="F359" s="93"/>
      <c r="G359" s="93"/>
      <c r="H359" s="93"/>
      <c r="I359" s="93"/>
      <c r="J359" s="93"/>
      <c r="K359" s="93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  <c r="X359" s="93"/>
      <c r="Y359" s="93"/>
      <c r="Z359" s="93"/>
    </row>
    <row r="360" spans="1:26" x14ac:dyDescent="0.25">
      <c r="A360" s="93"/>
      <c r="B360" s="93"/>
      <c r="C360" s="93"/>
      <c r="D360" s="93"/>
      <c r="E360" s="93"/>
      <c r="F360" s="93"/>
      <c r="G360" s="93"/>
      <c r="H360" s="93"/>
      <c r="I360" s="93"/>
      <c r="J360" s="93"/>
      <c r="K360" s="93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  <c r="X360" s="93"/>
      <c r="Y360" s="93"/>
      <c r="Z360" s="93"/>
    </row>
    <row r="361" spans="1:26" x14ac:dyDescent="0.25">
      <c r="A361" s="93"/>
      <c r="B361" s="93"/>
      <c r="C361" s="93"/>
      <c r="D361" s="93"/>
      <c r="E361" s="93"/>
      <c r="F361" s="93"/>
      <c r="G361" s="93"/>
      <c r="H361" s="93"/>
      <c r="I361" s="93"/>
      <c r="J361" s="93"/>
      <c r="K361" s="93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  <c r="X361" s="93"/>
      <c r="Y361" s="93"/>
      <c r="Z361" s="93"/>
    </row>
    <row r="362" spans="1:26" x14ac:dyDescent="0.25">
      <c r="A362" s="93"/>
      <c r="B362" s="93"/>
      <c r="C362" s="93"/>
      <c r="D362" s="93"/>
      <c r="E362" s="93"/>
      <c r="F362" s="93"/>
      <c r="G362" s="93"/>
      <c r="H362" s="93"/>
      <c r="I362" s="93"/>
      <c r="J362" s="93"/>
      <c r="K362" s="93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  <c r="X362" s="93"/>
      <c r="Y362" s="93"/>
      <c r="Z362" s="93"/>
    </row>
    <row r="363" spans="1:26" x14ac:dyDescent="0.25">
      <c r="A363" s="93"/>
      <c r="B363" s="93"/>
      <c r="C363" s="93"/>
      <c r="D363" s="93"/>
      <c r="E363" s="93"/>
      <c r="F363" s="93"/>
      <c r="G363" s="93"/>
      <c r="H363" s="93"/>
      <c r="I363" s="93"/>
      <c r="J363" s="93"/>
      <c r="K363" s="93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  <c r="X363" s="93"/>
      <c r="Y363" s="93"/>
      <c r="Z363" s="93"/>
    </row>
    <row r="364" spans="1:26" x14ac:dyDescent="0.25">
      <c r="A364" s="93"/>
      <c r="B364" s="93"/>
      <c r="C364" s="93"/>
      <c r="D364" s="93"/>
      <c r="E364" s="93"/>
      <c r="F364" s="93"/>
      <c r="G364" s="93"/>
      <c r="H364" s="93"/>
      <c r="I364" s="93"/>
      <c r="J364" s="93"/>
      <c r="K364" s="93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  <c r="X364" s="93"/>
      <c r="Y364" s="93"/>
      <c r="Z364" s="93"/>
    </row>
    <row r="365" spans="1:26" x14ac:dyDescent="0.25">
      <c r="A365" s="93"/>
      <c r="B365" s="93"/>
      <c r="C365" s="93"/>
      <c r="D365" s="93"/>
      <c r="E365" s="93"/>
      <c r="F365" s="93"/>
      <c r="G365" s="93"/>
      <c r="H365" s="93"/>
      <c r="I365" s="93"/>
      <c r="J365" s="93"/>
      <c r="K365" s="93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  <c r="X365" s="93"/>
      <c r="Y365" s="93"/>
      <c r="Z365" s="93"/>
    </row>
    <row r="366" spans="1:26" x14ac:dyDescent="0.25">
      <c r="A366" s="93"/>
      <c r="B366" s="93"/>
      <c r="C366" s="93"/>
      <c r="D366" s="93"/>
      <c r="E366" s="93"/>
      <c r="F366" s="93"/>
      <c r="G366" s="93"/>
      <c r="H366" s="93"/>
      <c r="I366" s="93"/>
      <c r="J366" s="93"/>
      <c r="K366" s="93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  <c r="X366" s="93"/>
      <c r="Y366" s="93"/>
      <c r="Z366" s="93"/>
    </row>
    <row r="367" spans="1:26" x14ac:dyDescent="0.25">
      <c r="A367" s="93"/>
      <c r="B367" s="93"/>
      <c r="C367" s="93"/>
      <c r="D367" s="93"/>
      <c r="E367" s="93"/>
      <c r="F367" s="93"/>
      <c r="G367" s="93"/>
      <c r="H367" s="93"/>
      <c r="I367" s="93"/>
      <c r="J367" s="93"/>
      <c r="K367" s="93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  <c r="X367" s="93"/>
      <c r="Y367" s="93"/>
      <c r="Z367" s="93"/>
    </row>
    <row r="368" spans="1:26" x14ac:dyDescent="0.25">
      <c r="A368" s="93"/>
      <c r="B368" s="93"/>
      <c r="C368" s="93"/>
      <c r="D368" s="93"/>
      <c r="E368" s="93"/>
      <c r="F368" s="93"/>
      <c r="G368" s="93"/>
      <c r="H368" s="93"/>
      <c r="I368" s="93"/>
      <c r="J368" s="93"/>
      <c r="K368" s="93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  <c r="X368" s="93"/>
      <c r="Y368" s="93"/>
      <c r="Z368" s="93"/>
    </row>
    <row r="369" spans="1:26" x14ac:dyDescent="0.25">
      <c r="A369" s="93"/>
      <c r="B369" s="93"/>
      <c r="C369" s="93"/>
      <c r="D369" s="93"/>
      <c r="E369" s="93"/>
      <c r="F369" s="93"/>
      <c r="G369" s="93"/>
      <c r="H369" s="93"/>
      <c r="I369" s="93"/>
      <c r="J369" s="93"/>
      <c r="K369" s="93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  <c r="X369" s="93"/>
      <c r="Y369" s="93"/>
      <c r="Z369" s="93"/>
    </row>
    <row r="370" spans="1:26" x14ac:dyDescent="0.25">
      <c r="A370" s="93"/>
      <c r="B370" s="93"/>
      <c r="C370" s="93"/>
      <c r="D370" s="93"/>
      <c r="E370" s="93"/>
      <c r="F370" s="93"/>
      <c r="G370" s="93"/>
      <c r="H370" s="93"/>
      <c r="I370" s="93"/>
      <c r="J370" s="93"/>
      <c r="K370" s="93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  <c r="X370" s="93"/>
      <c r="Y370" s="93"/>
      <c r="Z370" s="93"/>
    </row>
    <row r="371" spans="1:26" x14ac:dyDescent="0.25">
      <c r="A371" s="93"/>
      <c r="B371" s="93"/>
      <c r="C371" s="93"/>
      <c r="D371" s="93"/>
      <c r="E371" s="93"/>
      <c r="F371" s="93"/>
      <c r="G371" s="93"/>
      <c r="H371" s="93"/>
      <c r="I371" s="93"/>
      <c r="J371" s="93"/>
      <c r="K371" s="93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  <c r="X371" s="93"/>
      <c r="Y371" s="93"/>
      <c r="Z371" s="93"/>
    </row>
    <row r="372" spans="1:26" x14ac:dyDescent="0.25">
      <c r="A372" s="93"/>
      <c r="B372" s="93"/>
      <c r="C372" s="93"/>
      <c r="D372" s="93"/>
      <c r="E372" s="93"/>
      <c r="F372" s="93"/>
      <c r="G372" s="93"/>
      <c r="H372" s="93"/>
      <c r="I372" s="93"/>
      <c r="J372" s="93"/>
      <c r="K372" s="93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  <c r="X372" s="93"/>
      <c r="Y372" s="93"/>
      <c r="Z372" s="93"/>
    </row>
    <row r="373" spans="1:26" x14ac:dyDescent="0.25">
      <c r="A373" s="93"/>
      <c r="B373" s="93"/>
      <c r="C373" s="93"/>
      <c r="D373" s="93"/>
      <c r="E373" s="93"/>
      <c r="F373" s="93"/>
      <c r="G373" s="93"/>
      <c r="H373" s="93"/>
      <c r="I373" s="93"/>
      <c r="J373" s="93"/>
      <c r="K373" s="93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  <c r="X373" s="93"/>
      <c r="Y373" s="93"/>
      <c r="Z373" s="93"/>
    </row>
    <row r="374" spans="1:26" x14ac:dyDescent="0.25">
      <c r="A374" s="93"/>
      <c r="B374" s="93"/>
      <c r="C374" s="93"/>
      <c r="D374" s="93"/>
      <c r="E374" s="93"/>
      <c r="F374" s="93"/>
      <c r="G374" s="93"/>
      <c r="H374" s="93"/>
      <c r="I374" s="93"/>
      <c r="J374" s="93"/>
      <c r="K374" s="93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  <c r="X374" s="93"/>
      <c r="Y374" s="93"/>
      <c r="Z374" s="93"/>
    </row>
    <row r="375" spans="1:26" x14ac:dyDescent="0.25">
      <c r="A375" s="93"/>
      <c r="B375" s="93"/>
      <c r="C375" s="93"/>
      <c r="D375" s="93"/>
      <c r="E375" s="93"/>
      <c r="F375" s="93"/>
      <c r="G375" s="93"/>
      <c r="H375" s="93"/>
      <c r="I375" s="93"/>
      <c r="J375" s="93"/>
      <c r="K375" s="93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  <c r="X375" s="93"/>
      <c r="Y375" s="93"/>
      <c r="Z375" s="93"/>
    </row>
    <row r="376" spans="1:26" x14ac:dyDescent="0.25">
      <c r="A376" s="93"/>
      <c r="B376" s="93"/>
      <c r="C376" s="93"/>
      <c r="D376" s="93"/>
      <c r="E376" s="93"/>
      <c r="F376" s="93"/>
      <c r="G376" s="93"/>
      <c r="H376" s="93"/>
      <c r="I376" s="93"/>
      <c r="J376" s="93"/>
      <c r="K376" s="93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  <c r="X376" s="93"/>
      <c r="Y376" s="93"/>
      <c r="Z376" s="93"/>
    </row>
    <row r="377" spans="1:26" x14ac:dyDescent="0.25">
      <c r="A377" s="93"/>
      <c r="B377" s="93"/>
      <c r="C377" s="93"/>
      <c r="D377" s="93"/>
      <c r="E377" s="93"/>
      <c r="F377" s="93"/>
      <c r="G377" s="93"/>
      <c r="H377" s="93"/>
      <c r="I377" s="93"/>
      <c r="J377" s="93"/>
      <c r="K377" s="93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  <c r="X377" s="93"/>
      <c r="Y377" s="93"/>
      <c r="Z377" s="93"/>
    </row>
    <row r="378" spans="1:26" x14ac:dyDescent="0.25">
      <c r="A378" s="93"/>
      <c r="B378" s="93"/>
      <c r="C378" s="93"/>
      <c r="D378" s="93"/>
      <c r="E378" s="93"/>
      <c r="F378" s="93"/>
      <c r="G378" s="93"/>
      <c r="H378" s="93"/>
      <c r="I378" s="93"/>
      <c r="J378" s="93"/>
      <c r="K378" s="93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  <c r="X378" s="93"/>
      <c r="Y378" s="93"/>
      <c r="Z378" s="93"/>
    </row>
    <row r="379" spans="1:26" x14ac:dyDescent="0.25">
      <c r="A379" s="93"/>
      <c r="B379" s="93"/>
      <c r="C379" s="93"/>
      <c r="D379" s="93"/>
      <c r="E379" s="93"/>
      <c r="F379" s="93"/>
      <c r="G379" s="93"/>
      <c r="H379" s="93"/>
      <c r="I379" s="93"/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</row>
    <row r="380" spans="1:26" x14ac:dyDescent="0.25">
      <c r="A380" s="93"/>
      <c r="B380" s="93"/>
      <c r="C380" s="93"/>
      <c r="D380" s="93"/>
      <c r="E380" s="93"/>
      <c r="F380" s="93"/>
      <c r="G380" s="93"/>
      <c r="H380" s="93"/>
      <c r="I380" s="93"/>
      <c r="J380" s="93"/>
      <c r="K380" s="93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  <c r="X380" s="93"/>
      <c r="Y380" s="93"/>
      <c r="Z380" s="93"/>
    </row>
    <row r="381" spans="1:26" x14ac:dyDescent="0.25">
      <c r="A381" s="93"/>
      <c r="B381" s="93"/>
      <c r="C381" s="93"/>
      <c r="D381" s="93"/>
      <c r="E381" s="93"/>
      <c r="F381" s="93"/>
      <c r="G381" s="93"/>
      <c r="H381" s="93"/>
      <c r="I381" s="93"/>
      <c r="J381" s="93"/>
      <c r="K381" s="93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  <c r="X381" s="93"/>
      <c r="Y381" s="93"/>
      <c r="Z381" s="93"/>
    </row>
    <row r="382" spans="1:26" x14ac:dyDescent="0.25">
      <c r="A382" s="93"/>
      <c r="B382" s="93"/>
      <c r="C382" s="93"/>
      <c r="D382" s="93"/>
      <c r="E382" s="93"/>
      <c r="F382" s="93"/>
      <c r="G382" s="93"/>
      <c r="H382" s="93"/>
      <c r="I382" s="93"/>
      <c r="J382" s="93"/>
      <c r="K382" s="93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  <c r="X382" s="93"/>
      <c r="Y382" s="93"/>
      <c r="Z382" s="93"/>
    </row>
    <row r="383" spans="1:26" x14ac:dyDescent="0.25">
      <c r="A383" s="93"/>
      <c r="B383" s="93"/>
      <c r="C383" s="93"/>
      <c r="D383" s="93"/>
      <c r="E383" s="93"/>
      <c r="F383" s="93"/>
      <c r="G383" s="93"/>
      <c r="H383" s="93"/>
      <c r="I383" s="93"/>
      <c r="J383" s="93"/>
      <c r="K383" s="93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  <c r="X383" s="93"/>
      <c r="Y383" s="93"/>
      <c r="Z383" s="93"/>
    </row>
    <row r="384" spans="1:26" x14ac:dyDescent="0.25">
      <c r="A384" s="93"/>
      <c r="B384" s="93"/>
      <c r="C384" s="93"/>
      <c r="D384" s="93"/>
      <c r="E384" s="93"/>
      <c r="F384" s="93"/>
      <c r="G384" s="93"/>
      <c r="H384" s="93"/>
      <c r="I384" s="93"/>
      <c r="J384" s="93"/>
      <c r="K384" s="93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  <c r="X384" s="93"/>
      <c r="Y384" s="93"/>
      <c r="Z384" s="93"/>
    </row>
    <row r="385" spans="1:26" x14ac:dyDescent="0.25">
      <c r="A385" s="93"/>
      <c r="B385" s="93"/>
      <c r="C385" s="93"/>
      <c r="D385" s="93"/>
      <c r="E385" s="93"/>
      <c r="F385" s="93"/>
      <c r="G385" s="93"/>
      <c r="H385" s="93"/>
      <c r="I385" s="93"/>
      <c r="J385" s="93"/>
      <c r="K385" s="93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  <c r="X385" s="93"/>
      <c r="Y385" s="93"/>
      <c r="Z385" s="93"/>
    </row>
    <row r="386" spans="1:26" x14ac:dyDescent="0.25">
      <c r="A386" s="93"/>
      <c r="B386" s="93"/>
      <c r="C386" s="93"/>
      <c r="D386" s="93"/>
      <c r="E386" s="93"/>
      <c r="F386" s="93"/>
      <c r="G386" s="93"/>
      <c r="H386" s="93"/>
      <c r="I386" s="93"/>
      <c r="J386" s="93"/>
      <c r="K386" s="93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  <c r="X386" s="93"/>
      <c r="Y386" s="93"/>
      <c r="Z386" s="93"/>
    </row>
    <row r="387" spans="1:26" x14ac:dyDescent="0.25">
      <c r="A387" s="93"/>
      <c r="B387" s="93"/>
      <c r="C387" s="93"/>
      <c r="D387" s="93"/>
      <c r="E387" s="93"/>
      <c r="F387" s="93"/>
      <c r="G387" s="93"/>
      <c r="H387" s="93"/>
      <c r="I387" s="93"/>
      <c r="J387" s="93"/>
      <c r="K387" s="93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  <c r="X387" s="93"/>
      <c r="Y387" s="93"/>
      <c r="Z387" s="93"/>
    </row>
    <row r="388" spans="1:26" x14ac:dyDescent="0.25">
      <c r="A388" s="93"/>
      <c r="B388" s="93"/>
      <c r="C388" s="93"/>
      <c r="D388" s="93"/>
      <c r="E388" s="93"/>
      <c r="F388" s="93"/>
      <c r="G388" s="93"/>
      <c r="H388" s="93"/>
      <c r="I388" s="93"/>
      <c r="J388" s="93"/>
      <c r="K388" s="93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  <c r="X388" s="93"/>
      <c r="Y388" s="93"/>
      <c r="Z388" s="93"/>
    </row>
    <row r="389" spans="1:26" x14ac:dyDescent="0.25">
      <c r="A389" s="93"/>
      <c r="B389" s="93"/>
      <c r="C389" s="93"/>
      <c r="D389" s="93"/>
      <c r="E389" s="93"/>
      <c r="F389" s="93"/>
      <c r="G389" s="93"/>
      <c r="H389" s="93"/>
      <c r="I389" s="93"/>
      <c r="J389" s="93"/>
      <c r="K389" s="93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  <c r="X389" s="93"/>
      <c r="Y389" s="93"/>
      <c r="Z389" s="93"/>
    </row>
    <row r="390" spans="1:26" x14ac:dyDescent="0.25">
      <c r="A390" s="93"/>
      <c r="B390" s="93"/>
      <c r="C390" s="93"/>
      <c r="D390" s="93"/>
      <c r="E390" s="93"/>
      <c r="F390" s="93"/>
      <c r="G390" s="93"/>
      <c r="H390" s="93"/>
      <c r="I390" s="93"/>
      <c r="J390" s="93"/>
      <c r="K390" s="93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  <c r="X390" s="93"/>
      <c r="Y390" s="93"/>
      <c r="Z390" s="93"/>
    </row>
    <row r="391" spans="1:26" x14ac:dyDescent="0.25">
      <c r="A391" s="93"/>
      <c r="B391" s="93"/>
      <c r="C391" s="93"/>
      <c r="D391" s="93"/>
      <c r="E391" s="93"/>
      <c r="F391" s="93"/>
      <c r="G391" s="93"/>
      <c r="H391" s="93"/>
      <c r="I391" s="93"/>
      <c r="J391" s="93"/>
      <c r="K391" s="93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  <c r="X391" s="93"/>
      <c r="Y391" s="93"/>
      <c r="Z391" s="93"/>
    </row>
    <row r="392" spans="1:26" x14ac:dyDescent="0.25">
      <c r="A392" s="93"/>
      <c r="B392" s="93"/>
      <c r="C392" s="93"/>
      <c r="D392" s="93"/>
      <c r="E392" s="93"/>
      <c r="F392" s="93"/>
      <c r="G392" s="93"/>
      <c r="H392" s="93"/>
      <c r="I392" s="93"/>
      <c r="J392" s="93"/>
      <c r="K392" s="93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  <c r="X392" s="93"/>
      <c r="Y392" s="93"/>
      <c r="Z392" s="93"/>
    </row>
    <row r="393" spans="1:26" x14ac:dyDescent="0.25">
      <c r="A393" s="93"/>
      <c r="B393" s="93"/>
      <c r="C393" s="93"/>
      <c r="D393" s="93"/>
      <c r="E393" s="93"/>
      <c r="F393" s="93"/>
      <c r="G393" s="93"/>
      <c r="H393" s="93"/>
      <c r="I393" s="93"/>
      <c r="J393" s="93"/>
      <c r="K393" s="93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  <c r="X393" s="93"/>
      <c r="Y393" s="93"/>
      <c r="Z393" s="93"/>
    </row>
    <row r="394" spans="1:26" x14ac:dyDescent="0.25">
      <c r="A394" s="93"/>
      <c r="B394" s="93"/>
      <c r="C394" s="93"/>
      <c r="D394" s="93"/>
      <c r="E394" s="93"/>
      <c r="F394" s="93"/>
      <c r="G394" s="93"/>
      <c r="H394" s="93"/>
      <c r="I394" s="93"/>
      <c r="J394" s="93"/>
      <c r="K394" s="93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  <c r="X394" s="93"/>
      <c r="Y394" s="93"/>
      <c r="Z394" s="93"/>
    </row>
    <row r="395" spans="1:26" x14ac:dyDescent="0.25">
      <c r="A395" s="93"/>
      <c r="B395" s="93"/>
      <c r="C395" s="93"/>
      <c r="D395" s="93"/>
      <c r="E395" s="93"/>
      <c r="F395" s="93"/>
      <c r="G395" s="93"/>
      <c r="H395" s="93"/>
      <c r="I395" s="93"/>
      <c r="J395" s="93"/>
      <c r="K395" s="93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  <c r="X395" s="93"/>
      <c r="Y395" s="93"/>
      <c r="Z395" s="93"/>
    </row>
    <row r="396" spans="1:26" x14ac:dyDescent="0.25">
      <c r="A396" s="93"/>
      <c r="B396" s="93"/>
      <c r="C396" s="93"/>
      <c r="D396" s="93"/>
      <c r="E396" s="93"/>
      <c r="F396" s="93"/>
      <c r="G396" s="93"/>
      <c r="H396" s="93"/>
      <c r="I396" s="93"/>
      <c r="J396" s="93"/>
      <c r="K396" s="93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  <c r="X396" s="93"/>
      <c r="Y396" s="93"/>
      <c r="Z396" s="93"/>
    </row>
    <row r="397" spans="1:26" x14ac:dyDescent="0.25">
      <c r="A397" s="93"/>
      <c r="B397" s="93"/>
      <c r="C397" s="93"/>
      <c r="D397" s="93"/>
      <c r="E397" s="93"/>
      <c r="F397" s="93"/>
      <c r="G397" s="93"/>
      <c r="H397" s="93"/>
      <c r="I397" s="93"/>
      <c r="J397" s="93"/>
      <c r="K397" s="93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  <c r="X397" s="93"/>
      <c r="Y397" s="93"/>
      <c r="Z397" s="93"/>
    </row>
    <row r="398" spans="1:26" x14ac:dyDescent="0.25">
      <c r="A398" s="93"/>
      <c r="B398" s="93"/>
      <c r="C398" s="93"/>
      <c r="D398" s="93"/>
      <c r="E398" s="93"/>
      <c r="F398" s="93"/>
      <c r="G398" s="93"/>
      <c r="H398" s="93"/>
      <c r="I398" s="93"/>
      <c r="J398" s="93"/>
      <c r="K398" s="93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  <c r="X398" s="93"/>
      <c r="Y398" s="93"/>
      <c r="Z398" s="93"/>
    </row>
    <row r="399" spans="1:26" x14ac:dyDescent="0.25">
      <c r="A399" s="93"/>
      <c r="B399" s="93"/>
      <c r="C399" s="93"/>
      <c r="D399" s="93"/>
      <c r="E399" s="93"/>
      <c r="F399" s="93"/>
      <c r="G399" s="93"/>
      <c r="H399" s="93"/>
      <c r="I399" s="93"/>
      <c r="J399" s="93"/>
      <c r="K399" s="93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  <c r="X399" s="93"/>
      <c r="Y399" s="93"/>
      <c r="Z399" s="93"/>
    </row>
    <row r="400" spans="1:26" x14ac:dyDescent="0.25">
      <c r="A400" s="93"/>
      <c r="B400" s="93"/>
      <c r="C400" s="93"/>
      <c r="D400" s="93"/>
      <c r="E400" s="93"/>
      <c r="F400" s="93"/>
      <c r="G400" s="93"/>
      <c r="H400" s="93"/>
      <c r="I400" s="93"/>
      <c r="J400" s="93"/>
      <c r="K400" s="93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  <c r="X400" s="93"/>
      <c r="Y400" s="93"/>
      <c r="Z400" s="93"/>
    </row>
    <row r="401" spans="1:26" x14ac:dyDescent="0.25">
      <c r="A401" s="93"/>
      <c r="B401" s="93"/>
      <c r="C401" s="93"/>
      <c r="D401" s="93"/>
      <c r="E401" s="93"/>
      <c r="F401" s="93"/>
      <c r="G401" s="93"/>
      <c r="H401" s="93"/>
      <c r="I401" s="93"/>
      <c r="J401" s="93"/>
      <c r="K401" s="93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  <c r="X401" s="93"/>
      <c r="Y401" s="93"/>
      <c r="Z401" s="93"/>
    </row>
    <row r="402" spans="1:26" x14ac:dyDescent="0.25">
      <c r="A402" s="93"/>
      <c r="B402" s="93"/>
      <c r="C402" s="93"/>
      <c r="D402" s="93"/>
      <c r="E402" s="93"/>
      <c r="F402" s="93"/>
      <c r="G402" s="93"/>
      <c r="H402" s="93"/>
      <c r="I402" s="93"/>
      <c r="J402" s="93"/>
      <c r="K402" s="93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  <c r="X402" s="93"/>
      <c r="Y402" s="93"/>
      <c r="Z402" s="93"/>
    </row>
    <row r="403" spans="1:26" x14ac:dyDescent="0.25">
      <c r="A403" s="93"/>
      <c r="B403" s="93"/>
      <c r="C403" s="93"/>
      <c r="D403" s="93"/>
      <c r="E403" s="93"/>
      <c r="F403" s="93"/>
      <c r="G403" s="93"/>
      <c r="H403" s="93"/>
      <c r="I403" s="93"/>
      <c r="J403" s="93"/>
      <c r="K403" s="93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  <c r="X403" s="93"/>
      <c r="Y403" s="93"/>
      <c r="Z403" s="93"/>
    </row>
    <row r="404" spans="1:26" x14ac:dyDescent="0.25">
      <c r="A404" s="93"/>
      <c r="B404" s="93"/>
      <c r="C404" s="93"/>
      <c r="D404" s="93"/>
      <c r="E404" s="93"/>
      <c r="F404" s="93"/>
      <c r="G404" s="93"/>
      <c r="H404" s="93"/>
      <c r="I404" s="93"/>
      <c r="J404" s="93"/>
      <c r="K404" s="93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  <c r="X404" s="93"/>
      <c r="Y404" s="93"/>
      <c r="Z404" s="93"/>
    </row>
    <row r="405" spans="1:26" x14ac:dyDescent="0.25">
      <c r="A405" s="93"/>
      <c r="B405" s="93"/>
      <c r="C405" s="93"/>
      <c r="D405" s="93"/>
      <c r="E405" s="93"/>
      <c r="F405" s="93"/>
      <c r="G405" s="93"/>
      <c r="H405" s="93"/>
      <c r="I405" s="93"/>
      <c r="J405" s="93"/>
      <c r="K405" s="93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  <c r="X405" s="93"/>
      <c r="Y405" s="93"/>
      <c r="Z405" s="93"/>
    </row>
    <row r="406" spans="1:26" x14ac:dyDescent="0.25">
      <c r="A406" s="93"/>
      <c r="B406" s="93"/>
      <c r="C406" s="93"/>
      <c r="D406" s="93"/>
      <c r="E406" s="93"/>
      <c r="F406" s="93"/>
      <c r="G406" s="93"/>
      <c r="H406" s="93"/>
      <c r="I406" s="93"/>
      <c r="J406" s="93"/>
      <c r="K406" s="93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  <c r="X406" s="93"/>
      <c r="Y406" s="93"/>
      <c r="Z406" s="93"/>
    </row>
    <row r="407" spans="1:26" x14ac:dyDescent="0.25">
      <c r="A407" s="93"/>
      <c r="B407" s="93"/>
      <c r="C407" s="93"/>
      <c r="D407" s="93"/>
      <c r="E407" s="93"/>
      <c r="F407" s="93"/>
      <c r="G407" s="93"/>
      <c r="H407" s="93"/>
      <c r="I407" s="93"/>
      <c r="J407" s="93"/>
      <c r="K407" s="93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</row>
    <row r="408" spans="1:26" x14ac:dyDescent="0.25">
      <c r="A408" s="93"/>
      <c r="B408" s="93"/>
      <c r="C408" s="93"/>
      <c r="D408" s="93"/>
      <c r="E408" s="93"/>
      <c r="F408" s="93"/>
      <c r="G408" s="93"/>
      <c r="H408" s="93"/>
      <c r="I408" s="93"/>
      <c r="J408" s="93"/>
      <c r="K408" s="93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  <c r="X408" s="93"/>
      <c r="Y408" s="93"/>
      <c r="Z408" s="93"/>
    </row>
    <row r="409" spans="1:26" x14ac:dyDescent="0.25">
      <c r="A409" s="93"/>
      <c r="B409" s="93"/>
      <c r="C409" s="93"/>
      <c r="D409" s="93"/>
      <c r="E409" s="93"/>
      <c r="F409" s="93"/>
      <c r="G409" s="93"/>
      <c r="H409" s="93"/>
      <c r="I409" s="93"/>
      <c r="J409" s="93"/>
      <c r="K409" s="93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  <c r="X409" s="93"/>
      <c r="Y409" s="93"/>
      <c r="Z409" s="93"/>
    </row>
    <row r="410" spans="1:26" x14ac:dyDescent="0.25">
      <c r="A410" s="93"/>
      <c r="B410" s="93"/>
      <c r="C410" s="93"/>
      <c r="D410" s="93"/>
      <c r="E410" s="93"/>
      <c r="F410" s="93"/>
      <c r="G410" s="93"/>
      <c r="H410" s="93"/>
      <c r="I410" s="93"/>
      <c r="J410" s="93"/>
      <c r="K410" s="93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  <c r="X410" s="93"/>
      <c r="Y410" s="93"/>
      <c r="Z410" s="93"/>
    </row>
    <row r="411" spans="1:26" x14ac:dyDescent="0.25">
      <c r="A411" s="93"/>
      <c r="B411" s="93"/>
      <c r="C411" s="93"/>
      <c r="D411" s="93"/>
      <c r="E411" s="93"/>
      <c r="F411" s="93"/>
      <c r="G411" s="93"/>
      <c r="H411" s="93"/>
      <c r="I411" s="93"/>
      <c r="J411" s="93"/>
      <c r="K411" s="93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  <c r="X411" s="93"/>
      <c r="Y411" s="93"/>
      <c r="Z411" s="93"/>
    </row>
    <row r="412" spans="1:26" x14ac:dyDescent="0.25">
      <c r="A412" s="93"/>
      <c r="B412" s="93"/>
      <c r="C412" s="93"/>
      <c r="D412" s="93"/>
      <c r="E412" s="93"/>
      <c r="F412" s="93"/>
      <c r="G412" s="93"/>
      <c r="H412" s="93"/>
      <c r="I412" s="93"/>
      <c r="J412" s="93"/>
      <c r="K412" s="93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  <c r="X412" s="93"/>
      <c r="Y412" s="93"/>
      <c r="Z412" s="93"/>
    </row>
    <row r="413" spans="1:26" x14ac:dyDescent="0.25">
      <c r="A413" s="93"/>
      <c r="B413" s="93"/>
      <c r="C413" s="93"/>
      <c r="D413" s="93"/>
      <c r="E413" s="93"/>
      <c r="F413" s="93"/>
      <c r="G413" s="93"/>
      <c r="H413" s="93"/>
      <c r="I413" s="93"/>
      <c r="J413" s="93"/>
      <c r="K413" s="93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  <c r="X413" s="93"/>
      <c r="Y413" s="93"/>
      <c r="Z413" s="93"/>
    </row>
    <row r="414" spans="1:26" x14ac:dyDescent="0.25">
      <c r="A414" s="93"/>
      <c r="B414" s="93"/>
      <c r="C414" s="93"/>
      <c r="D414" s="93"/>
      <c r="E414" s="93"/>
      <c r="F414" s="93"/>
      <c r="G414" s="93"/>
      <c r="H414" s="93"/>
      <c r="I414" s="93"/>
      <c r="J414" s="93"/>
      <c r="K414" s="93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  <c r="X414" s="93"/>
      <c r="Y414" s="93"/>
      <c r="Z414" s="93"/>
    </row>
    <row r="415" spans="1:26" x14ac:dyDescent="0.25">
      <c r="A415" s="93"/>
      <c r="B415" s="93"/>
      <c r="C415" s="93"/>
      <c r="D415" s="93"/>
      <c r="E415" s="93"/>
      <c r="F415" s="93"/>
      <c r="G415" s="93"/>
      <c r="H415" s="93"/>
      <c r="I415" s="93"/>
      <c r="J415" s="93"/>
      <c r="K415" s="93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  <c r="X415" s="93"/>
      <c r="Y415" s="93"/>
      <c r="Z415" s="93"/>
    </row>
    <row r="416" spans="1:26" x14ac:dyDescent="0.25">
      <c r="A416" s="93"/>
      <c r="B416" s="93"/>
      <c r="C416" s="93"/>
      <c r="D416" s="93"/>
      <c r="E416" s="93"/>
      <c r="F416" s="93"/>
      <c r="G416" s="93"/>
      <c r="H416" s="93"/>
      <c r="I416" s="93"/>
      <c r="J416" s="93"/>
      <c r="K416" s="93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  <c r="X416" s="93"/>
      <c r="Y416" s="93"/>
      <c r="Z416" s="93"/>
    </row>
    <row r="417" spans="1:26" x14ac:dyDescent="0.25">
      <c r="A417" s="93"/>
      <c r="B417" s="93"/>
      <c r="C417" s="93"/>
      <c r="D417" s="93"/>
      <c r="E417" s="93"/>
      <c r="F417" s="93"/>
      <c r="G417" s="93"/>
      <c r="H417" s="93"/>
      <c r="I417" s="93"/>
      <c r="J417" s="93"/>
      <c r="K417" s="93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  <c r="X417" s="93"/>
      <c r="Y417" s="93"/>
      <c r="Z417" s="93"/>
    </row>
    <row r="418" spans="1:26" x14ac:dyDescent="0.25">
      <c r="A418" s="93"/>
      <c r="B418" s="93"/>
      <c r="C418" s="93"/>
      <c r="D418" s="93"/>
      <c r="E418" s="93"/>
      <c r="F418" s="93"/>
      <c r="G418" s="93"/>
      <c r="H418" s="93"/>
      <c r="I418" s="93"/>
      <c r="J418" s="93"/>
      <c r="K418" s="93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  <c r="X418" s="93"/>
      <c r="Y418" s="93"/>
      <c r="Z418" s="93"/>
    </row>
    <row r="419" spans="1:26" x14ac:dyDescent="0.25">
      <c r="A419" s="93"/>
      <c r="B419" s="93"/>
      <c r="C419" s="93"/>
      <c r="D419" s="93"/>
      <c r="E419" s="93"/>
      <c r="F419" s="93"/>
      <c r="G419" s="93"/>
      <c r="H419" s="93"/>
      <c r="I419" s="93"/>
      <c r="J419" s="93"/>
      <c r="K419" s="93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  <c r="X419" s="93"/>
      <c r="Y419" s="93"/>
      <c r="Z419" s="93"/>
    </row>
    <row r="420" spans="1:26" x14ac:dyDescent="0.25">
      <c r="A420" s="93"/>
      <c r="B420" s="93"/>
      <c r="C420" s="93"/>
      <c r="D420" s="93"/>
      <c r="E420" s="93"/>
      <c r="F420" s="93"/>
      <c r="G420" s="93"/>
      <c r="H420" s="93"/>
      <c r="I420" s="93"/>
      <c r="J420" s="93"/>
      <c r="K420" s="93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  <c r="X420" s="93"/>
      <c r="Y420" s="93"/>
      <c r="Z420" s="93"/>
    </row>
    <row r="421" spans="1:26" x14ac:dyDescent="0.25">
      <c r="A421" s="93"/>
      <c r="B421" s="93"/>
      <c r="C421" s="93"/>
      <c r="D421" s="93"/>
      <c r="E421" s="93"/>
      <c r="F421" s="93"/>
      <c r="G421" s="93"/>
      <c r="H421" s="93"/>
      <c r="I421" s="93"/>
      <c r="J421" s="93"/>
      <c r="K421" s="93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  <c r="X421" s="93"/>
      <c r="Y421" s="93"/>
      <c r="Z421" s="93"/>
    </row>
    <row r="422" spans="1:26" x14ac:dyDescent="0.25">
      <c r="A422" s="93"/>
      <c r="B422" s="93"/>
      <c r="C422" s="93"/>
      <c r="D422" s="93"/>
      <c r="E422" s="93"/>
      <c r="F422" s="93"/>
      <c r="G422" s="93"/>
      <c r="H422" s="93"/>
      <c r="I422" s="93"/>
      <c r="J422" s="93"/>
      <c r="K422" s="93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  <c r="X422" s="93"/>
      <c r="Y422" s="93"/>
      <c r="Z422" s="93"/>
    </row>
    <row r="423" spans="1:26" x14ac:dyDescent="0.25">
      <c r="A423" s="93"/>
      <c r="B423" s="93"/>
      <c r="C423" s="93"/>
      <c r="D423" s="93"/>
      <c r="E423" s="93"/>
      <c r="F423" s="93"/>
      <c r="G423" s="93"/>
      <c r="H423" s="93"/>
      <c r="I423" s="93"/>
      <c r="J423" s="93"/>
      <c r="K423" s="93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  <c r="X423" s="93"/>
      <c r="Y423" s="93"/>
      <c r="Z423" s="93"/>
    </row>
    <row r="424" spans="1:26" x14ac:dyDescent="0.25">
      <c r="A424" s="93"/>
      <c r="B424" s="93"/>
      <c r="C424" s="93"/>
      <c r="D424" s="93"/>
      <c r="E424" s="93"/>
      <c r="F424" s="93"/>
      <c r="G424" s="93"/>
      <c r="H424" s="93"/>
      <c r="I424" s="93"/>
      <c r="J424" s="93"/>
      <c r="K424" s="93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  <c r="X424" s="93"/>
      <c r="Y424" s="93"/>
      <c r="Z424" s="93"/>
    </row>
    <row r="425" spans="1:26" x14ac:dyDescent="0.25">
      <c r="A425" s="93"/>
      <c r="B425" s="93"/>
      <c r="C425" s="93"/>
      <c r="D425" s="93"/>
      <c r="E425" s="93"/>
      <c r="F425" s="93"/>
      <c r="G425" s="93"/>
      <c r="H425" s="93"/>
      <c r="I425" s="93"/>
      <c r="J425" s="93"/>
      <c r="K425" s="93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  <c r="X425" s="93"/>
      <c r="Y425" s="93"/>
      <c r="Z425" s="93"/>
    </row>
    <row r="426" spans="1:26" x14ac:dyDescent="0.25">
      <c r="A426" s="93"/>
      <c r="B426" s="93"/>
      <c r="C426" s="93"/>
      <c r="D426" s="93"/>
      <c r="E426" s="93"/>
      <c r="F426" s="93"/>
      <c r="G426" s="93"/>
      <c r="H426" s="93"/>
      <c r="I426" s="93"/>
      <c r="J426" s="93"/>
      <c r="K426" s="93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  <c r="X426" s="93"/>
      <c r="Y426" s="93"/>
      <c r="Z426" s="93"/>
    </row>
    <row r="427" spans="1:26" x14ac:dyDescent="0.25">
      <c r="A427" s="93"/>
      <c r="B427" s="93"/>
      <c r="C427" s="93"/>
      <c r="D427" s="93"/>
      <c r="E427" s="93"/>
      <c r="F427" s="93"/>
      <c r="G427" s="93"/>
      <c r="H427" s="93"/>
      <c r="I427" s="93"/>
      <c r="J427" s="93"/>
      <c r="K427" s="93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  <c r="X427" s="93"/>
      <c r="Y427" s="93"/>
      <c r="Z427" s="93"/>
    </row>
    <row r="428" spans="1:26" x14ac:dyDescent="0.25">
      <c r="A428" s="93"/>
      <c r="B428" s="93"/>
      <c r="C428" s="93"/>
      <c r="D428" s="93"/>
      <c r="E428" s="93"/>
      <c r="F428" s="93"/>
      <c r="G428" s="93"/>
      <c r="H428" s="93"/>
      <c r="I428" s="93"/>
      <c r="J428" s="93"/>
      <c r="K428" s="93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  <c r="X428" s="93"/>
      <c r="Y428" s="93"/>
      <c r="Z428" s="93"/>
    </row>
    <row r="429" spans="1:26" x14ac:dyDescent="0.25">
      <c r="A429" s="93"/>
      <c r="B429" s="93"/>
      <c r="C429" s="93"/>
      <c r="D429" s="93"/>
      <c r="E429" s="93"/>
      <c r="F429" s="93"/>
      <c r="G429" s="93"/>
      <c r="H429" s="93"/>
      <c r="I429" s="93"/>
      <c r="J429" s="93"/>
      <c r="K429" s="93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  <c r="X429" s="93"/>
      <c r="Y429" s="93"/>
      <c r="Z429" s="93"/>
    </row>
    <row r="430" spans="1:26" x14ac:dyDescent="0.25">
      <c r="A430" s="93"/>
      <c r="B430" s="93"/>
      <c r="C430" s="93"/>
      <c r="D430" s="93"/>
      <c r="E430" s="93"/>
      <c r="F430" s="93"/>
      <c r="G430" s="93"/>
      <c r="H430" s="93"/>
      <c r="I430" s="93"/>
      <c r="J430" s="93"/>
      <c r="K430" s="93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  <c r="X430" s="93"/>
      <c r="Y430" s="93"/>
      <c r="Z430" s="93"/>
    </row>
    <row r="431" spans="1:26" x14ac:dyDescent="0.25">
      <c r="A431" s="93"/>
      <c r="B431" s="93"/>
      <c r="C431" s="93"/>
      <c r="D431" s="93"/>
      <c r="E431" s="93"/>
      <c r="F431" s="93"/>
      <c r="G431" s="93"/>
      <c r="H431" s="93"/>
      <c r="I431" s="93"/>
      <c r="J431" s="93"/>
      <c r="K431" s="93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  <c r="X431" s="93"/>
      <c r="Y431" s="93"/>
      <c r="Z431" s="93"/>
    </row>
    <row r="432" spans="1:26" x14ac:dyDescent="0.25">
      <c r="A432" s="93"/>
      <c r="B432" s="93"/>
      <c r="C432" s="93"/>
      <c r="D432" s="93"/>
      <c r="E432" s="93"/>
      <c r="F432" s="93"/>
      <c r="G432" s="93"/>
      <c r="H432" s="93"/>
      <c r="I432" s="93"/>
      <c r="J432" s="93"/>
      <c r="K432" s="93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  <c r="X432" s="93"/>
      <c r="Y432" s="93"/>
      <c r="Z432" s="93"/>
    </row>
    <row r="433" spans="1:26" x14ac:dyDescent="0.25">
      <c r="A433" s="93"/>
      <c r="B433" s="93"/>
      <c r="C433" s="93"/>
      <c r="D433" s="93"/>
      <c r="E433" s="93"/>
      <c r="F433" s="93"/>
      <c r="G433" s="93"/>
      <c r="H433" s="93"/>
      <c r="I433" s="93"/>
      <c r="J433" s="93"/>
      <c r="K433" s="93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  <c r="X433" s="93"/>
      <c r="Y433" s="93"/>
      <c r="Z433" s="93"/>
    </row>
    <row r="434" spans="1:26" x14ac:dyDescent="0.25">
      <c r="A434" s="93"/>
      <c r="B434" s="93"/>
      <c r="C434" s="93"/>
      <c r="D434" s="93"/>
      <c r="E434" s="93"/>
      <c r="F434" s="93"/>
      <c r="G434" s="93"/>
      <c r="H434" s="93"/>
      <c r="I434" s="93"/>
      <c r="J434" s="93"/>
      <c r="K434" s="93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  <c r="X434" s="93"/>
      <c r="Y434" s="93"/>
      <c r="Z434" s="93"/>
    </row>
    <row r="435" spans="1:26" x14ac:dyDescent="0.25">
      <c r="A435" s="93"/>
      <c r="B435" s="93"/>
      <c r="C435" s="93"/>
      <c r="D435" s="93"/>
      <c r="E435" s="93"/>
      <c r="F435" s="93"/>
      <c r="G435" s="93"/>
      <c r="H435" s="93"/>
      <c r="I435" s="93"/>
      <c r="J435" s="93"/>
      <c r="K435" s="93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  <c r="X435" s="93"/>
      <c r="Y435" s="93"/>
      <c r="Z435" s="93"/>
    </row>
    <row r="436" spans="1:26" x14ac:dyDescent="0.25">
      <c r="A436" s="93"/>
      <c r="B436" s="93"/>
      <c r="C436" s="93"/>
      <c r="D436" s="93"/>
      <c r="E436" s="93"/>
      <c r="F436" s="93"/>
      <c r="G436" s="93"/>
      <c r="H436" s="93"/>
      <c r="I436" s="93"/>
      <c r="J436" s="93"/>
      <c r="K436" s="93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  <c r="X436" s="93"/>
      <c r="Y436" s="93"/>
      <c r="Z436" s="93"/>
    </row>
    <row r="437" spans="1:26" x14ac:dyDescent="0.25">
      <c r="A437" s="93"/>
      <c r="B437" s="93"/>
      <c r="C437" s="93"/>
      <c r="D437" s="93"/>
      <c r="E437" s="93"/>
      <c r="F437" s="93"/>
      <c r="G437" s="93"/>
      <c r="H437" s="93"/>
      <c r="I437" s="93"/>
      <c r="J437" s="93"/>
      <c r="K437" s="93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  <c r="X437" s="93"/>
      <c r="Y437" s="93"/>
      <c r="Z437" s="93"/>
    </row>
    <row r="438" spans="1:26" x14ac:dyDescent="0.25">
      <c r="A438" s="93"/>
      <c r="B438" s="93"/>
      <c r="C438" s="93"/>
      <c r="D438" s="93"/>
      <c r="E438" s="93"/>
      <c r="F438" s="93"/>
      <c r="G438" s="93"/>
      <c r="H438" s="93"/>
      <c r="I438" s="93"/>
      <c r="J438" s="93"/>
      <c r="K438" s="93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  <c r="X438" s="93"/>
      <c r="Y438" s="93"/>
      <c r="Z438" s="93"/>
    </row>
    <row r="439" spans="1:26" x14ac:dyDescent="0.25">
      <c r="A439" s="93"/>
      <c r="B439" s="93"/>
      <c r="C439" s="93"/>
      <c r="D439" s="93"/>
      <c r="E439" s="93"/>
      <c r="F439" s="93"/>
      <c r="G439" s="93"/>
      <c r="H439" s="93"/>
      <c r="I439" s="93"/>
      <c r="J439" s="93"/>
      <c r="K439" s="93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  <c r="X439" s="93"/>
      <c r="Y439" s="93"/>
      <c r="Z439" s="93"/>
    </row>
    <row r="440" spans="1:26" x14ac:dyDescent="0.25">
      <c r="A440" s="93"/>
      <c r="B440" s="93"/>
      <c r="C440" s="93"/>
      <c r="D440" s="93"/>
      <c r="E440" s="93"/>
      <c r="F440" s="93"/>
      <c r="G440" s="93"/>
      <c r="H440" s="93"/>
      <c r="I440" s="93"/>
      <c r="J440" s="93"/>
      <c r="K440" s="93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  <c r="X440" s="93"/>
      <c r="Y440" s="93"/>
      <c r="Z440" s="93"/>
    </row>
    <row r="441" spans="1:26" x14ac:dyDescent="0.25">
      <c r="A441" s="93"/>
      <c r="B441" s="93"/>
      <c r="C441" s="93"/>
      <c r="D441" s="93"/>
      <c r="E441" s="93"/>
      <c r="F441" s="93"/>
      <c r="G441" s="93"/>
      <c r="H441" s="93"/>
      <c r="I441" s="93"/>
      <c r="J441" s="93"/>
      <c r="K441" s="93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  <c r="X441" s="93"/>
      <c r="Y441" s="93"/>
      <c r="Z441" s="93"/>
    </row>
    <row r="442" spans="1:26" x14ac:dyDescent="0.25">
      <c r="A442" s="93"/>
      <c r="B442" s="93"/>
      <c r="C442" s="93"/>
      <c r="D442" s="93"/>
      <c r="E442" s="93"/>
      <c r="F442" s="93"/>
      <c r="G442" s="93"/>
      <c r="H442" s="93"/>
      <c r="I442" s="93"/>
      <c r="J442" s="93"/>
      <c r="K442" s="93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  <c r="X442" s="93"/>
      <c r="Y442" s="93"/>
      <c r="Z442" s="93"/>
    </row>
    <row r="443" spans="1:26" x14ac:dyDescent="0.25">
      <c r="A443" s="93"/>
      <c r="B443" s="93"/>
      <c r="C443" s="93"/>
      <c r="D443" s="93"/>
      <c r="E443" s="93"/>
      <c r="F443" s="93"/>
      <c r="G443" s="93"/>
      <c r="H443" s="93"/>
      <c r="I443" s="93"/>
      <c r="J443" s="93"/>
      <c r="K443" s="93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  <c r="X443" s="93"/>
      <c r="Y443" s="93"/>
      <c r="Z443" s="93"/>
    </row>
    <row r="444" spans="1:26" x14ac:dyDescent="0.25">
      <c r="A444" s="93"/>
      <c r="B444" s="93"/>
      <c r="C444" s="93"/>
      <c r="D444" s="93"/>
      <c r="E444" s="93"/>
      <c r="F444" s="93"/>
      <c r="G444" s="93"/>
      <c r="H444" s="93"/>
      <c r="I444" s="93"/>
      <c r="J444" s="93"/>
      <c r="K444" s="93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  <c r="X444" s="93"/>
      <c r="Y444" s="93"/>
      <c r="Z444" s="93"/>
    </row>
    <row r="445" spans="1:26" x14ac:dyDescent="0.25">
      <c r="A445" s="93"/>
      <c r="B445" s="93"/>
      <c r="C445" s="93"/>
      <c r="D445" s="93"/>
      <c r="E445" s="93"/>
      <c r="F445" s="93"/>
      <c r="G445" s="93"/>
      <c r="H445" s="93"/>
      <c r="I445" s="93"/>
      <c r="J445" s="93"/>
      <c r="K445" s="93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  <c r="X445" s="93"/>
      <c r="Y445" s="93"/>
      <c r="Z445" s="93"/>
    </row>
    <row r="446" spans="1:26" x14ac:dyDescent="0.25">
      <c r="A446" s="93"/>
      <c r="B446" s="93"/>
      <c r="C446" s="93"/>
      <c r="D446" s="93"/>
      <c r="E446" s="93"/>
      <c r="F446" s="93"/>
      <c r="G446" s="93"/>
      <c r="H446" s="93"/>
      <c r="I446" s="93"/>
      <c r="J446" s="93"/>
      <c r="K446" s="93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  <c r="X446" s="93"/>
      <c r="Y446" s="93"/>
      <c r="Z446" s="93"/>
    </row>
    <row r="447" spans="1:26" x14ac:dyDescent="0.25">
      <c r="A447" s="93"/>
      <c r="B447" s="93"/>
      <c r="C447" s="93"/>
      <c r="D447" s="93"/>
      <c r="E447" s="93"/>
      <c r="F447" s="93"/>
      <c r="G447" s="93"/>
      <c r="H447" s="93"/>
      <c r="I447" s="93"/>
      <c r="J447" s="93"/>
      <c r="K447" s="93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  <c r="X447" s="93"/>
      <c r="Y447" s="93"/>
      <c r="Z447" s="93"/>
    </row>
    <row r="448" spans="1:26" x14ac:dyDescent="0.25">
      <c r="A448" s="93"/>
      <c r="B448" s="93"/>
      <c r="C448" s="93"/>
      <c r="D448" s="93"/>
      <c r="E448" s="93"/>
      <c r="F448" s="93"/>
      <c r="G448" s="93"/>
      <c r="H448" s="93"/>
      <c r="I448" s="93"/>
      <c r="J448" s="93"/>
      <c r="K448" s="93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  <c r="X448" s="93"/>
      <c r="Y448" s="93"/>
      <c r="Z448" s="93"/>
    </row>
    <row r="449" spans="1:26" x14ac:dyDescent="0.25">
      <c r="A449" s="93"/>
      <c r="B449" s="93"/>
      <c r="C449" s="93"/>
      <c r="D449" s="93"/>
      <c r="E449" s="93"/>
      <c r="F449" s="93"/>
      <c r="G449" s="93"/>
      <c r="H449" s="93"/>
      <c r="I449" s="93"/>
      <c r="J449" s="93"/>
      <c r="K449" s="93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  <c r="X449" s="93"/>
      <c r="Y449" s="93"/>
      <c r="Z449" s="93"/>
    </row>
    <row r="450" spans="1:26" x14ac:dyDescent="0.25">
      <c r="A450" s="93"/>
      <c r="B450" s="93"/>
      <c r="C450" s="93"/>
      <c r="D450" s="93"/>
      <c r="E450" s="93"/>
      <c r="F450" s="93"/>
      <c r="G450" s="93"/>
      <c r="H450" s="93"/>
      <c r="I450" s="93"/>
      <c r="J450" s="93"/>
      <c r="K450" s="93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  <c r="X450" s="93"/>
      <c r="Y450" s="93"/>
      <c r="Z450" s="93"/>
    </row>
    <row r="451" spans="1:26" x14ac:dyDescent="0.25">
      <c r="A451" s="93"/>
      <c r="B451" s="93"/>
      <c r="C451" s="93"/>
      <c r="D451" s="93"/>
      <c r="E451" s="93"/>
      <c r="F451" s="93"/>
      <c r="G451" s="93"/>
      <c r="H451" s="93"/>
      <c r="I451" s="93"/>
      <c r="J451" s="93"/>
      <c r="K451" s="93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  <c r="X451" s="93"/>
      <c r="Y451" s="93"/>
      <c r="Z451" s="93"/>
    </row>
    <row r="452" spans="1:26" x14ac:dyDescent="0.25">
      <c r="A452" s="93"/>
      <c r="B452" s="93"/>
      <c r="C452" s="93"/>
      <c r="D452" s="93"/>
      <c r="E452" s="93"/>
      <c r="F452" s="93"/>
      <c r="G452" s="93"/>
      <c r="H452" s="93"/>
      <c r="I452" s="93"/>
      <c r="J452" s="93"/>
      <c r="K452" s="93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  <c r="X452" s="93"/>
      <c r="Y452" s="93"/>
      <c r="Z452" s="93"/>
    </row>
    <row r="453" spans="1:26" x14ac:dyDescent="0.25">
      <c r="A453" s="93"/>
      <c r="B453" s="93"/>
      <c r="C453" s="93"/>
      <c r="D453" s="93"/>
      <c r="E453" s="93"/>
      <c r="F453" s="93"/>
      <c r="G453" s="93"/>
      <c r="H453" s="93"/>
      <c r="I453" s="93"/>
      <c r="J453" s="93"/>
      <c r="K453" s="93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  <c r="X453" s="93"/>
      <c r="Y453" s="93"/>
      <c r="Z453" s="93"/>
    </row>
    <row r="454" spans="1:26" x14ac:dyDescent="0.25">
      <c r="A454" s="93"/>
      <c r="B454" s="93"/>
      <c r="C454" s="93"/>
      <c r="D454" s="93"/>
      <c r="E454" s="93"/>
      <c r="F454" s="93"/>
      <c r="G454" s="93"/>
      <c r="H454" s="93"/>
      <c r="I454" s="93"/>
      <c r="J454" s="93"/>
      <c r="K454" s="93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  <c r="X454" s="93"/>
      <c r="Y454" s="93"/>
      <c r="Z454" s="93"/>
    </row>
    <row r="455" spans="1:26" x14ac:dyDescent="0.25">
      <c r="A455" s="93"/>
      <c r="B455" s="93"/>
      <c r="C455" s="93"/>
      <c r="D455" s="93"/>
      <c r="E455" s="93"/>
      <c r="F455" s="93"/>
      <c r="G455" s="93"/>
      <c r="H455" s="93"/>
      <c r="I455" s="93"/>
      <c r="J455" s="93"/>
      <c r="K455" s="93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  <c r="X455" s="93"/>
      <c r="Y455" s="93"/>
      <c r="Z455" s="93"/>
    </row>
    <row r="456" spans="1:26" x14ac:dyDescent="0.25">
      <c r="A456" s="93"/>
      <c r="B456" s="93"/>
      <c r="C456" s="93"/>
      <c r="D456" s="93"/>
      <c r="E456" s="93"/>
      <c r="F456" s="93"/>
      <c r="G456" s="93"/>
      <c r="H456" s="93"/>
      <c r="I456" s="93"/>
      <c r="J456" s="93"/>
      <c r="K456" s="93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  <c r="X456" s="93"/>
      <c r="Y456" s="93"/>
      <c r="Z456" s="93"/>
    </row>
    <row r="457" spans="1:26" x14ac:dyDescent="0.25">
      <c r="A457" s="93"/>
      <c r="B457" s="93"/>
      <c r="C457" s="93"/>
      <c r="D457" s="93"/>
      <c r="E457" s="93"/>
      <c r="F457" s="93"/>
      <c r="G457" s="93"/>
      <c r="H457" s="93"/>
      <c r="I457" s="93"/>
      <c r="J457" s="93"/>
      <c r="K457" s="93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  <c r="X457" s="93"/>
      <c r="Y457" s="93"/>
      <c r="Z457" s="93"/>
    </row>
    <row r="458" spans="1:26" x14ac:dyDescent="0.25">
      <c r="A458" s="93"/>
      <c r="B458" s="93"/>
      <c r="C458" s="93"/>
      <c r="D458" s="93"/>
      <c r="E458" s="93"/>
      <c r="F458" s="93"/>
      <c r="G458" s="93"/>
      <c r="H458" s="93"/>
      <c r="I458" s="93"/>
      <c r="J458" s="93"/>
      <c r="K458" s="93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  <c r="X458" s="93"/>
      <c r="Y458" s="93"/>
      <c r="Z458" s="93"/>
    </row>
    <row r="459" spans="1:26" x14ac:dyDescent="0.25">
      <c r="A459" s="93"/>
      <c r="B459" s="93"/>
      <c r="C459" s="93"/>
      <c r="D459" s="93"/>
      <c r="E459" s="93"/>
      <c r="F459" s="93"/>
      <c r="G459" s="93"/>
      <c r="H459" s="93"/>
      <c r="I459" s="93"/>
      <c r="J459" s="93"/>
      <c r="K459" s="93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  <c r="X459" s="93"/>
      <c r="Y459" s="93"/>
      <c r="Z459" s="93"/>
    </row>
    <row r="460" spans="1:26" x14ac:dyDescent="0.25">
      <c r="A460" s="93"/>
      <c r="B460" s="93"/>
      <c r="C460" s="93"/>
      <c r="D460" s="93"/>
      <c r="E460" s="93"/>
      <c r="F460" s="93"/>
      <c r="G460" s="93"/>
      <c r="H460" s="93"/>
      <c r="I460" s="93"/>
      <c r="J460" s="93"/>
      <c r="K460" s="93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  <c r="X460" s="93"/>
      <c r="Y460" s="93"/>
      <c r="Z460" s="93"/>
    </row>
    <row r="461" spans="1:26" x14ac:dyDescent="0.25">
      <c r="A461" s="93"/>
      <c r="B461" s="93"/>
      <c r="C461" s="93"/>
      <c r="D461" s="93"/>
      <c r="E461" s="93"/>
      <c r="F461" s="93"/>
      <c r="G461" s="93"/>
      <c r="H461" s="93"/>
      <c r="I461" s="93"/>
      <c r="J461" s="93"/>
      <c r="K461" s="93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  <c r="X461" s="93"/>
      <c r="Y461" s="93"/>
      <c r="Z461" s="93"/>
    </row>
    <row r="462" spans="1:26" x14ac:dyDescent="0.25">
      <c r="A462" s="93"/>
      <c r="B462" s="93"/>
      <c r="C462" s="93"/>
      <c r="D462" s="93"/>
      <c r="E462" s="93"/>
      <c r="F462" s="93"/>
      <c r="G462" s="93"/>
      <c r="H462" s="93"/>
      <c r="I462" s="93"/>
      <c r="J462" s="93"/>
      <c r="K462" s="93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  <c r="X462" s="93"/>
      <c r="Y462" s="93"/>
      <c r="Z462" s="93"/>
    </row>
    <row r="463" spans="1:26" x14ac:dyDescent="0.25">
      <c r="A463" s="93"/>
      <c r="B463" s="93"/>
      <c r="C463" s="93"/>
      <c r="D463" s="93"/>
      <c r="E463" s="93"/>
      <c r="F463" s="93"/>
      <c r="G463" s="93"/>
      <c r="H463" s="93"/>
      <c r="I463" s="93"/>
      <c r="J463" s="93"/>
      <c r="K463" s="93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  <c r="X463" s="93"/>
      <c r="Y463" s="93"/>
      <c r="Z463" s="93"/>
    </row>
    <row r="464" spans="1:26" x14ac:dyDescent="0.25">
      <c r="A464" s="93"/>
      <c r="B464" s="93"/>
      <c r="C464" s="93"/>
      <c r="D464" s="93"/>
      <c r="E464" s="93"/>
      <c r="F464" s="93"/>
      <c r="G464" s="93"/>
      <c r="H464" s="93"/>
      <c r="I464" s="93"/>
      <c r="J464" s="93"/>
      <c r="K464" s="93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  <c r="X464" s="93"/>
      <c r="Y464" s="93"/>
      <c r="Z464" s="93"/>
    </row>
    <row r="465" spans="1:26" x14ac:dyDescent="0.25">
      <c r="A465" s="93"/>
      <c r="B465" s="93"/>
      <c r="C465" s="93"/>
      <c r="D465" s="93"/>
      <c r="E465" s="93"/>
      <c r="F465" s="93"/>
      <c r="G465" s="93"/>
      <c r="H465" s="93"/>
      <c r="I465" s="93"/>
      <c r="J465" s="93"/>
      <c r="K465" s="93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  <c r="X465" s="93"/>
      <c r="Y465" s="93"/>
      <c r="Z465" s="93"/>
    </row>
    <row r="466" spans="1:26" x14ac:dyDescent="0.25">
      <c r="A466" s="93"/>
      <c r="B466" s="93"/>
      <c r="C466" s="93"/>
      <c r="D466" s="93"/>
      <c r="E466" s="93"/>
      <c r="F466" s="93"/>
      <c r="G466" s="93"/>
      <c r="H466" s="93"/>
      <c r="I466" s="93"/>
      <c r="J466" s="93"/>
      <c r="K466" s="93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  <c r="X466" s="93"/>
      <c r="Y466" s="93"/>
      <c r="Z466" s="93"/>
    </row>
    <row r="467" spans="1:26" x14ac:dyDescent="0.25">
      <c r="A467" s="93"/>
      <c r="B467" s="93"/>
      <c r="C467" s="93"/>
      <c r="D467" s="93"/>
      <c r="E467" s="93"/>
      <c r="F467" s="93"/>
      <c r="G467" s="93"/>
      <c r="H467" s="93"/>
      <c r="I467" s="93"/>
      <c r="J467" s="93"/>
      <c r="K467" s="93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  <c r="X467" s="93"/>
      <c r="Y467" s="93"/>
      <c r="Z467" s="93"/>
    </row>
    <row r="468" spans="1:26" x14ac:dyDescent="0.25">
      <c r="A468" s="93"/>
      <c r="B468" s="93"/>
      <c r="C468" s="93"/>
      <c r="D468" s="93"/>
      <c r="E468" s="93"/>
      <c r="F468" s="93"/>
      <c r="G468" s="93"/>
      <c r="H468" s="93"/>
      <c r="I468" s="93"/>
      <c r="J468" s="93"/>
      <c r="K468" s="93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  <c r="X468" s="93"/>
      <c r="Y468" s="93"/>
      <c r="Z468" s="93"/>
    </row>
    <row r="469" spans="1:26" x14ac:dyDescent="0.25">
      <c r="A469" s="93"/>
      <c r="B469" s="93"/>
      <c r="C469" s="93"/>
      <c r="D469" s="93"/>
      <c r="E469" s="93"/>
      <c r="F469" s="93"/>
      <c r="G469" s="93"/>
      <c r="H469" s="93"/>
      <c r="I469" s="93"/>
      <c r="J469" s="93"/>
      <c r="K469" s="93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  <c r="X469" s="93"/>
      <c r="Y469" s="93"/>
      <c r="Z469" s="93"/>
    </row>
    <row r="470" spans="1:26" x14ac:dyDescent="0.25">
      <c r="A470" s="93"/>
      <c r="B470" s="93"/>
      <c r="C470" s="93"/>
      <c r="D470" s="93"/>
      <c r="E470" s="93"/>
      <c r="F470" s="93"/>
      <c r="G470" s="93"/>
      <c r="H470" s="93"/>
      <c r="I470" s="93"/>
      <c r="J470" s="93"/>
      <c r="K470" s="93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  <c r="X470" s="93"/>
      <c r="Y470" s="93"/>
      <c r="Z470" s="93"/>
    </row>
    <row r="471" spans="1:26" x14ac:dyDescent="0.25">
      <c r="A471" s="93"/>
      <c r="B471" s="93"/>
      <c r="C471" s="93"/>
      <c r="D471" s="93"/>
      <c r="E471" s="93"/>
      <c r="F471" s="93"/>
      <c r="G471" s="93"/>
      <c r="H471" s="93"/>
      <c r="I471" s="93"/>
      <c r="J471" s="93"/>
      <c r="K471" s="93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  <c r="X471" s="93"/>
      <c r="Y471" s="93"/>
      <c r="Z471" s="93"/>
    </row>
    <row r="472" spans="1:26" x14ac:dyDescent="0.25">
      <c r="A472" s="93"/>
      <c r="B472" s="93"/>
      <c r="C472" s="93"/>
      <c r="D472" s="93"/>
      <c r="E472" s="93"/>
      <c r="F472" s="93"/>
      <c r="G472" s="93"/>
      <c r="H472" s="93"/>
      <c r="I472" s="93"/>
      <c r="J472" s="93"/>
      <c r="K472" s="93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  <c r="X472" s="93"/>
      <c r="Y472" s="93"/>
      <c r="Z472" s="93"/>
    </row>
    <row r="473" spans="1:26" x14ac:dyDescent="0.25">
      <c r="A473" s="93"/>
      <c r="B473" s="93"/>
      <c r="C473" s="93"/>
      <c r="D473" s="93"/>
      <c r="E473" s="93"/>
      <c r="F473" s="93"/>
      <c r="G473" s="93"/>
      <c r="H473" s="93"/>
      <c r="I473" s="93"/>
      <c r="J473" s="93"/>
      <c r="K473" s="93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  <c r="X473" s="93"/>
      <c r="Y473" s="93"/>
      <c r="Z473" s="93"/>
    </row>
    <row r="474" spans="1:26" x14ac:dyDescent="0.25">
      <c r="A474" s="93"/>
      <c r="B474" s="93"/>
      <c r="C474" s="93"/>
      <c r="D474" s="93"/>
      <c r="E474" s="93"/>
      <c r="F474" s="93"/>
      <c r="G474" s="93"/>
      <c r="H474" s="93"/>
      <c r="I474" s="93"/>
      <c r="J474" s="93"/>
      <c r="K474" s="93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  <c r="X474" s="93"/>
      <c r="Y474" s="93"/>
      <c r="Z474" s="93"/>
    </row>
    <row r="475" spans="1:26" x14ac:dyDescent="0.25">
      <c r="A475" s="93"/>
      <c r="B475" s="93"/>
      <c r="C475" s="93"/>
      <c r="D475" s="93"/>
      <c r="E475" s="93"/>
      <c r="F475" s="93"/>
      <c r="G475" s="93"/>
      <c r="H475" s="93"/>
      <c r="I475" s="93"/>
      <c r="J475" s="93"/>
      <c r="K475" s="93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  <c r="X475" s="93"/>
      <c r="Y475" s="93"/>
      <c r="Z475" s="93"/>
    </row>
    <row r="476" spans="1:26" x14ac:dyDescent="0.25">
      <c r="A476" s="93"/>
      <c r="B476" s="93"/>
      <c r="C476" s="93"/>
      <c r="D476" s="93"/>
      <c r="E476" s="93"/>
      <c r="F476" s="93"/>
      <c r="G476" s="93"/>
      <c r="H476" s="93"/>
      <c r="I476" s="93"/>
      <c r="J476" s="93"/>
      <c r="K476" s="93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  <c r="X476" s="93"/>
      <c r="Y476" s="93"/>
      <c r="Z476" s="93"/>
    </row>
    <row r="477" spans="1:26" x14ac:dyDescent="0.25">
      <c r="A477" s="93"/>
      <c r="B477" s="93"/>
      <c r="C477" s="93"/>
      <c r="D477" s="93"/>
      <c r="E477" s="93"/>
      <c r="F477" s="93"/>
      <c r="G477" s="93"/>
      <c r="H477" s="93"/>
      <c r="I477" s="93"/>
      <c r="J477" s="93"/>
      <c r="K477" s="93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  <c r="X477" s="93"/>
      <c r="Y477" s="93"/>
      <c r="Z477" s="93"/>
    </row>
    <row r="478" spans="1:26" x14ac:dyDescent="0.25">
      <c r="A478" s="93"/>
      <c r="B478" s="93"/>
      <c r="C478" s="93"/>
      <c r="D478" s="93"/>
      <c r="E478" s="93"/>
      <c r="F478" s="93"/>
      <c r="G478" s="93"/>
      <c r="H478" s="93"/>
      <c r="I478" s="93"/>
      <c r="J478" s="93"/>
      <c r="K478" s="93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  <c r="X478" s="93"/>
      <c r="Y478" s="93"/>
      <c r="Z478" s="93"/>
    </row>
    <row r="479" spans="1:26" x14ac:dyDescent="0.25">
      <c r="A479" s="93"/>
      <c r="B479" s="93"/>
      <c r="C479" s="93"/>
      <c r="D479" s="93"/>
      <c r="E479" s="93"/>
      <c r="F479" s="93"/>
      <c r="G479" s="93"/>
      <c r="H479" s="93"/>
      <c r="I479" s="93"/>
      <c r="J479" s="93"/>
      <c r="K479" s="93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  <c r="X479" s="93"/>
      <c r="Y479" s="93"/>
      <c r="Z479" s="93"/>
    </row>
    <row r="480" spans="1:26" x14ac:dyDescent="0.25">
      <c r="A480" s="93"/>
      <c r="B480" s="93"/>
      <c r="C480" s="93"/>
      <c r="D480" s="93"/>
      <c r="E480" s="93"/>
      <c r="F480" s="93"/>
      <c r="G480" s="93"/>
      <c r="H480" s="93"/>
      <c r="I480" s="93"/>
      <c r="J480" s="93"/>
      <c r="K480" s="93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  <c r="X480" s="93"/>
      <c r="Y480" s="93"/>
      <c r="Z480" s="93"/>
    </row>
    <row r="481" spans="1:26" x14ac:dyDescent="0.25">
      <c r="A481" s="93"/>
      <c r="B481" s="93"/>
      <c r="C481" s="93"/>
      <c r="D481" s="93"/>
      <c r="E481" s="93"/>
      <c r="F481" s="93"/>
      <c r="G481" s="93"/>
      <c r="H481" s="93"/>
      <c r="I481" s="93"/>
      <c r="J481" s="93"/>
      <c r="K481" s="93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  <c r="X481" s="93"/>
      <c r="Y481" s="93"/>
      <c r="Z481" s="93"/>
    </row>
    <row r="482" spans="1:26" x14ac:dyDescent="0.25">
      <c r="A482" s="93"/>
      <c r="B482" s="93"/>
      <c r="C482" s="93"/>
      <c r="D482" s="93"/>
      <c r="E482" s="93"/>
      <c r="F482" s="93"/>
      <c r="G482" s="93"/>
      <c r="H482" s="93"/>
      <c r="I482" s="93"/>
      <c r="J482" s="93"/>
      <c r="K482" s="93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  <c r="X482" s="93"/>
      <c r="Y482" s="93"/>
      <c r="Z482" s="93"/>
    </row>
    <row r="483" spans="1:26" x14ac:dyDescent="0.25">
      <c r="A483" s="93"/>
      <c r="B483" s="93"/>
      <c r="C483" s="93"/>
      <c r="D483" s="93"/>
      <c r="E483" s="93"/>
      <c r="F483" s="93"/>
      <c r="G483" s="93"/>
      <c r="H483" s="93"/>
      <c r="I483" s="93"/>
      <c r="J483" s="93"/>
      <c r="K483" s="93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  <c r="X483" s="93"/>
      <c r="Y483" s="93"/>
      <c r="Z483" s="93"/>
    </row>
    <row r="484" spans="1:26" x14ac:dyDescent="0.25">
      <c r="A484" s="93"/>
      <c r="B484" s="93"/>
      <c r="C484" s="93"/>
      <c r="D484" s="93"/>
      <c r="E484" s="93"/>
      <c r="F484" s="93"/>
      <c r="G484" s="93"/>
      <c r="H484" s="93"/>
      <c r="I484" s="93"/>
      <c r="J484" s="93"/>
      <c r="K484" s="93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  <c r="X484" s="93"/>
      <c r="Y484" s="93"/>
      <c r="Z484" s="93"/>
    </row>
    <row r="485" spans="1:26" x14ac:dyDescent="0.25">
      <c r="A485" s="93"/>
      <c r="B485" s="93"/>
      <c r="C485" s="93"/>
      <c r="D485" s="93"/>
      <c r="E485" s="93"/>
      <c r="F485" s="93"/>
      <c r="G485" s="93"/>
      <c r="H485" s="93"/>
      <c r="I485" s="93"/>
      <c r="J485" s="93"/>
      <c r="K485" s="93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  <c r="X485" s="93"/>
      <c r="Y485" s="93"/>
      <c r="Z485" s="93"/>
    </row>
    <row r="486" spans="1:26" x14ac:dyDescent="0.25">
      <c r="A486" s="93"/>
      <c r="B486" s="93"/>
      <c r="C486" s="93"/>
      <c r="D486" s="93"/>
      <c r="E486" s="93"/>
      <c r="F486" s="93"/>
      <c r="G486" s="93"/>
      <c r="H486" s="93"/>
      <c r="I486" s="93"/>
      <c r="J486" s="93"/>
      <c r="K486" s="93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  <c r="X486" s="93"/>
      <c r="Y486" s="93"/>
      <c r="Z486" s="93"/>
    </row>
    <row r="487" spans="1:26" x14ac:dyDescent="0.25">
      <c r="A487" s="93"/>
      <c r="B487" s="93"/>
      <c r="C487" s="93"/>
      <c r="D487" s="93"/>
      <c r="E487" s="93"/>
      <c r="F487" s="93"/>
      <c r="G487" s="93"/>
      <c r="H487" s="93"/>
      <c r="I487" s="93"/>
      <c r="J487" s="93"/>
      <c r="K487" s="93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  <c r="X487" s="93"/>
      <c r="Y487" s="93"/>
      <c r="Z487" s="93"/>
    </row>
    <row r="488" spans="1:26" x14ac:dyDescent="0.25">
      <c r="A488" s="93"/>
      <c r="B488" s="93"/>
      <c r="C488" s="93"/>
      <c r="D488" s="93"/>
      <c r="E488" s="93"/>
      <c r="F488" s="93"/>
      <c r="G488" s="93"/>
      <c r="H488" s="93"/>
      <c r="I488" s="93"/>
      <c r="J488" s="93"/>
      <c r="K488" s="93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  <c r="X488" s="93"/>
      <c r="Y488" s="93"/>
      <c r="Z488" s="93"/>
    </row>
    <row r="489" spans="1:26" x14ac:dyDescent="0.25">
      <c r="A489" s="93"/>
      <c r="B489" s="93"/>
      <c r="C489" s="93"/>
      <c r="D489" s="93"/>
      <c r="E489" s="93"/>
      <c r="F489" s="93"/>
      <c r="G489" s="93"/>
      <c r="H489" s="93"/>
      <c r="I489" s="93"/>
      <c r="J489" s="93"/>
      <c r="K489" s="93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  <c r="X489" s="93"/>
      <c r="Y489" s="93"/>
      <c r="Z489" s="93"/>
    </row>
    <row r="490" spans="1:26" x14ac:dyDescent="0.25">
      <c r="A490" s="93"/>
      <c r="B490" s="93"/>
      <c r="C490" s="93"/>
      <c r="D490" s="93"/>
      <c r="E490" s="93"/>
      <c r="F490" s="93"/>
      <c r="G490" s="93"/>
      <c r="H490" s="93"/>
      <c r="I490" s="93"/>
      <c r="J490" s="93"/>
      <c r="K490" s="93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  <c r="X490" s="93"/>
      <c r="Y490" s="93"/>
      <c r="Z490" s="93"/>
    </row>
    <row r="491" spans="1:26" x14ac:dyDescent="0.25">
      <c r="A491" s="93"/>
      <c r="B491" s="93"/>
      <c r="C491" s="93"/>
      <c r="D491" s="93"/>
      <c r="E491" s="93"/>
      <c r="F491" s="93"/>
      <c r="G491" s="93"/>
      <c r="H491" s="93"/>
      <c r="I491" s="93"/>
      <c r="J491" s="93"/>
      <c r="K491" s="93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  <c r="X491" s="93"/>
      <c r="Y491" s="93"/>
      <c r="Z491" s="93"/>
    </row>
    <row r="492" spans="1:26" x14ac:dyDescent="0.25">
      <c r="A492" s="93"/>
      <c r="B492" s="93"/>
      <c r="C492" s="93"/>
      <c r="D492" s="93"/>
      <c r="E492" s="93"/>
      <c r="F492" s="93"/>
      <c r="G492" s="93"/>
      <c r="H492" s="93"/>
      <c r="I492" s="93"/>
      <c r="J492" s="93"/>
      <c r="K492" s="93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  <c r="X492" s="93"/>
      <c r="Y492" s="93"/>
      <c r="Z492" s="93"/>
    </row>
    <row r="493" spans="1:26" x14ac:dyDescent="0.25">
      <c r="A493" s="93"/>
      <c r="B493" s="93"/>
      <c r="C493" s="93"/>
      <c r="D493" s="93"/>
      <c r="E493" s="93"/>
      <c r="F493" s="93"/>
      <c r="G493" s="93"/>
      <c r="H493" s="93"/>
      <c r="I493" s="93"/>
      <c r="J493" s="93"/>
      <c r="K493" s="93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  <c r="X493" s="93"/>
      <c r="Y493" s="93"/>
      <c r="Z493" s="93"/>
    </row>
    <row r="494" spans="1:26" x14ac:dyDescent="0.25">
      <c r="A494" s="93"/>
      <c r="B494" s="93"/>
      <c r="C494" s="93"/>
      <c r="D494" s="93"/>
      <c r="E494" s="93"/>
      <c r="F494" s="93"/>
      <c r="G494" s="93"/>
      <c r="H494" s="93"/>
      <c r="I494" s="93"/>
      <c r="J494" s="93"/>
      <c r="K494" s="93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  <c r="X494" s="93"/>
      <c r="Y494" s="93"/>
      <c r="Z494" s="93"/>
    </row>
    <row r="495" spans="1:26" x14ac:dyDescent="0.25">
      <c r="A495" s="93"/>
      <c r="B495" s="93"/>
      <c r="C495" s="93"/>
      <c r="D495" s="93"/>
      <c r="E495" s="93"/>
      <c r="F495" s="93"/>
      <c r="G495" s="93"/>
      <c r="H495" s="93"/>
      <c r="I495" s="93"/>
      <c r="J495" s="93"/>
      <c r="K495" s="93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  <c r="X495" s="93"/>
      <c r="Y495" s="93"/>
      <c r="Z495" s="93"/>
    </row>
    <row r="496" spans="1:26" x14ac:dyDescent="0.25">
      <c r="A496" s="93"/>
      <c r="B496" s="93"/>
      <c r="C496" s="93"/>
      <c r="D496" s="93"/>
      <c r="E496" s="93"/>
      <c r="F496" s="93"/>
      <c r="G496" s="93"/>
      <c r="H496" s="93"/>
      <c r="I496" s="93"/>
      <c r="J496" s="93"/>
      <c r="K496" s="93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  <c r="X496" s="93"/>
      <c r="Y496" s="93"/>
      <c r="Z496" s="93"/>
    </row>
    <row r="497" spans="1:26" x14ac:dyDescent="0.25">
      <c r="A497" s="93"/>
      <c r="B497" s="93"/>
      <c r="C497" s="93"/>
      <c r="D497" s="93"/>
      <c r="E497" s="93"/>
      <c r="F497" s="93"/>
      <c r="G497" s="93"/>
      <c r="H497" s="93"/>
      <c r="I497" s="93"/>
      <c r="J497" s="93"/>
      <c r="K497" s="93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  <c r="X497" s="93"/>
      <c r="Y497" s="93"/>
      <c r="Z497" s="93"/>
    </row>
    <row r="498" spans="1:26" x14ac:dyDescent="0.25">
      <c r="A498" s="93"/>
      <c r="B498" s="93"/>
      <c r="C498" s="93"/>
      <c r="D498" s="93"/>
      <c r="E498" s="93"/>
      <c r="F498" s="93"/>
      <c r="G498" s="93"/>
      <c r="H498" s="93"/>
      <c r="I498" s="93"/>
      <c r="J498" s="93"/>
      <c r="K498" s="93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  <c r="X498" s="93"/>
      <c r="Y498" s="93"/>
      <c r="Z498" s="93"/>
    </row>
    <row r="499" spans="1:26" x14ac:dyDescent="0.25">
      <c r="A499" s="93"/>
      <c r="B499" s="93"/>
      <c r="C499" s="93"/>
      <c r="D499" s="93"/>
      <c r="E499" s="93"/>
      <c r="F499" s="93"/>
      <c r="G499" s="93"/>
      <c r="H499" s="93"/>
      <c r="I499" s="93"/>
      <c r="J499" s="93"/>
      <c r="K499" s="93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  <c r="X499" s="93"/>
      <c r="Y499" s="93"/>
      <c r="Z499" s="93"/>
    </row>
    <row r="500" spans="1:26" x14ac:dyDescent="0.25">
      <c r="A500" s="93"/>
      <c r="B500" s="93"/>
      <c r="C500" s="93"/>
      <c r="D500" s="93"/>
      <c r="E500" s="93"/>
      <c r="F500" s="93"/>
      <c r="G500" s="93"/>
      <c r="H500" s="93"/>
      <c r="I500" s="93"/>
      <c r="J500" s="93"/>
      <c r="K500" s="93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  <c r="X500" s="93"/>
      <c r="Y500" s="93"/>
      <c r="Z500" s="93"/>
    </row>
    <row r="501" spans="1:26" x14ac:dyDescent="0.25">
      <c r="A501" s="93"/>
      <c r="B501" s="93"/>
      <c r="C501" s="93"/>
      <c r="D501" s="93"/>
      <c r="E501" s="93"/>
      <c r="F501" s="93"/>
      <c r="G501" s="93"/>
      <c r="H501" s="93"/>
      <c r="I501" s="93"/>
      <c r="J501" s="93"/>
      <c r="K501" s="93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  <c r="X501" s="93"/>
      <c r="Y501" s="93"/>
      <c r="Z501" s="93"/>
    </row>
    <row r="502" spans="1:26" x14ac:dyDescent="0.25">
      <c r="A502" s="93"/>
      <c r="B502" s="93"/>
      <c r="C502" s="93"/>
      <c r="D502" s="93"/>
      <c r="E502" s="93"/>
      <c r="F502" s="93"/>
      <c r="G502" s="93"/>
      <c r="H502" s="93"/>
      <c r="I502" s="93"/>
      <c r="J502" s="93"/>
      <c r="K502" s="93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  <c r="X502" s="93"/>
      <c r="Y502" s="93"/>
      <c r="Z502" s="93"/>
    </row>
    <row r="503" spans="1:26" x14ac:dyDescent="0.25">
      <c r="A503" s="93"/>
      <c r="B503" s="93"/>
      <c r="C503" s="93"/>
      <c r="D503" s="93"/>
      <c r="E503" s="93"/>
      <c r="F503" s="93"/>
      <c r="G503" s="93"/>
      <c r="H503" s="93"/>
      <c r="I503" s="93"/>
      <c r="J503" s="93"/>
      <c r="K503" s="93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  <c r="X503" s="93"/>
      <c r="Y503" s="93"/>
      <c r="Z503" s="93"/>
    </row>
    <row r="504" spans="1:26" x14ac:dyDescent="0.25">
      <c r="A504" s="93"/>
      <c r="B504" s="93"/>
      <c r="C504" s="93"/>
      <c r="D504" s="93"/>
      <c r="E504" s="93"/>
      <c r="F504" s="93"/>
      <c r="G504" s="93"/>
      <c r="H504" s="93"/>
      <c r="I504" s="93"/>
      <c r="J504" s="93"/>
      <c r="K504" s="93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  <c r="X504" s="93"/>
      <c r="Y504" s="93"/>
      <c r="Z504" s="93"/>
    </row>
    <row r="505" spans="1:26" x14ac:dyDescent="0.25">
      <c r="A505" s="93"/>
      <c r="B505" s="93"/>
      <c r="C505" s="93"/>
      <c r="D505" s="93"/>
      <c r="E505" s="93"/>
      <c r="F505" s="93"/>
      <c r="G505" s="93"/>
      <c r="H505" s="93"/>
      <c r="I505" s="93"/>
      <c r="J505" s="93"/>
      <c r="K505" s="93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  <c r="X505" s="93"/>
      <c r="Y505" s="93"/>
      <c r="Z505" s="93"/>
    </row>
    <row r="506" spans="1:26" x14ac:dyDescent="0.25">
      <c r="A506" s="93"/>
      <c r="B506" s="93"/>
      <c r="C506" s="93"/>
      <c r="D506" s="93"/>
      <c r="E506" s="93"/>
      <c r="F506" s="93"/>
      <c r="G506" s="93"/>
      <c r="H506" s="93"/>
      <c r="I506" s="93"/>
      <c r="J506" s="93"/>
      <c r="K506" s="93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  <c r="X506" s="93"/>
      <c r="Y506" s="93"/>
      <c r="Z506" s="93"/>
    </row>
    <row r="507" spans="1:26" x14ac:dyDescent="0.25">
      <c r="A507" s="93"/>
      <c r="B507" s="93"/>
      <c r="C507" s="93"/>
      <c r="D507" s="93"/>
      <c r="E507" s="93"/>
      <c r="F507" s="93"/>
      <c r="G507" s="93"/>
      <c r="H507" s="93"/>
      <c r="I507" s="93"/>
      <c r="J507" s="93"/>
      <c r="K507" s="93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  <c r="X507" s="93"/>
      <c r="Y507" s="93"/>
      <c r="Z507" s="93"/>
    </row>
    <row r="508" spans="1:26" x14ac:dyDescent="0.25">
      <c r="A508" s="93"/>
      <c r="B508" s="93"/>
      <c r="C508" s="93"/>
      <c r="D508" s="93"/>
      <c r="E508" s="93"/>
      <c r="F508" s="93"/>
      <c r="G508" s="93"/>
      <c r="H508" s="93"/>
      <c r="I508" s="93"/>
      <c r="J508" s="93"/>
      <c r="K508" s="93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  <c r="X508" s="93"/>
      <c r="Y508" s="93"/>
      <c r="Z508" s="93"/>
    </row>
    <row r="509" spans="1:26" x14ac:dyDescent="0.25">
      <c r="A509" s="93"/>
      <c r="B509" s="93"/>
      <c r="C509" s="93"/>
      <c r="D509" s="93"/>
      <c r="E509" s="93"/>
      <c r="F509" s="93"/>
      <c r="G509" s="93"/>
      <c r="H509" s="93"/>
      <c r="I509" s="93"/>
      <c r="J509" s="93"/>
      <c r="K509" s="93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  <c r="X509" s="93"/>
      <c r="Y509" s="93"/>
      <c r="Z509" s="93"/>
    </row>
    <row r="510" spans="1:26" x14ac:dyDescent="0.25">
      <c r="A510" s="93"/>
      <c r="B510" s="93"/>
      <c r="C510" s="93"/>
      <c r="D510" s="93"/>
      <c r="E510" s="93"/>
      <c r="F510" s="93"/>
      <c r="G510" s="93"/>
      <c r="H510" s="93"/>
      <c r="I510" s="93"/>
      <c r="J510" s="93"/>
      <c r="K510" s="93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  <c r="X510" s="93"/>
      <c r="Y510" s="93"/>
      <c r="Z510" s="93"/>
    </row>
    <row r="511" spans="1:26" x14ac:dyDescent="0.25">
      <c r="A511" s="93"/>
      <c r="B511" s="93"/>
      <c r="C511" s="93"/>
      <c r="D511" s="93"/>
      <c r="E511" s="93"/>
      <c r="F511" s="93"/>
      <c r="G511" s="93"/>
      <c r="H511" s="93"/>
      <c r="I511" s="93"/>
      <c r="J511" s="93"/>
      <c r="K511" s="93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  <c r="X511" s="93"/>
      <c r="Y511" s="93"/>
      <c r="Z511" s="93"/>
    </row>
    <row r="512" spans="1:26" x14ac:dyDescent="0.25">
      <c r="A512" s="93"/>
      <c r="B512" s="93"/>
      <c r="C512" s="93"/>
      <c r="D512" s="93"/>
      <c r="E512" s="93"/>
      <c r="F512" s="93"/>
      <c r="G512" s="93"/>
      <c r="H512" s="93"/>
      <c r="I512" s="93"/>
      <c r="J512" s="93"/>
      <c r="K512" s="93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  <c r="X512" s="93"/>
      <c r="Y512" s="93"/>
      <c r="Z512" s="93"/>
    </row>
    <row r="513" spans="1:26" x14ac:dyDescent="0.25">
      <c r="A513" s="93"/>
      <c r="B513" s="93"/>
      <c r="C513" s="93"/>
      <c r="D513" s="93"/>
      <c r="E513" s="93"/>
      <c r="F513" s="93"/>
      <c r="G513" s="93"/>
      <c r="H513" s="93"/>
      <c r="I513" s="93"/>
      <c r="J513" s="93"/>
      <c r="K513" s="93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  <c r="X513" s="93"/>
      <c r="Y513" s="93"/>
      <c r="Z513" s="93"/>
    </row>
    <row r="514" spans="1:26" x14ac:dyDescent="0.25">
      <c r="A514" s="93"/>
      <c r="B514" s="93"/>
      <c r="C514" s="93"/>
      <c r="D514" s="93"/>
      <c r="E514" s="93"/>
      <c r="F514" s="93"/>
      <c r="G514" s="93"/>
      <c r="H514" s="93"/>
      <c r="I514" s="93"/>
      <c r="J514" s="93"/>
      <c r="K514" s="93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  <c r="X514" s="93"/>
      <c r="Y514" s="93"/>
      <c r="Z514" s="93"/>
    </row>
    <row r="515" spans="1:26" x14ac:dyDescent="0.25">
      <c r="A515" s="93"/>
      <c r="B515" s="93"/>
      <c r="C515" s="93"/>
      <c r="D515" s="93"/>
      <c r="E515" s="93"/>
      <c r="F515" s="93"/>
      <c r="G515" s="93"/>
      <c r="H515" s="93"/>
      <c r="I515" s="93"/>
      <c r="J515" s="93"/>
      <c r="K515" s="93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  <c r="X515" s="93"/>
      <c r="Y515" s="93"/>
      <c r="Z515" s="93"/>
    </row>
    <row r="516" spans="1:26" x14ac:dyDescent="0.25">
      <c r="A516" s="93"/>
      <c r="B516" s="93"/>
      <c r="C516" s="93"/>
      <c r="D516" s="93"/>
      <c r="E516" s="93"/>
      <c r="F516" s="93"/>
      <c r="G516" s="93"/>
      <c r="H516" s="93"/>
      <c r="I516" s="93"/>
      <c r="J516" s="93"/>
      <c r="K516" s="93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  <c r="X516" s="93"/>
      <c r="Y516" s="93"/>
      <c r="Z516" s="93"/>
    </row>
    <row r="517" spans="1:26" x14ac:dyDescent="0.25">
      <c r="A517" s="93"/>
      <c r="B517" s="93"/>
      <c r="C517" s="93"/>
      <c r="D517" s="93"/>
      <c r="E517" s="93"/>
      <c r="F517" s="93"/>
      <c r="G517" s="93"/>
      <c r="H517" s="93"/>
      <c r="I517" s="93"/>
      <c r="J517" s="93"/>
      <c r="K517" s="93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  <c r="X517" s="93"/>
      <c r="Y517" s="93"/>
      <c r="Z517" s="93"/>
    </row>
    <row r="518" spans="1:26" x14ac:dyDescent="0.25">
      <c r="A518" s="93"/>
      <c r="B518" s="93"/>
      <c r="C518" s="93"/>
      <c r="D518" s="93"/>
      <c r="E518" s="93"/>
      <c r="F518" s="93"/>
      <c r="G518" s="93"/>
      <c r="H518" s="93"/>
      <c r="I518" s="93"/>
      <c r="J518" s="93"/>
      <c r="K518" s="93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  <c r="X518" s="93"/>
      <c r="Y518" s="93"/>
      <c r="Z518" s="93"/>
    </row>
    <row r="519" spans="1:26" x14ac:dyDescent="0.25">
      <c r="A519" s="93"/>
      <c r="B519" s="93"/>
      <c r="C519" s="93"/>
      <c r="D519" s="93"/>
      <c r="E519" s="93"/>
      <c r="F519" s="93"/>
      <c r="G519" s="93"/>
      <c r="H519" s="93"/>
      <c r="I519" s="93"/>
      <c r="J519" s="93"/>
      <c r="K519" s="93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  <c r="X519" s="93"/>
      <c r="Y519" s="93"/>
      <c r="Z519" s="93"/>
    </row>
    <row r="520" spans="1:26" x14ac:dyDescent="0.25">
      <c r="A520" s="93"/>
      <c r="B520" s="93"/>
      <c r="C520" s="93"/>
      <c r="D520" s="93"/>
      <c r="E520" s="93"/>
      <c r="F520" s="93"/>
      <c r="G520" s="93"/>
      <c r="H520" s="93"/>
      <c r="I520" s="93"/>
      <c r="J520" s="93"/>
      <c r="K520" s="93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  <c r="X520" s="93"/>
      <c r="Y520" s="93"/>
      <c r="Z520" s="93"/>
    </row>
    <row r="521" spans="1:26" x14ac:dyDescent="0.25">
      <c r="A521" s="93"/>
      <c r="B521" s="93"/>
      <c r="C521" s="93"/>
      <c r="D521" s="93"/>
      <c r="E521" s="93"/>
      <c r="F521" s="93"/>
      <c r="G521" s="93"/>
      <c r="H521" s="93"/>
      <c r="I521" s="93"/>
      <c r="J521" s="93"/>
      <c r="K521" s="93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  <c r="X521" s="93"/>
      <c r="Y521" s="93"/>
      <c r="Z521" s="93"/>
    </row>
    <row r="522" spans="1:26" x14ac:dyDescent="0.25">
      <c r="A522" s="93"/>
      <c r="B522" s="93"/>
      <c r="C522" s="93"/>
      <c r="D522" s="93"/>
      <c r="E522" s="93"/>
      <c r="F522" s="93"/>
      <c r="G522" s="93"/>
      <c r="H522" s="93"/>
      <c r="I522" s="93"/>
      <c r="J522" s="93"/>
      <c r="K522" s="93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  <c r="X522" s="93"/>
      <c r="Y522" s="93"/>
      <c r="Z522" s="93"/>
    </row>
    <row r="523" spans="1:26" x14ac:dyDescent="0.25">
      <c r="A523" s="93"/>
      <c r="B523" s="93"/>
      <c r="C523" s="93"/>
      <c r="D523" s="93"/>
      <c r="E523" s="93"/>
      <c r="F523" s="93"/>
      <c r="G523" s="93"/>
      <c r="H523" s="93"/>
      <c r="I523" s="93"/>
      <c r="J523" s="93"/>
      <c r="K523" s="93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  <c r="X523" s="93"/>
      <c r="Y523" s="93"/>
      <c r="Z523" s="93"/>
    </row>
    <row r="524" spans="1:26" x14ac:dyDescent="0.25">
      <c r="A524" s="93"/>
      <c r="B524" s="93"/>
      <c r="C524" s="93"/>
      <c r="D524" s="93"/>
      <c r="E524" s="93"/>
      <c r="F524" s="93"/>
      <c r="G524" s="93"/>
      <c r="H524" s="93"/>
      <c r="I524" s="93"/>
      <c r="J524" s="93"/>
      <c r="K524" s="93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  <c r="X524" s="93"/>
      <c r="Y524" s="93"/>
      <c r="Z524" s="93"/>
    </row>
    <row r="525" spans="1:26" x14ac:dyDescent="0.25">
      <c r="A525" s="93"/>
      <c r="B525" s="93"/>
      <c r="C525" s="93"/>
      <c r="D525" s="93"/>
      <c r="E525" s="93"/>
      <c r="F525" s="93"/>
      <c r="G525" s="93"/>
      <c r="H525" s="93"/>
      <c r="I525" s="93"/>
      <c r="J525" s="93"/>
      <c r="K525" s="93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  <c r="X525" s="93"/>
      <c r="Y525" s="93"/>
      <c r="Z525" s="93"/>
    </row>
    <row r="526" spans="1:26" x14ac:dyDescent="0.25">
      <c r="A526" s="93"/>
      <c r="B526" s="93"/>
      <c r="C526" s="93"/>
      <c r="D526" s="93"/>
      <c r="E526" s="93"/>
      <c r="F526" s="93"/>
      <c r="G526" s="93"/>
      <c r="H526" s="93"/>
      <c r="I526" s="93"/>
      <c r="J526" s="93"/>
      <c r="K526" s="93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  <c r="X526" s="93"/>
      <c r="Y526" s="93"/>
      <c r="Z526" s="93"/>
    </row>
    <row r="527" spans="1:26" x14ac:dyDescent="0.25">
      <c r="A527" s="93"/>
      <c r="B527" s="93"/>
      <c r="C527" s="93"/>
      <c r="D527" s="93"/>
      <c r="E527" s="93"/>
      <c r="F527" s="93"/>
      <c r="G527" s="93"/>
      <c r="H527" s="93"/>
      <c r="I527" s="93"/>
      <c r="J527" s="93"/>
      <c r="K527" s="93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  <c r="X527" s="93"/>
      <c r="Y527" s="93"/>
      <c r="Z527" s="93"/>
    </row>
    <row r="528" spans="1:26" x14ac:dyDescent="0.25">
      <c r="A528" s="93"/>
      <c r="B528" s="93"/>
      <c r="C528" s="93"/>
      <c r="D528" s="93"/>
      <c r="E528" s="93"/>
      <c r="F528" s="93"/>
      <c r="G528" s="93"/>
      <c r="H528" s="93"/>
      <c r="I528" s="93"/>
      <c r="J528" s="93"/>
      <c r="K528" s="93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  <c r="X528" s="93"/>
      <c r="Y528" s="93"/>
      <c r="Z528" s="93"/>
    </row>
    <row r="529" spans="1:26" x14ac:dyDescent="0.25">
      <c r="A529" s="93"/>
      <c r="B529" s="93"/>
      <c r="C529" s="93"/>
      <c r="D529" s="93"/>
      <c r="E529" s="93"/>
      <c r="F529" s="93"/>
      <c r="G529" s="93"/>
      <c r="H529" s="93"/>
      <c r="I529" s="93"/>
      <c r="J529" s="93"/>
      <c r="K529" s="93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  <c r="X529" s="93"/>
      <c r="Y529" s="93"/>
      <c r="Z529" s="93"/>
    </row>
    <row r="530" spans="1:26" x14ac:dyDescent="0.25">
      <c r="A530" s="93"/>
      <c r="B530" s="93"/>
      <c r="C530" s="93"/>
      <c r="D530" s="93"/>
      <c r="E530" s="93"/>
      <c r="F530" s="93"/>
      <c r="G530" s="93"/>
      <c r="H530" s="93"/>
      <c r="I530" s="93"/>
      <c r="J530" s="93"/>
      <c r="K530" s="93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  <c r="X530" s="93"/>
      <c r="Y530" s="93"/>
      <c r="Z530" s="93"/>
    </row>
    <row r="531" spans="1:26" x14ac:dyDescent="0.25">
      <c r="A531" s="93"/>
      <c r="B531" s="93"/>
      <c r="C531" s="93"/>
      <c r="D531" s="93"/>
      <c r="E531" s="93"/>
      <c r="F531" s="93"/>
      <c r="G531" s="93"/>
      <c r="H531" s="93"/>
      <c r="I531" s="93"/>
      <c r="J531" s="93"/>
      <c r="K531" s="93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  <c r="X531" s="93"/>
      <c r="Y531" s="93"/>
      <c r="Z531" s="93"/>
    </row>
    <row r="532" spans="1:26" x14ac:dyDescent="0.25">
      <c r="A532" s="93"/>
      <c r="B532" s="93"/>
      <c r="C532" s="93"/>
      <c r="D532" s="93"/>
      <c r="E532" s="93"/>
      <c r="F532" s="93"/>
      <c r="G532" s="93"/>
      <c r="H532" s="93"/>
      <c r="I532" s="93"/>
      <c r="J532" s="93"/>
      <c r="K532" s="93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  <c r="X532" s="93"/>
      <c r="Y532" s="93"/>
      <c r="Z532" s="93"/>
    </row>
    <row r="533" spans="1:26" x14ac:dyDescent="0.25">
      <c r="A533" s="93"/>
      <c r="B533" s="93"/>
      <c r="C533" s="93"/>
      <c r="D533" s="93"/>
      <c r="E533" s="93"/>
      <c r="F533" s="93"/>
      <c r="G533" s="93"/>
      <c r="H533" s="93"/>
      <c r="I533" s="93"/>
      <c r="J533" s="93"/>
      <c r="K533" s="93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  <c r="X533" s="93"/>
      <c r="Y533" s="93"/>
      <c r="Z533" s="93"/>
    </row>
    <row r="534" spans="1:26" x14ac:dyDescent="0.25">
      <c r="A534" s="93"/>
      <c r="B534" s="93"/>
      <c r="C534" s="93"/>
      <c r="D534" s="93"/>
      <c r="E534" s="93"/>
      <c r="F534" s="93"/>
      <c r="G534" s="93"/>
      <c r="H534" s="93"/>
      <c r="I534" s="93"/>
      <c r="J534" s="93"/>
      <c r="K534" s="93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  <c r="X534" s="93"/>
      <c r="Y534" s="93"/>
      <c r="Z534" s="93"/>
    </row>
    <row r="535" spans="1:26" x14ac:dyDescent="0.25">
      <c r="A535" s="93"/>
      <c r="B535" s="93"/>
      <c r="C535" s="93"/>
      <c r="D535" s="93"/>
      <c r="E535" s="93"/>
      <c r="F535" s="93"/>
      <c r="G535" s="93"/>
      <c r="H535" s="93"/>
      <c r="I535" s="93"/>
      <c r="J535" s="93"/>
      <c r="K535" s="93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  <c r="X535" s="93"/>
      <c r="Y535" s="93"/>
      <c r="Z535" s="93"/>
    </row>
    <row r="536" spans="1:26" x14ac:dyDescent="0.25">
      <c r="A536" s="93"/>
      <c r="B536" s="93"/>
      <c r="C536" s="93"/>
      <c r="D536" s="93"/>
      <c r="E536" s="93"/>
      <c r="F536" s="93"/>
      <c r="G536" s="93"/>
      <c r="H536" s="93"/>
      <c r="I536" s="93"/>
      <c r="J536" s="93"/>
      <c r="K536" s="93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  <c r="X536" s="93"/>
      <c r="Y536" s="93"/>
      <c r="Z536" s="93"/>
    </row>
    <row r="537" spans="1:26" x14ac:dyDescent="0.25">
      <c r="A537" s="93"/>
      <c r="B537" s="93"/>
      <c r="C537" s="93"/>
      <c r="D537" s="93"/>
      <c r="E537" s="93"/>
      <c r="F537" s="93"/>
      <c r="G537" s="93"/>
      <c r="H537" s="93"/>
      <c r="I537" s="93"/>
      <c r="J537" s="93"/>
      <c r="K537" s="93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  <c r="X537" s="93"/>
      <c r="Y537" s="93"/>
      <c r="Z537" s="93"/>
    </row>
    <row r="538" spans="1:26" x14ac:dyDescent="0.25">
      <c r="A538" s="93"/>
      <c r="B538" s="93"/>
      <c r="C538" s="93"/>
      <c r="D538" s="93"/>
      <c r="E538" s="93"/>
      <c r="F538" s="93"/>
      <c r="G538" s="93"/>
      <c r="H538" s="93"/>
      <c r="I538" s="93"/>
      <c r="J538" s="93"/>
      <c r="K538" s="93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  <c r="X538" s="93"/>
      <c r="Y538" s="93"/>
      <c r="Z538" s="93"/>
    </row>
    <row r="539" spans="1:26" x14ac:dyDescent="0.25">
      <c r="A539" s="93"/>
      <c r="B539" s="93"/>
      <c r="C539" s="93"/>
      <c r="D539" s="93"/>
      <c r="E539" s="93"/>
      <c r="F539" s="93"/>
      <c r="G539" s="93"/>
      <c r="H539" s="93"/>
      <c r="I539" s="93"/>
      <c r="J539" s="93"/>
      <c r="K539" s="93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  <c r="X539" s="93"/>
      <c r="Y539" s="93"/>
      <c r="Z539" s="93"/>
    </row>
    <row r="540" spans="1:26" x14ac:dyDescent="0.25">
      <c r="A540" s="93"/>
      <c r="B540" s="93"/>
      <c r="C540" s="93"/>
      <c r="D540" s="93"/>
      <c r="E540" s="93"/>
      <c r="F540" s="93"/>
      <c r="G540" s="93"/>
      <c r="H540" s="93"/>
      <c r="I540" s="93"/>
      <c r="J540" s="93"/>
      <c r="K540" s="93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  <c r="X540" s="93"/>
      <c r="Y540" s="93"/>
      <c r="Z540" s="93"/>
    </row>
    <row r="541" spans="1:26" x14ac:dyDescent="0.25">
      <c r="A541" s="93"/>
      <c r="B541" s="93"/>
      <c r="C541" s="93"/>
      <c r="D541" s="93"/>
      <c r="E541" s="93"/>
      <c r="F541" s="93"/>
      <c r="G541" s="93"/>
      <c r="H541" s="93"/>
      <c r="I541" s="93"/>
      <c r="J541" s="93"/>
      <c r="K541" s="93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  <c r="X541" s="93"/>
      <c r="Y541" s="93"/>
      <c r="Z541" s="93"/>
    </row>
    <row r="542" spans="1:26" x14ac:dyDescent="0.25">
      <c r="A542" s="93"/>
      <c r="B542" s="93"/>
      <c r="C542" s="93"/>
      <c r="D542" s="93"/>
      <c r="E542" s="93"/>
      <c r="F542" s="93"/>
      <c r="G542" s="93"/>
      <c r="H542" s="93"/>
      <c r="I542" s="93"/>
      <c r="J542" s="93"/>
      <c r="K542" s="93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  <c r="X542" s="93"/>
      <c r="Y542" s="93"/>
      <c r="Z542" s="93"/>
    </row>
    <row r="543" spans="1:26" x14ac:dyDescent="0.25">
      <c r="A543" s="93"/>
      <c r="B543" s="93"/>
      <c r="C543" s="93"/>
      <c r="D543" s="93"/>
      <c r="E543" s="93"/>
      <c r="F543" s="93"/>
      <c r="G543" s="93"/>
      <c r="H543" s="93"/>
      <c r="I543" s="93"/>
      <c r="J543" s="93"/>
      <c r="K543" s="93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  <c r="X543" s="93"/>
      <c r="Y543" s="93"/>
      <c r="Z543" s="93"/>
    </row>
    <row r="544" spans="1:26" x14ac:dyDescent="0.25">
      <c r="A544" s="93"/>
      <c r="B544" s="93"/>
      <c r="C544" s="93"/>
      <c r="D544" s="93"/>
      <c r="E544" s="93"/>
      <c r="F544" s="93"/>
      <c r="G544" s="93"/>
      <c r="H544" s="93"/>
      <c r="I544" s="93"/>
      <c r="J544" s="93"/>
      <c r="K544" s="93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  <c r="X544" s="93"/>
      <c r="Y544" s="93"/>
      <c r="Z544" s="93"/>
    </row>
    <row r="545" spans="1:26" x14ac:dyDescent="0.25">
      <c r="A545" s="93"/>
      <c r="B545" s="93"/>
      <c r="C545" s="93"/>
      <c r="D545" s="93"/>
      <c r="E545" s="93"/>
      <c r="F545" s="93"/>
      <c r="G545" s="93"/>
      <c r="H545" s="93"/>
      <c r="I545" s="93"/>
      <c r="J545" s="93"/>
      <c r="K545" s="93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  <c r="X545" s="93"/>
      <c r="Y545" s="93"/>
      <c r="Z545" s="93"/>
    </row>
    <row r="546" spans="1:26" x14ac:dyDescent="0.25">
      <c r="A546" s="93"/>
      <c r="B546" s="93"/>
      <c r="C546" s="93"/>
      <c r="D546" s="93"/>
      <c r="E546" s="93"/>
      <c r="F546" s="93"/>
      <c r="G546" s="93"/>
      <c r="H546" s="93"/>
      <c r="I546" s="93"/>
      <c r="J546" s="93"/>
      <c r="K546" s="93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  <c r="X546" s="93"/>
      <c r="Y546" s="93"/>
      <c r="Z546" s="93"/>
    </row>
    <row r="547" spans="1:26" x14ac:dyDescent="0.25">
      <c r="A547" s="93"/>
      <c r="B547" s="93"/>
      <c r="C547" s="93"/>
      <c r="D547" s="93"/>
      <c r="E547" s="93"/>
      <c r="F547" s="93"/>
      <c r="G547" s="93"/>
      <c r="H547" s="93"/>
      <c r="I547" s="93"/>
      <c r="J547" s="93"/>
      <c r="K547" s="93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  <c r="X547" s="93"/>
      <c r="Y547" s="93"/>
      <c r="Z547" s="93"/>
    </row>
    <row r="548" spans="1:26" x14ac:dyDescent="0.25">
      <c r="A548" s="93"/>
      <c r="B548" s="93"/>
      <c r="C548" s="93"/>
      <c r="D548" s="93"/>
      <c r="E548" s="93"/>
      <c r="F548" s="93"/>
      <c r="G548" s="93"/>
      <c r="H548" s="93"/>
      <c r="I548" s="93"/>
      <c r="J548" s="93"/>
      <c r="K548" s="93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  <c r="X548" s="93"/>
      <c r="Y548" s="93"/>
      <c r="Z548" s="93"/>
    </row>
    <row r="549" spans="1:26" x14ac:dyDescent="0.25">
      <c r="A549" s="93"/>
      <c r="B549" s="93"/>
      <c r="C549" s="93"/>
      <c r="D549" s="93"/>
      <c r="E549" s="93"/>
      <c r="F549" s="93"/>
      <c r="G549" s="93"/>
      <c r="H549" s="93"/>
      <c r="I549" s="93"/>
      <c r="J549" s="93"/>
      <c r="K549" s="93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  <c r="X549" s="93"/>
      <c r="Y549" s="93"/>
      <c r="Z549" s="93"/>
    </row>
    <row r="550" spans="1:26" x14ac:dyDescent="0.25">
      <c r="A550" s="93"/>
      <c r="B550" s="93"/>
      <c r="C550" s="93"/>
      <c r="D550" s="93"/>
      <c r="E550" s="93"/>
      <c r="F550" s="93"/>
      <c r="G550" s="93"/>
      <c r="H550" s="93"/>
      <c r="I550" s="93"/>
      <c r="J550" s="93"/>
      <c r="K550" s="93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  <c r="X550" s="93"/>
      <c r="Y550" s="93"/>
      <c r="Z550" s="93"/>
    </row>
    <row r="551" spans="1:26" x14ac:dyDescent="0.25">
      <c r="A551" s="93"/>
      <c r="B551" s="93"/>
      <c r="C551" s="93"/>
      <c r="D551" s="93"/>
      <c r="E551" s="93"/>
      <c r="F551" s="93"/>
      <c r="G551" s="93"/>
      <c r="H551" s="93"/>
      <c r="I551" s="93"/>
      <c r="J551" s="93"/>
      <c r="K551" s="93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  <c r="X551" s="93"/>
      <c r="Y551" s="93"/>
      <c r="Z551" s="93"/>
    </row>
    <row r="552" spans="1:26" x14ac:dyDescent="0.25">
      <c r="A552" s="93"/>
      <c r="B552" s="93"/>
      <c r="C552" s="93"/>
      <c r="D552" s="93"/>
      <c r="E552" s="93"/>
      <c r="F552" s="93"/>
      <c r="G552" s="93"/>
      <c r="H552" s="93"/>
      <c r="I552" s="93"/>
      <c r="J552" s="93"/>
      <c r="K552" s="93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  <c r="X552" s="93"/>
      <c r="Y552" s="93"/>
      <c r="Z552" s="93"/>
    </row>
    <row r="553" spans="1:26" x14ac:dyDescent="0.25">
      <c r="A553" s="93"/>
      <c r="B553" s="93"/>
      <c r="C553" s="93"/>
      <c r="D553" s="93"/>
      <c r="E553" s="93"/>
      <c r="F553" s="93"/>
      <c r="G553" s="93"/>
      <c r="H553" s="93"/>
      <c r="I553" s="93"/>
      <c r="J553" s="93"/>
      <c r="K553" s="93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  <c r="X553" s="93"/>
      <c r="Y553" s="93"/>
      <c r="Z553" s="93"/>
    </row>
    <row r="554" spans="1:26" x14ac:dyDescent="0.25">
      <c r="A554" s="93"/>
      <c r="B554" s="93"/>
      <c r="C554" s="93"/>
      <c r="D554" s="93"/>
      <c r="E554" s="93"/>
      <c r="F554" s="93"/>
      <c r="G554" s="93"/>
      <c r="H554" s="93"/>
      <c r="I554" s="93"/>
      <c r="J554" s="93"/>
      <c r="K554" s="93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  <c r="X554" s="93"/>
      <c r="Y554" s="93"/>
      <c r="Z554" s="93"/>
    </row>
    <row r="555" spans="1:26" x14ac:dyDescent="0.25">
      <c r="A555" s="93"/>
      <c r="B555" s="93"/>
      <c r="C555" s="93"/>
      <c r="D555" s="93"/>
      <c r="E555" s="93"/>
      <c r="F555" s="93"/>
      <c r="G555" s="93"/>
      <c r="H555" s="93"/>
      <c r="I555" s="93"/>
      <c r="J555" s="93"/>
      <c r="K555" s="93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  <c r="X555" s="93"/>
      <c r="Y555" s="93"/>
      <c r="Z555" s="93"/>
    </row>
    <row r="556" spans="1:26" x14ac:dyDescent="0.25">
      <c r="A556" s="93"/>
      <c r="B556" s="93"/>
      <c r="C556" s="93"/>
      <c r="D556" s="93"/>
      <c r="E556" s="93"/>
      <c r="F556" s="93"/>
      <c r="G556" s="93"/>
      <c r="H556" s="93"/>
      <c r="I556" s="93"/>
      <c r="J556" s="93"/>
      <c r="K556" s="93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  <c r="X556" s="93"/>
      <c r="Y556" s="93"/>
      <c r="Z556" s="93"/>
    </row>
    <row r="557" spans="1:26" x14ac:dyDescent="0.25">
      <c r="A557" s="93"/>
      <c r="B557" s="93"/>
      <c r="C557" s="93"/>
      <c r="D557" s="93"/>
      <c r="E557" s="93"/>
      <c r="F557" s="93"/>
      <c r="G557" s="93"/>
      <c r="H557" s="93"/>
      <c r="I557" s="93"/>
      <c r="J557" s="93"/>
      <c r="K557" s="93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  <c r="X557" s="93"/>
      <c r="Y557" s="93"/>
      <c r="Z557" s="93"/>
    </row>
    <row r="558" spans="1:26" x14ac:dyDescent="0.25">
      <c r="A558" s="93"/>
      <c r="B558" s="93"/>
      <c r="C558" s="93"/>
      <c r="D558" s="93"/>
      <c r="E558" s="93"/>
      <c r="F558" s="93"/>
      <c r="G558" s="93"/>
      <c r="H558" s="93"/>
      <c r="I558" s="93"/>
      <c r="J558" s="93"/>
      <c r="K558" s="93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  <c r="X558" s="93"/>
      <c r="Y558" s="93"/>
      <c r="Z558" s="93"/>
    </row>
    <row r="559" spans="1:26" x14ac:dyDescent="0.25">
      <c r="A559" s="93"/>
      <c r="B559" s="93"/>
      <c r="C559" s="93"/>
      <c r="D559" s="93"/>
      <c r="E559" s="93"/>
      <c r="F559" s="93"/>
      <c r="G559" s="93"/>
      <c r="H559" s="93"/>
      <c r="I559" s="93"/>
      <c r="J559" s="93"/>
      <c r="K559" s="93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  <c r="X559" s="93"/>
      <c r="Y559" s="93"/>
      <c r="Z559" s="93"/>
    </row>
    <row r="560" spans="1:26" x14ac:dyDescent="0.25">
      <c r="A560" s="93"/>
      <c r="B560" s="93"/>
      <c r="C560" s="93"/>
      <c r="D560" s="93"/>
      <c r="E560" s="93"/>
      <c r="F560" s="93"/>
      <c r="G560" s="93"/>
      <c r="H560" s="93"/>
      <c r="I560" s="93"/>
      <c r="J560" s="93"/>
      <c r="K560" s="93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  <c r="X560" s="93"/>
      <c r="Y560" s="93"/>
      <c r="Z560" s="93"/>
    </row>
    <row r="561" spans="1:26" x14ac:dyDescent="0.25">
      <c r="A561" s="93"/>
      <c r="B561" s="93"/>
      <c r="C561" s="93"/>
      <c r="D561" s="93"/>
      <c r="E561" s="93"/>
      <c r="F561" s="93"/>
      <c r="G561" s="93"/>
      <c r="H561" s="93"/>
      <c r="I561" s="93"/>
      <c r="J561" s="93"/>
      <c r="K561" s="93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  <c r="X561" s="93"/>
      <c r="Y561" s="93"/>
      <c r="Z561" s="93"/>
    </row>
    <row r="562" spans="1:26" x14ac:dyDescent="0.25">
      <c r="A562" s="93"/>
      <c r="B562" s="93"/>
      <c r="C562" s="93"/>
      <c r="D562" s="93"/>
      <c r="E562" s="93"/>
      <c r="F562" s="93"/>
      <c r="G562" s="93"/>
      <c r="H562" s="93"/>
      <c r="I562" s="93"/>
      <c r="J562" s="93"/>
      <c r="K562" s="93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  <c r="X562" s="93"/>
      <c r="Y562" s="93"/>
      <c r="Z562" s="93"/>
    </row>
    <row r="563" spans="1:26" x14ac:dyDescent="0.25">
      <c r="A563" s="93"/>
      <c r="B563" s="93"/>
      <c r="C563" s="93"/>
      <c r="D563" s="93"/>
      <c r="E563" s="93"/>
      <c r="F563" s="93"/>
      <c r="G563" s="93"/>
      <c r="H563" s="93"/>
      <c r="I563" s="93"/>
      <c r="J563" s="93"/>
      <c r="K563" s="93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  <c r="X563" s="93"/>
      <c r="Y563" s="93"/>
      <c r="Z563" s="93"/>
    </row>
    <row r="564" spans="1:26" x14ac:dyDescent="0.25">
      <c r="A564" s="93"/>
      <c r="B564" s="93"/>
      <c r="C564" s="93"/>
      <c r="D564" s="93"/>
      <c r="E564" s="93"/>
      <c r="F564" s="93"/>
      <c r="G564" s="93"/>
      <c r="H564" s="93"/>
      <c r="I564" s="93"/>
      <c r="J564" s="93"/>
      <c r="K564" s="93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  <c r="X564" s="93"/>
      <c r="Y564" s="93"/>
      <c r="Z564" s="93"/>
    </row>
    <row r="565" spans="1:26" x14ac:dyDescent="0.25">
      <c r="A565" s="93"/>
      <c r="B565" s="93"/>
      <c r="C565" s="93"/>
      <c r="D565" s="93"/>
      <c r="E565" s="93"/>
      <c r="F565" s="93"/>
      <c r="G565" s="93"/>
      <c r="H565" s="93"/>
      <c r="I565" s="93"/>
      <c r="J565" s="93"/>
      <c r="K565" s="93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  <c r="X565" s="93"/>
      <c r="Y565" s="93"/>
      <c r="Z565" s="93"/>
    </row>
    <row r="566" spans="1:26" x14ac:dyDescent="0.25">
      <c r="A566" s="93"/>
      <c r="B566" s="93"/>
      <c r="C566" s="93"/>
      <c r="D566" s="93"/>
      <c r="E566" s="93"/>
      <c r="F566" s="93"/>
      <c r="G566" s="93"/>
      <c r="H566" s="93"/>
      <c r="I566" s="93"/>
      <c r="J566" s="93"/>
      <c r="K566" s="93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  <c r="X566" s="93"/>
      <c r="Y566" s="93"/>
      <c r="Z566" s="93"/>
    </row>
    <row r="567" spans="1:26" x14ac:dyDescent="0.25">
      <c r="A567" s="93"/>
      <c r="B567" s="93"/>
      <c r="C567" s="93"/>
      <c r="D567" s="93"/>
      <c r="E567" s="93"/>
      <c r="F567" s="93"/>
      <c r="G567" s="93"/>
      <c r="H567" s="93"/>
      <c r="I567" s="93"/>
      <c r="J567" s="93"/>
      <c r="K567" s="93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  <c r="X567" s="93"/>
      <c r="Y567" s="93"/>
      <c r="Z567" s="93"/>
    </row>
    <row r="568" spans="1:26" x14ac:dyDescent="0.25">
      <c r="A568" s="93"/>
      <c r="B568" s="93"/>
      <c r="C568" s="93"/>
      <c r="D568" s="93"/>
      <c r="E568" s="93"/>
      <c r="F568" s="93"/>
      <c r="G568" s="93"/>
      <c r="H568" s="93"/>
      <c r="I568" s="93"/>
      <c r="J568" s="93"/>
      <c r="K568" s="93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  <c r="X568" s="93"/>
      <c r="Y568" s="93"/>
      <c r="Z568" s="93"/>
    </row>
    <row r="569" spans="1:26" x14ac:dyDescent="0.25">
      <c r="A569" s="93"/>
      <c r="B569" s="93"/>
      <c r="C569" s="93"/>
      <c r="D569" s="93"/>
      <c r="E569" s="93"/>
      <c r="F569" s="93"/>
      <c r="G569" s="93"/>
      <c r="H569" s="93"/>
      <c r="I569" s="93"/>
      <c r="J569" s="93"/>
      <c r="K569" s="93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  <c r="X569" s="93"/>
      <c r="Y569" s="93"/>
      <c r="Z569" s="93"/>
    </row>
    <row r="570" spans="1:26" x14ac:dyDescent="0.25">
      <c r="A570" s="93"/>
      <c r="B570" s="93"/>
      <c r="C570" s="93"/>
      <c r="D570" s="93"/>
      <c r="E570" s="93"/>
      <c r="F570" s="93"/>
      <c r="G570" s="93"/>
      <c r="H570" s="93"/>
      <c r="I570" s="93"/>
      <c r="J570" s="93"/>
      <c r="K570" s="93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  <c r="X570" s="93"/>
      <c r="Y570" s="93"/>
      <c r="Z570" s="93"/>
    </row>
    <row r="571" spans="1:26" x14ac:dyDescent="0.25">
      <c r="A571" s="93"/>
      <c r="B571" s="93"/>
      <c r="C571" s="93"/>
      <c r="D571" s="93"/>
      <c r="E571" s="93"/>
      <c r="F571" s="93"/>
      <c r="G571" s="93"/>
      <c r="H571" s="93"/>
      <c r="I571" s="93"/>
      <c r="J571" s="93"/>
      <c r="K571" s="93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  <c r="X571" s="93"/>
      <c r="Y571" s="93"/>
      <c r="Z571" s="93"/>
    </row>
    <row r="572" spans="1:26" x14ac:dyDescent="0.25">
      <c r="A572" s="93"/>
      <c r="B572" s="93"/>
      <c r="C572" s="93"/>
      <c r="D572" s="93"/>
      <c r="E572" s="93"/>
      <c r="F572" s="93"/>
      <c r="G572" s="93"/>
      <c r="H572" s="93"/>
      <c r="I572" s="93"/>
      <c r="J572" s="93"/>
      <c r="K572" s="93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  <c r="X572" s="93"/>
      <c r="Y572" s="93"/>
      <c r="Z572" s="93"/>
    </row>
    <row r="573" spans="1:26" x14ac:dyDescent="0.25">
      <c r="A573" s="93"/>
      <c r="B573" s="93"/>
      <c r="C573" s="93"/>
      <c r="D573" s="93"/>
      <c r="E573" s="93"/>
      <c r="F573" s="93"/>
      <c r="G573" s="93"/>
      <c r="H573" s="93"/>
      <c r="I573" s="93"/>
      <c r="J573" s="93"/>
      <c r="K573" s="93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  <c r="X573" s="93"/>
      <c r="Y573" s="93"/>
      <c r="Z573" s="93"/>
    </row>
    <row r="574" spans="1:26" x14ac:dyDescent="0.25">
      <c r="A574" s="93"/>
      <c r="B574" s="93"/>
      <c r="C574" s="93"/>
      <c r="D574" s="93"/>
      <c r="E574" s="93"/>
      <c r="F574" s="93"/>
      <c r="G574" s="93"/>
      <c r="H574" s="93"/>
      <c r="I574" s="93"/>
      <c r="J574" s="93"/>
      <c r="K574" s="93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  <c r="X574" s="93"/>
      <c r="Y574" s="93"/>
      <c r="Z574" s="93"/>
    </row>
    <row r="575" spans="1:26" x14ac:dyDescent="0.25">
      <c r="A575" s="93"/>
      <c r="B575" s="93"/>
      <c r="C575" s="93"/>
      <c r="D575" s="93"/>
      <c r="E575" s="93"/>
      <c r="F575" s="93"/>
      <c r="G575" s="93"/>
      <c r="H575" s="93"/>
      <c r="I575" s="93"/>
      <c r="J575" s="93"/>
      <c r="K575" s="93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  <c r="X575" s="93"/>
      <c r="Y575" s="93"/>
      <c r="Z575" s="93"/>
    </row>
    <row r="576" spans="1:26" x14ac:dyDescent="0.25">
      <c r="A576" s="93"/>
      <c r="B576" s="93"/>
      <c r="C576" s="93"/>
      <c r="D576" s="93"/>
      <c r="E576" s="93"/>
      <c r="F576" s="93"/>
      <c r="G576" s="93"/>
      <c r="H576" s="93"/>
      <c r="I576" s="93"/>
      <c r="J576" s="93"/>
      <c r="K576" s="93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  <c r="X576" s="93"/>
      <c r="Y576" s="93"/>
      <c r="Z576" s="93"/>
    </row>
    <row r="577" spans="1:26" x14ac:dyDescent="0.25">
      <c r="A577" s="93"/>
      <c r="B577" s="93"/>
      <c r="C577" s="93"/>
      <c r="D577" s="93"/>
      <c r="E577" s="93"/>
      <c r="F577" s="93"/>
      <c r="G577" s="93"/>
      <c r="H577" s="93"/>
      <c r="I577" s="93"/>
      <c r="J577" s="93"/>
      <c r="K577" s="93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  <c r="X577" s="93"/>
      <c r="Y577" s="93"/>
      <c r="Z577" s="93"/>
    </row>
    <row r="578" spans="1:26" x14ac:dyDescent="0.25">
      <c r="A578" s="93"/>
      <c r="B578" s="93"/>
      <c r="C578" s="93"/>
      <c r="D578" s="93"/>
      <c r="E578" s="93"/>
      <c r="F578" s="93"/>
      <c r="G578" s="93"/>
      <c r="H578" s="93"/>
      <c r="I578" s="93"/>
      <c r="J578" s="93"/>
      <c r="K578" s="93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  <c r="X578" s="93"/>
      <c r="Y578" s="93"/>
      <c r="Z578" s="93"/>
    </row>
    <row r="579" spans="1:26" x14ac:dyDescent="0.25">
      <c r="A579" s="93"/>
      <c r="B579" s="93"/>
      <c r="C579" s="93"/>
      <c r="D579" s="93"/>
      <c r="E579" s="93"/>
      <c r="F579" s="93"/>
      <c r="G579" s="93"/>
      <c r="H579" s="93"/>
      <c r="I579" s="93"/>
      <c r="J579" s="93"/>
      <c r="K579" s="93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  <c r="X579" s="93"/>
      <c r="Y579" s="93"/>
      <c r="Z579" s="93"/>
    </row>
    <row r="580" spans="1:26" x14ac:dyDescent="0.25">
      <c r="A580" s="93"/>
      <c r="B580" s="93"/>
      <c r="C580" s="93"/>
      <c r="D580" s="93"/>
      <c r="E580" s="93"/>
      <c r="F580" s="93"/>
      <c r="G580" s="93"/>
      <c r="H580" s="93"/>
      <c r="I580" s="93"/>
      <c r="J580" s="93"/>
      <c r="K580" s="93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  <c r="X580" s="93"/>
      <c r="Y580" s="93"/>
      <c r="Z580" s="93"/>
    </row>
    <row r="581" spans="1:26" x14ac:dyDescent="0.25">
      <c r="A581" s="93"/>
      <c r="B581" s="93"/>
      <c r="C581" s="93"/>
      <c r="D581" s="93"/>
      <c r="E581" s="93"/>
      <c r="F581" s="93"/>
      <c r="G581" s="93"/>
      <c r="H581" s="93"/>
      <c r="I581" s="93"/>
      <c r="J581" s="93"/>
      <c r="K581" s="93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  <c r="X581" s="93"/>
      <c r="Y581" s="93"/>
      <c r="Z581" s="93"/>
    </row>
    <row r="582" spans="1:26" x14ac:dyDescent="0.25">
      <c r="A582" s="93"/>
      <c r="B582" s="93"/>
      <c r="C582" s="93"/>
      <c r="D582" s="93"/>
      <c r="E582" s="93"/>
      <c r="F582" s="93"/>
      <c r="G582" s="93"/>
      <c r="H582" s="93"/>
      <c r="I582" s="93"/>
      <c r="J582" s="93"/>
      <c r="K582" s="93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  <c r="X582" s="93"/>
      <c r="Y582" s="93"/>
      <c r="Z582" s="93"/>
    </row>
    <row r="583" spans="1:26" x14ac:dyDescent="0.25">
      <c r="A583" s="93"/>
      <c r="B583" s="93"/>
      <c r="C583" s="93"/>
      <c r="D583" s="93"/>
      <c r="E583" s="93"/>
      <c r="F583" s="93"/>
      <c r="G583" s="93"/>
      <c r="H583" s="93"/>
      <c r="I583" s="93"/>
      <c r="J583" s="93"/>
      <c r="K583" s="93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  <c r="X583" s="93"/>
      <c r="Y583" s="93"/>
      <c r="Z583" s="93"/>
    </row>
    <row r="584" spans="1:26" x14ac:dyDescent="0.25">
      <c r="A584" s="93"/>
      <c r="B584" s="93"/>
      <c r="C584" s="93"/>
      <c r="D584" s="93"/>
      <c r="E584" s="93"/>
      <c r="F584" s="93"/>
      <c r="G584" s="93"/>
      <c r="H584" s="93"/>
      <c r="I584" s="93"/>
      <c r="J584" s="93"/>
      <c r="K584" s="93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  <c r="X584" s="93"/>
      <c r="Y584" s="93"/>
      <c r="Z584" s="93"/>
    </row>
    <row r="585" spans="1:26" x14ac:dyDescent="0.25">
      <c r="A585" s="93"/>
      <c r="B585" s="93"/>
      <c r="C585" s="93"/>
      <c r="D585" s="93"/>
      <c r="E585" s="93"/>
      <c r="F585" s="93"/>
      <c r="G585" s="93"/>
      <c r="H585" s="93"/>
      <c r="I585" s="93"/>
      <c r="J585" s="93"/>
      <c r="K585" s="93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  <c r="X585" s="93"/>
      <c r="Y585" s="93"/>
      <c r="Z585" s="93"/>
    </row>
    <row r="586" spans="1:26" x14ac:dyDescent="0.25">
      <c r="A586" s="93"/>
      <c r="B586" s="93"/>
      <c r="C586" s="93"/>
      <c r="D586" s="93"/>
      <c r="E586" s="93"/>
      <c r="F586" s="93"/>
      <c r="G586" s="93"/>
      <c r="H586" s="93"/>
      <c r="I586" s="93"/>
      <c r="J586" s="93"/>
      <c r="K586" s="93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  <c r="X586" s="93"/>
      <c r="Y586" s="93"/>
      <c r="Z586" s="93"/>
    </row>
    <row r="587" spans="1:26" x14ac:dyDescent="0.25">
      <c r="A587" s="93"/>
      <c r="B587" s="93"/>
      <c r="C587" s="93"/>
      <c r="D587" s="93"/>
      <c r="E587" s="93"/>
      <c r="F587" s="93"/>
      <c r="G587" s="93"/>
      <c r="H587" s="93"/>
      <c r="I587" s="93"/>
      <c r="J587" s="93"/>
      <c r="K587" s="93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  <c r="X587" s="93"/>
      <c r="Y587" s="93"/>
      <c r="Z587" s="93"/>
    </row>
    <row r="588" spans="1:26" x14ac:dyDescent="0.25">
      <c r="A588" s="93"/>
      <c r="B588" s="93"/>
      <c r="C588" s="93"/>
      <c r="D588" s="93"/>
      <c r="E588" s="93"/>
      <c r="F588" s="93"/>
      <c r="G588" s="93"/>
      <c r="H588" s="93"/>
      <c r="I588" s="93"/>
      <c r="J588" s="93"/>
      <c r="K588" s="93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  <c r="X588" s="93"/>
      <c r="Y588" s="93"/>
      <c r="Z588" s="93"/>
    </row>
    <row r="589" spans="1:26" x14ac:dyDescent="0.25">
      <c r="A589" s="93"/>
      <c r="B589" s="93"/>
      <c r="C589" s="93"/>
      <c r="D589" s="93"/>
      <c r="E589" s="93"/>
      <c r="F589" s="93"/>
      <c r="G589" s="93"/>
      <c r="H589" s="93"/>
      <c r="I589" s="93"/>
      <c r="J589" s="93"/>
      <c r="K589" s="93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  <c r="X589" s="93"/>
      <c r="Y589" s="93"/>
      <c r="Z589" s="93"/>
    </row>
    <row r="590" spans="1:26" x14ac:dyDescent="0.25">
      <c r="A590" s="93"/>
      <c r="B590" s="93"/>
      <c r="C590" s="93"/>
      <c r="D590" s="93"/>
      <c r="E590" s="93"/>
      <c r="F590" s="93"/>
      <c r="G590" s="93"/>
      <c r="H590" s="93"/>
      <c r="I590" s="93"/>
      <c r="J590" s="93"/>
      <c r="K590" s="93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  <c r="X590" s="93"/>
      <c r="Y590" s="93"/>
      <c r="Z590" s="93"/>
    </row>
    <row r="591" spans="1:26" x14ac:dyDescent="0.25">
      <c r="A591" s="93"/>
      <c r="B591" s="93"/>
      <c r="C591" s="93"/>
      <c r="D591" s="93"/>
      <c r="E591" s="93"/>
      <c r="F591" s="93"/>
      <c r="G591" s="93"/>
      <c r="H591" s="93"/>
      <c r="I591" s="93"/>
      <c r="J591" s="93"/>
      <c r="K591" s="93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  <c r="X591" s="93"/>
      <c r="Y591" s="93"/>
      <c r="Z591" s="93"/>
    </row>
    <row r="592" spans="1:26" x14ac:dyDescent="0.25">
      <c r="A592" s="93"/>
      <c r="B592" s="93"/>
      <c r="C592" s="93"/>
      <c r="D592" s="93"/>
      <c r="E592" s="93"/>
      <c r="F592" s="93"/>
      <c r="G592" s="93"/>
      <c r="H592" s="93"/>
      <c r="I592" s="93"/>
      <c r="J592" s="93"/>
      <c r="K592" s="93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  <c r="X592" s="93"/>
      <c r="Y592" s="93"/>
      <c r="Z592" s="93"/>
    </row>
    <row r="593" spans="1:26" x14ac:dyDescent="0.25">
      <c r="A593" s="93"/>
      <c r="B593" s="93"/>
      <c r="C593" s="93"/>
      <c r="D593" s="93"/>
      <c r="E593" s="93"/>
      <c r="F593" s="93"/>
      <c r="G593" s="93"/>
      <c r="H593" s="93"/>
      <c r="I593" s="93"/>
      <c r="J593" s="93"/>
      <c r="K593" s="93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  <c r="X593" s="93"/>
      <c r="Y593" s="93"/>
      <c r="Z593" s="93"/>
    </row>
    <row r="594" spans="1:26" x14ac:dyDescent="0.25">
      <c r="A594" s="93"/>
      <c r="B594" s="93"/>
      <c r="C594" s="93"/>
      <c r="D594" s="93"/>
      <c r="E594" s="93"/>
      <c r="F594" s="93"/>
      <c r="G594" s="93"/>
      <c r="H594" s="93"/>
      <c r="I594" s="93"/>
      <c r="J594" s="93"/>
      <c r="K594" s="93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  <c r="X594" s="93"/>
      <c r="Y594" s="93"/>
      <c r="Z594" s="93"/>
    </row>
    <row r="595" spans="1:26" x14ac:dyDescent="0.25">
      <c r="A595" s="93"/>
      <c r="B595" s="93"/>
      <c r="C595" s="93"/>
      <c r="D595" s="93"/>
      <c r="E595" s="93"/>
      <c r="F595" s="93"/>
      <c r="G595" s="93"/>
      <c r="H595" s="93"/>
      <c r="I595" s="93"/>
      <c r="J595" s="93"/>
      <c r="K595" s="93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  <c r="X595" s="93"/>
      <c r="Y595" s="93"/>
      <c r="Z595" s="93"/>
    </row>
    <row r="596" spans="1:26" x14ac:dyDescent="0.25">
      <c r="A596" s="93"/>
      <c r="B596" s="93"/>
      <c r="C596" s="93"/>
      <c r="D596" s="93"/>
      <c r="E596" s="93"/>
      <c r="F596" s="93"/>
      <c r="G596" s="93"/>
      <c r="H596" s="93"/>
      <c r="I596" s="93"/>
      <c r="J596" s="93"/>
      <c r="K596" s="93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  <c r="X596" s="93"/>
      <c r="Y596" s="93"/>
      <c r="Z596" s="93"/>
    </row>
    <row r="597" spans="1:26" x14ac:dyDescent="0.25">
      <c r="A597" s="93"/>
      <c r="B597" s="93"/>
      <c r="C597" s="93"/>
      <c r="D597" s="93"/>
      <c r="E597" s="93"/>
      <c r="F597" s="93"/>
      <c r="G597" s="93"/>
      <c r="H597" s="93"/>
      <c r="I597" s="93"/>
      <c r="J597" s="93"/>
      <c r="K597" s="93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  <c r="X597" s="93"/>
      <c r="Y597" s="93"/>
      <c r="Z597" s="93"/>
    </row>
    <row r="598" spans="1:26" x14ac:dyDescent="0.25">
      <c r="A598" s="93"/>
      <c r="B598" s="93"/>
      <c r="C598" s="93"/>
      <c r="D598" s="93"/>
      <c r="E598" s="93"/>
      <c r="F598" s="93"/>
      <c r="G598" s="93"/>
      <c r="H598" s="93"/>
      <c r="I598" s="93"/>
      <c r="J598" s="93"/>
      <c r="K598" s="93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  <c r="X598" s="93"/>
      <c r="Y598" s="93"/>
      <c r="Z598" s="93"/>
    </row>
    <row r="599" spans="1:26" x14ac:dyDescent="0.25">
      <c r="A599" s="93"/>
      <c r="B599" s="93"/>
      <c r="C599" s="93"/>
      <c r="D599" s="93"/>
      <c r="E599" s="93"/>
      <c r="F599" s="93"/>
      <c r="G599" s="93"/>
      <c r="H599" s="93"/>
      <c r="I599" s="93"/>
      <c r="J599" s="93"/>
      <c r="K599" s="93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  <c r="X599" s="93"/>
      <c r="Y599" s="93"/>
      <c r="Z599" s="93"/>
    </row>
    <row r="600" spans="1:26" x14ac:dyDescent="0.25">
      <c r="A600" s="93"/>
      <c r="B600" s="93"/>
      <c r="C600" s="93"/>
      <c r="D600" s="93"/>
      <c r="E600" s="93"/>
      <c r="F600" s="93"/>
      <c r="G600" s="93"/>
      <c r="H600" s="93"/>
      <c r="I600" s="93"/>
      <c r="J600" s="93"/>
      <c r="K600" s="93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  <c r="X600" s="93"/>
      <c r="Y600" s="93"/>
      <c r="Z600" s="93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F178"/>
  <sheetViews>
    <sheetView topLeftCell="A24" workbookViewId="0">
      <pane xSplit="19050" topLeftCell="B1"/>
      <selection activeCell="C23" sqref="C23"/>
      <selection pane="topRight" activeCell="C23" sqref="C23"/>
    </sheetView>
  </sheetViews>
  <sheetFormatPr defaultRowHeight="12.75" x14ac:dyDescent="0.2"/>
  <cols>
    <col min="1" max="1" width="11.42578125" style="8" customWidth="1"/>
    <col min="2" max="2" width="42.85546875" style="153" customWidth="1"/>
    <col min="3" max="3" width="5.140625" style="153" customWidth="1"/>
    <col min="4" max="28" width="5.140625" customWidth="1"/>
    <col min="29" max="31" width="5.140625" style="153" customWidth="1"/>
    <col min="32" max="32" width="5.140625" customWidth="1"/>
  </cols>
  <sheetData>
    <row r="1" spans="1:32" x14ac:dyDescent="0.2">
      <c r="A1"/>
      <c r="B1"/>
      <c r="C1"/>
    </row>
    <row r="2" spans="1:32" x14ac:dyDescent="0.2">
      <c r="A2"/>
      <c r="B2" t="s">
        <v>256</v>
      </c>
    </row>
    <row r="3" spans="1:32" x14ac:dyDescent="0.2">
      <c r="A3"/>
      <c r="B3"/>
      <c r="C3"/>
    </row>
    <row r="4" spans="1:32" ht="18.75" thickBot="1" x14ac:dyDescent="0.3">
      <c r="B4" s="154" t="s">
        <v>240</v>
      </c>
    </row>
    <row r="5" spans="1:32" ht="65.25" x14ac:dyDescent="0.25">
      <c r="A5" s="155"/>
      <c r="B5" s="156" t="s">
        <v>343</v>
      </c>
      <c r="C5" s="157" t="s">
        <v>4</v>
      </c>
      <c r="D5" s="158" t="s">
        <v>26</v>
      </c>
      <c r="E5" s="158" t="s">
        <v>108</v>
      </c>
      <c r="F5" s="158" t="s">
        <v>70</v>
      </c>
      <c r="G5" s="158" t="s">
        <v>18</v>
      </c>
      <c r="H5" s="158" t="s">
        <v>301</v>
      </c>
      <c r="I5" s="158" t="s">
        <v>47</v>
      </c>
      <c r="J5" s="158" t="s">
        <v>38</v>
      </c>
      <c r="K5" s="158" t="s">
        <v>113</v>
      </c>
      <c r="L5" s="158" t="s">
        <v>23</v>
      </c>
      <c r="M5" s="158" t="s">
        <v>114</v>
      </c>
      <c r="N5" s="158" t="s">
        <v>188</v>
      </c>
      <c r="O5" s="158" t="s">
        <v>31</v>
      </c>
      <c r="P5" s="158" t="s">
        <v>124</v>
      </c>
      <c r="Q5" s="158" t="s">
        <v>115</v>
      </c>
      <c r="R5" s="158" t="s">
        <v>117</v>
      </c>
      <c r="S5" s="158" t="s">
        <v>118</v>
      </c>
      <c r="T5" s="158" t="s">
        <v>49</v>
      </c>
      <c r="U5" s="158" t="s">
        <v>119</v>
      </c>
      <c r="V5" s="262" t="s">
        <v>353</v>
      </c>
      <c r="W5" s="158" t="s">
        <v>89</v>
      </c>
      <c r="X5" s="158" t="s">
        <v>57</v>
      </c>
      <c r="Y5" s="158" t="s">
        <v>296</v>
      </c>
      <c r="Z5" s="158" t="s">
        <v>8</v>
      </c>
      <c r="AA5" s="158" t="s">
        <v>303</v>
      </c>
      <c r="AB5" s="158" t="s">
        <v>28</v>
      </c>
      <c r="AC5" s="157" t="s">
        <v>52</v>
      </c>
      <c r="AD5" s="157" t="s">
        <v>15</v>
      </c>
      <c r="AE5" s="157" t="s">
        <v>141</v>
      </c>
      <c r="AF5" s="208" t="s">
        <v>244</v>
      </c>
    </row>
    <row r="6" spans="1:32" x14ac:dyDescent="0.2">
      <c r="A6" s="159" t="s">
        <v>6</v>
      </c>
      <c r="B6" s="160" t="s">
        <v>7</v>
      </c>
      <c r="C6" s="160">
        <v>4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>
        <v>4</v>
      </c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160"/>
      <c r="AD6" s="160"/>
      <c r="AE6" s="160">
        <v>4</v>
      </c>
      <c r="AF6" s="209">
        <v>0</v>
      </c>
    </row>
    <row r="7" spans="1:32" x14ac:dyDescent="0.2">
      <c r="A7" s="159" t="s">
        <v>9</v>
      </c>
      <c r="B7" s="160" t="s">
        <v>10</v>
      </c>
      <c r="C7" s="160">
        <v>2</v>
      </c>
      <c r="D7" s="27"/>
      <c r="E7" s="27"/>
      <c r="F7" s="27"/>
      <c r="G7" s="27"/>
      <c r="H7" s="27"/>
      <c r="I7" s="27"/>
      <c r="J7" s="27"/>
      <c r="K7" s="27"/>
      <c r="L7" s="27"/>
      <c r="M7" s="27"/>
      <c r="N7" s="27">
        <v>2</v>
      </c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160"/>
      <c r="AD7" s="160"/>
      <c r="AE7" s="160">
        <v>2</v>
      </c>
      <c r="AF7" s="209">
        <v>0</v>
      </c>
    </row>
    <row r="8" spans="1:32" x14ac:dyDescent="0.2">
      <c r="A8" s="159" t="s">
        <v>11</v>
      </c>
      <c r="B8" s="160" t="s">
        <v>12</v>
      </c>
      <c r="C8" s="160">
        <v>2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>
        <v>2</v>
      </c>
      <c r="W8" s="27"/>
      <c r="X8" s="27"/>
      <c r="Y8" s="27"/>
      <c r="Z8" s="27"/>
      <c r="AA8" s="27"/>
      <c r="AB8" s="27"/>
      <c r="AC8" s="160"/>
      <c r="AD8" s="160"/>
      <c r="AE8" s="160">
        <v>2</v>
      </c>
      <c r="AF8" s="209">
        <v>0</v>
      </c>
    </row>
    <row r="9" spans="1:32" x14ac:dyDescent="0.2">
      <c r="A9" s="159" t="s">
        <v>13</v>
      </c>
      <c r="B9" s="160" t="s">
        <v>14</v>
      </c>
      <c r="C9" s="160">
        <v>2</v>
      </c>
      <c r="D9" s="27"/>
      <c r="E9" s="27"/>
      <c r="F9" s="27"/>
      <c r="G9" s="27"/>
      <c r="H9" s="27"/>
      <c r="I9" s="27"/>
      <c r="J9" s="27"/>
      <c r="K9" s="27"/>
      <c r="L9" s="27"/>
      <c r="M9" s="27">
        <v>2</v>
      </c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160"/>
      <c r="AD9" s="160"/>
      <c r="AE9" s="160">
        <v>2</v>
      </c>
      <c r="AF9" s="209">
        <v>0</v>
      </c>
    </row>
    <row r="10" spans="1:32" x14ac:dyDescent="0.2">
      <c r="A10" s="159" t="s">
        <v>16</v>
      </c>
      <c r="B10" s="160" t="s">
        <v>17</v>
      </c>
      <c r="C10" s="160">
        <v>6</v>
      </c>
      <c r="D10" s="27"/>
      <c r="E10" s="27"/>
      <c r="F10" s="27"/>
      <c r="G10" s="27">
        <v>6</v>
      </c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160"/>
      <c r="AD10" s="160"/>
      <c r="AE10" s="160">
        <v>6</v>
      </c>
      <c r="AF10" s="209">
        <v>0</v>
      </c>
    </row>
    <row r="11" spans="1:32" x14ac:dyDescent="0.2">
      <c r="A11" s="159" t="s">
        <v>19</v>
      </c>
      <c r="B11" s="160" t="s">
        <v>20</v>
      </c>
      <c r="C11" s="160">
        <v>4</v>
      </c>
      <c r="D11" s="27"/>
      <c r="E11" s="27"/>
      <c r="F11" s="27"/>
      <c r="G11" s="27">
        <v>4</v>
      </c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160"/>
      <c r="AD11" s="160"/>
      <c r="AE11" s="160">
        <v>4</v>
      </c>
      <c r="AF11" s="209">
        <v>0</v>
      </c>
    </row>
    <row r="12" spans="1:32" x14ac:dyDescent="0.2">
      <c r="A12" s="159" t="s">
        <v>21</v>
      </c>
      <c r="B12" s="160" t="s">
        <v>22</v>
      </c>
      <c r="C12" s="160">
        <v>7</v>
      </c>
      <c r="D12" s="27">
        <v>7</v>
      </c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160"/>
      <c r="AD12" s="160"/>
      <c r="AE12" s="160">
        <v>7</v>
      </c>
      <c r="AF12" s="209">
        <v>0</v>
      </c>
    </row>
    <row r="13" spans="1:32" x14ac:dyDescent="0.2">
      <c r="A13" s="159" t="s">
        <v>24</v>
      </c>
      <c r="B13" s="160" t="s">
        <v>25</v>
      </c>
      <c r="C13" s="160">
        <v>2</v>
      </c>
      <c r="D13" s="27">
        <v>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160"/>
      <c r="AD13" s="160"/>
      <c r="AE13" s="160">
        <v>2</v>
      </c>
      <c r="AF13" s="209">
        <v>0</v>
      </c>
    </row>
    <row r="14" spans="1:32" x14ac:dyDescent="0.2">
      <c r="A14" s="159" t="s">
        <v>290</v>
      </c>
      <c r="B14" s="160" t="s">
        <v>291</v>
      </c>
      <c r="C14" s="160">
        <v>8</v>
      </c>
      <c r="D14" s="27">
        <v>8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160"/>
      <c r="AD14" s="160"/>
      <c r="AE14" s="160">
        <v>8</v>
      </c>
      <c r="AF14" s="209">
        <v>0</v>
      </c>
    </row>
    <row r="15" spans="1:32" x14ac:dyDescent="0.2">
      <c r="A15" s="159" t="s">
        <v>27</v>
      </c>
      <c r="B15" s="160" t="s">
        <v>287</v>
      </c>
      <c r="C15" s="160">
        <v>2</v>
      </c>
      <c r="D15" s="27"/>
      <c r="E15" s="27"/>
      <c r="F15" s="27"/>
      <c r="G15" s="27"/>
      <c r="H15" s="27"/>
      <c r="I15" s="27">
        <v>2</v>
      </c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160"/>
      <c r="AD15" s="160"/>
      <c r="AE15" s="160">
        <v>2</v>
      </c>
      <c r="AF15" s="209">
        <v>0</v>
      </c>
    </row>
    <row r="16" spans="1:32" x14ac:dyDescent="0.2">
      <c r="A16" s="159" t="s">
        <v>29</v>
      </c>
      <c r="B16" s="160" t="s">
        <v>30</v>
      </c>
      <c r="C16" s="160">
        <v>3</v>
      </c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>
        <v>3</v>
      </c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160"/>
      <c r="AD16" s="160"/>
      <c r="AE16" s="160">
        <v>3</v>
      </c>
      <c r="AF16" s="209">
        <v>0</v>
      </c>
    </row>
    <row r="17" spans="1:32" x14ac:dyDescent="0.2">
      <c r="A17" s="159" t="s">
        <v>32</v>
      </c>
      <c r="B17" s="160" t="s">
        <v>33</v>
      </c>
      <c r="C17" s="160">
        <v>4</v>
      </c>
      <c r="D17" s="27"/>
      <c r="E17" s="27"/>
      <c r="F17" s="27"/>
      <c r="G17" s="27"/>
      <c r="H17" s="27"/>
      <c r="I17" s="27"/>
      <c r="J17" s="27">
        <v>4</v>
      </c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160"/>
      <c r="AD17" s="160"/>
      <c r="AE17" s="160">
        <v>4</v>
      </c>
      <c r="AF17" s="209">
        <v>0</v>
      </c>
    </row>
    <row r="18" spans="1:32" x14ac:dyDescent="0.2">
      <c r="A18" s="159" t="s">
        <v>34</v>
      </c>
      <c r="B18" s="160" t="s">
        <v>35</v>
      </c>
      <c r="C18" s="160">
        <v>8</v>
      </c>
      <c r="D18" s="27"/>
      <c r="E18" s="27"/>
      <c r="F18" s="27"/>
      <c r="G18" s="27"/>
      <c r="H18" s="27"/>
      <c r="I18" s="27"/>
      <c r="J18" s="27">
        <v>8</v>
      </c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160"/>
      <c r="AD18" s="160"/>
      <c r="AE18" s="160">
        <v>8</v>
      </c>
      <c r="AF18" s="209">
        <v>0</v>
      </c>
    </row>
    <row r="19" spans="1:32" x14ac:dyDescent="0.2">
      <c r="A19" s="159" t="s">
        <v>36</v>
      </c>
      <c r="B19" s="160" t="s">
        <v>37</v>
      </c>
      <c r="C19" s="160">
        <v>4</v>
      </c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>
        <v>4</v>
      </c>
      <c r="AC19" s="160"/>
      <c r="AD19" s="160"/>
      <c r="AE19" s="160">
        <v>4</v>
      </c>
      <c r="AF19" s="209">
        <v>0</v>
      </c>
    </row>
    <row r="20" spans="1:32" x14ac:dyDescent="0.2">
      <c r="A20" s="159" t="s">
        <v>39</v>
      </c>
      <c r="B20" s="160" t="s">
        <v>40</v>
      </c>
      <c r="C20" s="160">
        <v>12</v>
      </c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>
        <v>12</v>
      </c>
      <c r="AA20" s="27"/>
      <c r="AB20" s="27"/>
      <c r="AC20" s="160"/>
      <c r="AD20" s="160"/>
      <c r="AE20" s="160">
        <v>12</v>
      </c>
      <c r="AF20" s="209">
        <v>0</v>
      </c>
    </row>
    <row r="21" spans="1:32" x14ac:dyDescent="0.2">
      <c r="A21" s="159" t="s">
        <v>41</v>
      </c>
      <c r="B21" s="160" t="s">
        <v>42</v>
      </c>
      <c r="C21" s="160">
        <v>5</v>
      </c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>
        <v>5</v>
      </c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160"/>
      <c r="AD21" s="160"/>
      <c r="AE21" s="160">
        <v>5</v>
      </c>
      <c r="AF21" s="209">
        <v>0</v>
      </c>
    </row>
    <row r="22" spans="1:32" x14ac:dyDescent="0.2">
      <c r="A22" s="159" t="s">
        <v>43</v>
      </c>
      <c r="B22" s="160" t="s">
        <v>44</v>
      </c>
      <c r="C22" s="160">
        <v>5</v>
      </c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>
        <v>5</v>
      </c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160"/>
      <c r="AD22" s="160"/>
      <c r="AE22" s="160">
        <v>5</v>
      </c>
      <c r="AF22" s="209">
        <v>0</v>
      </c>
    </row>
    <row r="23" spans="1:32" x14ac:dyDescent="0.2">
      <c r="A23" s="159" t="s">
        <v>45</v>
      </c>
      <c r="B23" s="160" t="s">
        <v>46</v>
      </c>
      <c r="C23" s="160">
        <v>21</v>
      </c>
      <c r="D23" s="27"/>
      <c r="E23" s="27"/>
      <c r="F23" s="27"/>
      <c r="G23" s="27"/>
      <c r="H23" s="27"/>
      <c r="I23" s="27">
        <v>21</v>
      </c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160"/>
      <c r="AD23" s="160"/>
      <c r="AE23" s="160">
        <v>21</v>
      </c>
      <c r="AF23" s="209">
        <v>0</v>
      </c>
    </row>
    <row r="24" spans="1:32" x14ac:dyDescent="0.2">
      <c r="A24" s="159" t="s">
        <v>48</v>
      </c>
      <c r="B24" s="160" t="s">
        <v>95</v>
      </c>
      <c r="C24" s="160">
        <v>6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>
        <v>6</v>
      </c>
      <c r="AA24" s="27"/>
      <c r="AB24" s="27"/>
      <c r="AC24" s="160"/>
      <c r="AD24" s="160"/>
      <c r="AE24" s="160">
        <v>6</v>
      </c>
      <c r="AF24" s="209">
        <v>0</v>
      </c>
    </row>
    <row r="25" spans="1:32" x14ac:dyDescent="0.2">
      <c r="A25" s="159" t="s">
        <v>50</v>
      </c>
      <c r="B25" s="160" t="s">
        <v>51</v>
      </c>
      <c r="C25" s="160">
        <v>4</v>
      </c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>
        <v>4</v>
      </c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160"/>
      <c r="AD25" s="160"/>
      <c r="AE25" s="160">
        <v>4</v>
      </c>
      <c r="AF25" s="209">
        <v>0</v>
      </c>
    </row>
    <row r="26" spans="1:32" x14ac:dyDescent="0.2">
      <c r="A26" s="159" t="s">
        <v>53</v>
      </c>
      <c r="B26" s="160" t="s">
        <v>289</v>
      </c>
      <c r="C26" s="160">
        <v>9</v>
      </c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>
        <v>9</v>
      </c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160"/>
      <c r="AD26" s="160"/>
      <c r="AE26" s="160">
        <v>9</v>
      </c>
      <c r="AF26" s="209">
        <v>0</v>
      </c>
    </row>
    <row r="27" spans="1:32" x14ac:dyDescent="0.2">
      <c r="A27" s="159" t="s">
        <v>293</v>
      </c>
      <c r="B27" s="160" t="s">
        <v>295</v>
      </c>
      <c r="C27" s="160">
        <v>4</v>
      </c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>
        <v>4</v>
      </c>
      <c r="V27" s="27"/>
      <c r="W27" s="27"/>
      <c r="X27" s="27"/>
      <c r="Y27" s="27"/>
      <c r="Z27" s="27"/>
      <c r="AA27" s="27"/>
      <c r="AB27" s="27"/>
      <c r="AC27" s="160"/>
      <c r="AD27" s="160"/>
      <c r="AE27" s="160">
        <v>4</v>
      </c>
      <c r="AF27" s="209">
        <v>0</v>
      </c>
    </row>
    <row r="28" spans="1:32" x14ac:dyDescent="0.2">
      <c r="A28" s="159" t="s">
        <v>55</v>
      </c>
      <c r="B28" s="160" t="s">
        <v>56</v>
      </c>
      <c r="C28" s="160">
        <v>1</v>
      </c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>
        <v>1</v>
      </c>
      <c r="Y28" s="27"/>
      <c r="Z28" s="27"/>
      <c r="AA28" s="27"/>
      <c r="AB28" s="27"/>
      <c r="AC28" s="160"/>
      <c r="AD28" s="160"/>
      <c r="AE28" s="160">
        <v>1</v>
      </c>
      <c r="AF28" s="209">
        <v>0</v>
      </c>
    </row>
    <row r="29" spans="1:32" x14ac:dyDescent="0.2">
      <c r="A29" s="159" t="s">
        <v>58</v>
      </c>
      <c r="B29" s="160" t="s">
        <v>59</v>
      </c>
      <c r="C29" s="160">
        <v>4</v>
      </c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>
        <v>4</v>
      </c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160"/>
      <c r="AD29" s="160"/>
      <c r="AE29" s="160">
        <v>4</v>
      </c>
      <c r="AF29" s="209">
        <v>0</v>
      </c>
    </row>
    <row r="30" spans="1:32" x14ac:dyDescent="0.2">
      <c r="A30" s="159" t="s">
        <v>60</v>
      </c>
      <c r="B30" s="160" t="s">
        <v>61</v>
      </c>
      <c r="C30" s="160">
        <v>1</v>
      </c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>
        <v>1</v>
      </c>
      <c r="AC30" s="160"/>
      <c r="AD30" s="160"/>
      <c r="AE30" s="160">
        <v>1</v>
      </c>
      <c r="AF30" s="209">
        <v>0</v>
      </c>
    </row>
    <row r="31" spans="1:32" x14ac:dyDescent="0.2">
      <c r="A31" s="159" t="s">
        <v>62</v>
      </c>
      <c r="B31" s="160" t="s">
        <v>63</v>
      </c>
      <c r="C31" s="160">
        <v>2</v>
      </c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>
        <v>2</v>
      </c>
      <c r="Z31" s="27"/>
      <c r="AA31" s="27"/>
      <c r="AB31" s="27"/>
      <c r="AC31" s="160"/>
      <c r="AD31" s="160"/>
      <c r="AE31" s="160">
        <v>2</v>
      </c>
      <c r="AF31" s="209">
        <v>0</v>
      </c>
    </row>
    <row r="32" spans="1:32" x14ac:dyDescent="0.2">
      <c r="A32" s="159" t="s">
        <v>64</v>
      </c>
      <c r="B32" s="160" t="s">
        <v>65</v>
      </c>
      <c r="C32" s="160">
        <v>2</v>
      </c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>
        <v>2</v>
      </c>
      <c r="AB32" s="27"/>
      <c r="AC32" s="160"/>
      <c r="AD32" s="160"/>
      <c r="AE32" s="160">
        <v>2</v>
      </c>
      <c r="AF32" s="209">
        <v>0</v>
      </c>
    </row>
    <row r="33" spans="1:32" x14ac:dyDescent="0.2">
      <c r="A33" s="159" t="s">
        <v>66</v>
      </c>
      <c r="B33" s="160" t="s">
        <v>67</v>
      </c>
      <c r="C33" s="160">
        <v>2</v>
      </c>
      <c r="D33" s="27"/>
      <c r="E33" s="27"/>
      <c r="F33" s="27"/>
      <c r="G33" s="27"/>
      <c r="H33" s="27"/>
      <c r="I33" s="27"/>
      <c r="J33" s="27">
        <v>2</v>
      </c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160"/>
      <c r="AD33" s="160"/>
      <c r="AE33" s="160">
        <v>2</v>
      </c>
      <c r="AF33" s="209">
        <v>0</v>
      </c>
    </row>
    <row r="34" spans="1:32" x14ac:dyDescent="0.2">
      <c r="A34" s="159" t="s">
        <v>72</v>
      </c>
      <c r="B34" s="160" t="s">
        <v>73</v>
      </c>
      <c r="C34" s="160">
        <v>3</v>
      </c>
      <c r="D34" s="27"/>
      <c r="E34" s="27"/>
      <c r="F34" s="27"/>
      <c r="G34" s="27"/>
      <c r="H34" s="27"/>
      <c r="I34" s="27"/>
      <c r="J34" s="27">
        <v>3</v>
      </c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160"/>
      <c r="AD34" s="160"/>
      <c r="AE34" s="160">
        <v>3</v>
      </c>
      <c r="AF34" s="209">
        <v>0</v>
      </c>
    </row>
    <row r="35" spans="1:32" x14ac:dyDescent="0.2">
      <c r="A35" s="159" t="s">
        <v>102</v>
      </c>
      <c r="B35" s="160" t="s">
        <v>238</v>
      </c>
      <c r="C35" s="160">
        <v>3</v>
      </c>
      <c r="D35" s="27"/>
      <c r="E35" s="27"/>
      <c r="F35" s="27"/>
      <c r="G35" s="27"/>
      <c r="H35" s="27"/>
      <c r="I35" s="27">
        <v>3</v>
      </c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160"/>
      <c r="AD35" s="160"/>
      <c r="AE35" s="160">
        <v>3</v>
      </c>
      <c r="AF35" s="209">
        <v>0</v>
      </c>
    </row>
    <row r="36" spans="1:32" x14ac:dyDescent="0.2">
      <c r="A36" s="159" t="s">
        <v>271</v>
      </c>
      <c r="B36" s="160" t="s">
        <v>272</v>
      </c>
      <c r="C36" s="160">
        <v>1</v>
      </c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>
        <v>1</v>
      </c>
      <c r="T36" s="27"/>
      <c r="U36" s="27"/>
      <c r="V36" s="27"/>
      <c r="W36" s="27"/>
      <c r="X36" s="27"/>
      <c r="Y36" s="27"/>
      <c r="Z36" s="27"/>
      <c r="AA36" s="27"/>
      <c r="AB36" s="27"/>
      <c r="AC36" s="160"/>
      <c r="AD36" s="160"/>
      <c r="AE36" s="160">
        <v>1</v>
      </c>
      <c r="AF36" s="209">
        <v>0</v>
      </c>
    </row>
    <row r="37" spans="1:32" x14ac:dyDescent="0.2">
      <c r="A37" s="159" t="s">
        <v>273</v>
      </c>
      <c r="B37" s="160" t="s">
        <v>274</v>
      </c>
      <c r="C37" s="160">
        <v>1</v>
      </c>
      <c r="D37" s="27"/>
      <c r="E37" s="27">
        <v>1</v>
      </c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160"/>
      <c r="AD37" s="160"/>
      <c r="AE37" s="160">
        <v>1</v>
      </c>
      <c r="AF37" s="209">
        <v>0</v>
      </c>
    </row>
    <row r="38" spans="1:32" x14ac:dyDescent="0.2">
      <c r="A38" s="159"/>
      <c r="B38" s="160"/>
      <c r="C38" s="160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160"/>
      <c r="AD38" s="160"/>
      <c r="AE38" s="160"/>
      <c r="AF38" s="209"/>
    </row>
    <row r="39" spans="1:32" ht="13.5" thickBot="1" x14ac:dyDescent="0.25">
      <c r="A39" s="161"/>
      <c r="B39" s="162" t="s">
        <v>245</v>
      </c>
      <c r="C39" s="163">
        <v>144</v>
      </c>
      <c r="D39" s="120">
        <v>17</v>
      </c>
      <c r="E39" s="120">
        <v>1</v>
      </c>
      <c r="F39" s="120">
        <v>0</v>
      </c>
      <c r="G39" s="120">
        <v>10</v>
      </c>
      <c r="H39" s="120">
        <v>0</v>
      </c>
      <c r="I39" s="120">
        <v>26</v>
      </c>
      <c r="J39" s="120">
        <v>17</v>
      </c>
      <c r="K39" s="120">
        <v>0</v>
      </c>
      <c r="L39" s="120">
        <v>0</v>
      </c>
      <c r="M39" s="120">
        <v>2</v>
      </c>
      <c r="N39" s="120">
        <v>6</v>
      </c>
      <c r="O39" s="120">
        <v>13</v>
      </c>
      <c r="P39" s="120">
        <v>0</v>
      </c>
      <c r="Q39" s="120">
        <v>17</v>
      </c>
      <c r="R39" s="120">
        <v>0</v>
      </c>
      <c r="S39" s="120">
        <v>1</v>
      </c>
      <c r="T39" s="120">
        <v>0</v>
      </c>
      <c r="U39" s="120">
        <v>4</v>
      </c>
      <c r="V39" s="120">
        <v>2</v>
      </c>
      <c r="W39" s="120">
        <v>0</v>
      </c>
      <c r="X39" s="120">
        <v>1</v>
      </c>
      <c r="Y39" s="120">
        <v>2</v>
      </c>
      <c r="Z39" s="120">
        <v>18</v>
      </c>
      <c r="AA39" s="120">
        <v>2</v>
      </c>
      <c r="AB39" s="120">
        <v>5</v>
      </c>
      <c r="AC39" s="163">
        <v>0</v>
      </c>
      <c r="AD39" s="163">
        <v>0</v>
      </c>
      <c r="AE39" s="163">
        <v>144</v>
      </c>
      <c r="AF39" s="210">
        <v>0</v>
      </c>
    </row>
    <row r="43" spans="1:32" ht="18.75" thickBot="1" x14ac:dyDescent="0.3">
      <c r="B43" s="154" t="s">
        <v>241</v>
      </c>
    </row>
    <row r="44" spans="1:32" ht="65.25" x14ac:dyDescent="0.25">
      <c r="A44" s="155"/>
      <c r="B44" s="156" t="s">
        <v>343</v>
      </c>
      <c r="C44" s="157" t="s">
        <v>4</v>
      </c>
      <c r="D44" s="158" t="s">
        <v>26</v>
      </c>
      <c r="E44" s="158" t="s">
        <v>108</v>
      </c>
      <c r="F44" s="158" t="s">
        <v>70</v>
      </c>
      <c r="G44" s="158" t="s">
        <v>18</v>
      </c>
      <c r="H44" s="158" t="s">
        <v>301</v>
      </c>
      <c r="I44" s="158" t="s">
        <v>47</v>
      </c>
      <c r="J44" s="158" t="s">
        <v>38</v>
      </c>
      <c r="K44" s="158" t="s">
        <v>113</v>
      </c>
      <c r="L44" s="158" t="s">
        <v>23</v>
      </c>
      <c r="M44" s="158" t="s">
        <v>114</v>
      </c>
      <c r="N44" s="158" t="s">
        <v>188</v>
      </c>
      <c r="O44" s="158" t="s">
        <v>31</v>
      </c>
      <c r="P44" s="158" t="s">
        <v>124</v>
      </c>
      <c r="Q44" s="158" t="s">
        <v>115</v>
      </c>
      <c r="R44" s="158" t="s">
        <v>117</v>
      </c>
      <c r="S44" s="158" t="s">
        <v>118</v>
      </c>
      <c r="T44" s="158" t="s">
        <v>49</v>
      </c>
      <c r="U44" s="158" t="s">
        <v>119</v>
      </c>
      <c r="V44" s="158" t="s">
        <v>353</v>
      </c>
      <c r="W44" s="158" t="s">
        <v>89</v>
      </c>
      <c r="X44" s="158" t="s">
        <v>57</v>
      </c>
      <c r="Y44" s="158" t="s">
        <v>296</v>
      </c>
      <c r="Z44" s="158" t="s">
        <v>8</v>
      </c>
      <c r="AA44" s="158" t="s">
        <v>303</v>
      </c>
      <c r="AB44" s="158" t="s">
        <v>28</v>
      </c>
      <c r="AC44" s="157" t="s">
        <v>52</v>
      </c>
      <c r="AD44" s="157" t="s">
        <v>15</v>
      </c>
      <c r="AE44" s="157" t="s">
        <v>141</v>
      </c>
      <c r="AF44" s="208" t="s">
        <v>244</v>
      </c>
    </row>
    <row r="45" spans="1:32" x14ac:dyDescent="0.2">
      <c r="A45" s="159" t="s">
        <v>68</v>
      </c>
      <c r="B45" s="160" t="s">
        <v>128</v>
      </c>
      <c r="C45" s="160">
        <v>0</v>
      </c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160"/>
      <c r="AD45" s="160"/>
      <c r="AE45" s="160">
        <v>0</v>
      </c>
      <c r="AF45" s="209">
        <v>0</v>
      </c>
    </row>
    <row r="46" spans="1:32" x14ac:dyDescent="0.2">
      <c r="A46" s="159" t="s">
        <v>69</v>
      </c>
      <c r="B46" s="160" t="s">
        <v>209</v>
      </c>
      <c r="C46" s="160">
        <v>0</v>
      </c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160"/>
      <c r="AD46" s="160"/>
      <c r="AE46" s="160">
        <v>0</v>
      </c>
      <c r="AF46" s="209">
        <v>0</v>
      </c>
    </row>
    <row r="47" spans="1:32" x14ac:dyDescent="0.2">
      <c r="A47" s="159" t="s">
        <v>71</v>
      </c>
      <c r="B47" s="160" t="s">
        <v>202</v>
      </c>
      <c r="C47" s="160">
        <v>5</v>
      </c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>
        <v>5</v>
      </c>
      <c r="U47" s="27"/>
      <c r="V47" s="27"/>
      <c r="W47" s="27"/>
      <c r="X47" s="27"/>
      <c r="Y47" s="27"/>
      <c r="Z47" s="27"/>
      <c r="AA47" s="27"/>
      <c r="AB47" s="27"/>
      <c r="AC47" s="160"/>
      <c r="AD47" s="160"/>
      <c r="AE47" s="160">
        <v>5</v>
      </c>
      <c r="AF47" s="209">
        <v>0</v>
      </c>
    </row>
    <row r="48" spans="1:32" x14ac:dyDescent="0.2">
      <c r="A48" s="159" t="s">
        <v>76</v>
      </c>
      <c r="B48" s="160" t="s">
        <v>212</v>
      </c>
      <c r="C48" s="160">
        <v>6</v>
      </c>
      <c r="D48" s="27"/>
      <c r="E48" s="27"/>
      <c r="F48" s="27"/>
      <c r="G48" s="27"/>
      <c r="H48" s="27"/>
      <c r="I48" s="27"/>
      <c r="J48" s="27"/>
      <c r="K48" s="27">
        <v>1</v>
      </c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>
        <v>1</v>
      </c>
      <c r="Y48" s="27"/>
      <c r="Z48" s="27">
        <v>2</v>
      </c>
      <c r="AA48" s="27"/>
      <c r="AB48" s="27"/>
      <c r="AC48" s="160">
        <v>2</v>
      </c>
      <c r="AD48" s="160"/>
      <c r="AE48" s="160">
        <v>6</v>
      </c>
      <c r="AF48" s="209">
        <v>0</v>
      </c>
    </row>
    <row r="49" spans="1:32" x14ac:dyDescent="0.2">
      <c r="A49" s="159" t="s">
        <v>324</v>
      </c>
      <c r="B49" s="160" t="s">
        <v>325</v>
      </c>
      <c r="C49" s="160">
        <v>18</v>
      </c>
      <c r="D49" s="27">
        <v>2</v>
      </c>
      <c r="E49" s="27">
        <v>3</v>
      </c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>
        <v>3</v>
      </c>
      <c r="S49" s="27">
        <v>1</v>
      </c>
      <c r="T49" s="27"/>
      <c r="U49" s="27">
        <v>2</v>
      </c>
      <c r="V49" s="27">
        <v>2</v>
      </c>
      <c r="W49" s="27"/>
      <c r="X49" s="27">
        <v>2</v>
      </c>
      <c r="Y49" s="27"/>
      <c r="Z49" s="27"/>
      <c r="AA49" s="27"/>
      <c r="AB49" s="27">
        <v>1</v>
      </c>
      <c r="AC49" s="160">
        <v>2</v>
      </c>
      <c r="AD49" s="160"/>
      <c r="AE49" s="160">
        <v>18</v>
      </c>
      <c r="AF49" s="209">
        <v>0</v>
      </c>
    </row>
    <row r="50" spans="1:32" x14ac:dyDescent="0.2">
      <c r="A50" s="159" t="s">
        <v>143</v>
      </c>
      <c r="B50" s="160" t="s">
        <v>221</v>
      </c>
      <c r="C50" s="160">
        <v>3</v>
      </c>
      <c r="D50" s="27"/>
      <c r="E50" s="27"/>
      <c r="F50" s="27"/>
      <c r="G50" s="27">
        <v>1</v>
      </c>
      <c r="H50" s="27"/>
      <c r="I50" s="27"/>
      <c r="J50" s="27"/>
      <c r="K50" s="27"/>
      <c r="L50" s="27"/>
      <c r="M50" s="27"/>
      <c r="N50" s="27"/>
      <c r="O50" s="27"/>
      <c r="P50" s="27">
        <v>1</v>
      </c>
      <c r="Q50" s="27"/>
      <c r="R50" s="27"/>
      <c r="S50" s="27"/>
      <c r="T50" s="27"/>
      <c r="U50" s="27">
        <v>1</v>
      </c>
      <c r="V50" s="27"/>
      <c r="W50" s="27"/>
      <c r="X50" s="27"/>
      <c r="Y50" s="27"/>
      <c r="Z50" s="27"/>
      <c r="AA50" s="27"/>
      <c r="AB50" s="27"/>
      <c r="AC50" s="160"/>
      <c r="AD50" s="160"/>
      <c r="AE50" s="160">
        <v>3</v>
      </c>
      <c r="AF50" s="209">
        <v>0</v>
      </c>
    </row>
    <row r="51" spans="1:32" x14ac:dyDescent="0.2">
      <c r="A51" s="159" t="s">
        <v>142</v>
      </c>
      <c r="B51" s="160" t="s">
        <v>222</v>
      </c>
      <c r="C51" s="160">
        <v>1</v>
      </c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>
        <v>1</v>
      </c>
      <c r="Y51" s="27"/>
      <c r="Z51" s="27"/>
      <c r="AA51" s="27"/>
      <c r="AB51" s="27"/>
      <c r="AC51" s="160"/>
      <c r="AD51" s="160"/>
      <c r="AE51" s="160">
        <v>1</v>
      </c>
      <c r="AF51" s="209">
        <v>0</v>
      </c>
    </row>
    <row r="52" spans="1:32" x14ac:dyDescent="0.2">
      <c r="A52" s="159" t="s">
        <v>144</v>
      </c>
      <c r="B52" s="160" t="s">
        <v>223</v>
      </c>
      <c r="C52" s="160">
        <v>3</v>
      </c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>
        <v>2</v>
      </c>
      <c r="S52" s="27"/>
      <c r="T52" s="27"/>
      <c r="U52" s="27"/>
      <c r="V52" s="27"/>
      <c r="W52" s="27"/>
      <c r="X52" s="27">
        <v>1</v>
      </c>
      <c r="Y52" s="27"/>
      <c r="Z52" s="27"/>
      <c r="AA52" s="27"/>
      <c r="AB52" s="27"/>
      <c r="AC52" s="160"/>
      <c r="AD52" s="160"/>
      <c r="AE52" s="160">
        <v>3</v>
      </c>
      <c r="AF52" s="209">
        <v>0</v>
      </c>
    </row>
    <row r="53" spans="1:32" x14ac:dyDescent="0.2">
      <c r="A53" s="159" t="s">
        <v>145</v>
      </c>
      <c r="B53" s="160" t="s">
        <v>224</v>
      </c>
      <c r="C53" s="160">
        <v>1</v>
      </c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>
        <v>1</v>
      </c>
      <c r="U53" s="27"/>
      <c r="V53" s="27"/>
      <c r="W53" s="27"/>
      <c r="X53" s="27"/>
      <c r="Y53" s="27"/>
      <c r="Z53" s="27"/>
      <c r="AA53" s="27"/>
      <c r="AB53" s="27"/>
      <c r="AC53" s="160"/>
      <c r="AD53" s="160"/>
      <c r="AE53" s="160">
        <v>1</v>
      </c>
      <c r="AF53" s="209">
        <v>0</v>
      </c>
    </row>
    <row r="54" spans="1:32" x14ac:dyDescent="0.2">
      <c r="A54" s="159" t="s">
        <v>172</v>
      </c>
      <c r="B54" s="160" t="s">
        <v>306</v>
      </c>
      <c r="C54" s="160">
        <v>7</v>
      </c>
      <c r="D54" s="27"/>
      <c r="E54" s="27"/>
      <c r="F54" s="27"/>
      <c r="G54" s="27"/>
      <c r="H54" s="27"/>
      <c r="I54" s="27"/>
      <c r="J54" s="27"/>
      <c r="K54" s="27"/>
      <c r="L54" s="27"/>
      <c r="M54" s="27">
        <v>1</v>
      </c>
      <c r="N54" s="27"/>
      <c r="O54" s="27"/>
      <c r="P54" s="27"/>
      <c r="Q54" s="27"/>
      <c r="R54" s="27"/>
      <c r="S54" s="27"/>
      <c r="T54" s="27"/>
      <c r="U54" s="27">
        <v>2</v>
      </c>
      <c r="V54" s="27"/>
      <c r="W54" s="27"/>
      <c r="X54" s="27"/>
      <c r="Y54" s="27"/>
      <c r="Z54" s="27"/>
      <c r="AA54" s="27"/>
      <c r="AB54" s="27">
        <v>1</v>
      </c>
      <c r="AC54" s="160">
        <v>3</v>
      </c>
      <c r="AD54" s="160"/>
      <c r="AE54" s="160">
        <v>7</v>
      </c>
      <c r="AF54" s="209">
        <v>0</v>
      </c>
    </row>
    <row r="55" spans="1:32" x14ac:dyDescent="0.2">
      <c r="A55" s="159" t="s">
        <v>173</v>
      </c>
      <c r="B55" s="160" t="s">
        <v>314</v>
      </c>
      <c r="C55" s="160">
        <v>6</v>
      </c>
      <c r="D55" s="27"/>
      <c r="E55" s="27"/>
      <c r="F55" s="27"/>
      <c r="G55" s="27"/>
      <c r="H55" s="27"/>
      <c r="I55" s="27"/>
      <c r="J55" s="27"/>
      <c r="K55" s="27">
        <v>2</v>
      </c>
      <c r="L55" s="27"/>
      <c r="M55" s="27"/>
      <c r="N55" s="27"/>
      <c r="O55" s="27"/>
      <c r="P55" s="27"/>
      <c r="Q55" s="27"/>
      <c r="R55" s="27"/>
      <c r="S55" s="27"/>
      <c r="T55" s="27">
        <v>2</v>
      </c>
      <c r="U55" s="27"/>
      <c r="V55" s="27"/>
      <c r="W55" s="27"/>
      <c r="X55" s="27"/>
      <c r="Y55" s="27"/>
      <c r="Z55" s="27"/>
      <c r="AA55" s="27"/>
      <c r="AB55" s="27">
        <v>2</v>
      </c>
      <c r="AC55" s="160"/>
      <c r="AD55" s="160"/>
      <c r="AE55" s="160">
        <v>6</v>
      </c>
      <c r="AF55" s="209">
        <v>0</v>
      </c>
    </row>
    <row r="56" spans="1:32" x14ac:dyDescent="0.2">
      <c r="A56" s="159" t="s">
        <v>77</v>
      </c>
      <c r="B56" s="160" t="s">
        <v>127</v>
      </c>
      <c r="C56" s="160">
        <v>7</v>
      </c>
      <c r="D56" s="27"/>
      <c r="E56" s="27"/>
      <c r="F56" s="27"/>
      <c r="G56" s="27"/>
      <c r="H56" s="27"/>
      <c r="I56" s="27"/>
      <c r="J56" s="27"/>
      <c r="K56" s="27"/>
      <c r="L56" s="27"/>
      <c r="M56" s="27">
        <v>7</v>
      </c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160"/>
      <c r="AD56" s="160"/>
      <c r="AE56" s="160">
        <v>7</v>
      </c>
      <c r="AF56" s="209">
        <v>0</v>
      </c>
    </row>
    <row r="57" spans="1:32" x14ac:dyDescent="0.2">
      <c r="A57" s="159" t="s">
        <v>78</v>
      </c>
      <c r="B57" s="160" t="s">
        <v>139</v>
      </c>
      <c r="C57" s="160">
        <v>10</v>
      </c>
      <c r="D57" s="27"/>
      <c r="E57" s="27">
        <v>1</v>
      </c>
      <c r="F57" s="27"/>
      <c r="G57" s="27"/>
      <c r="H57" s="27"/>
      <c r="I57" s="27"/>
      <c r="J57" s="27"/>
      <c r="K57" s="27"/>
      <c r="L57" s="27"/>
      <c r="M57" s="27">
        <v>3</v>
      </c>
      <c r="N57" s="27">
        <v>1</v>
      </c>
      <c r="O57" s="27"/>
      <c r="P57" s="27"/>
      <c r="Q57" s="27"/>
      <c r="R57" s="27"/>
      <c r="S57" s="27">
        <v>1</v>
      </c>
      <c r="T57" s="27"/>
      <c r="U57" s="27"/>
      <c r="V57" s="27">
        <v>1</v>
      </c>
      <c r="W57" s="27"/>
      <c r="X57" s="27"/>
      <c r="Y57" s="27"/>
      <c r="Z57" s="27">
        <v>1</v>
      </c>
      <c r="AA57" s="27">
        <v>2</v>
      </c>
      <c r="AB57" s="27"/>
      <c r="AC57" s="160"/>
      <c r="AD57" s="160"/>
      <c r="AE57" s="160">
        <v>10</v>
      </c>
      <c r="AF57" s="209">
        <v>0</v>
      </c>
    </row>
    <row r="58" spans="1:32" x14ac:dyDescent="0.2">
      <c r="A58" s="159" t="s">
        <v>79</v>
      </c>
      <c r="B58" s="160" t="s">
        <v>150</v>
      </c>
      <c r="C58" s="160">
        <v>7</v>
      </c>
      <c r="D58" s="27"/>
      <c r="E58" s="27">
        <v>1</v>
      </c>
      <c r="F58" s="27"/>
      <c r="G58" s="27">
        <v>1</v>
      </c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>
        <v>1</v>
      </c>
      <c r="T58" s="27">
        <v>1</v>
      </c>
      <c r="U58" s="27">
        <v>1</v>
      </c>
      <c r="V58" s="27"/>
      <c r="W58" s="27"/>
      <c r="X58" s="27"/>
      <c r="Y58" s="27"/>
      <c r="Z58" s="27">
        <v>1</v>
      </c>
      <c r="AA58" s="27"/>
      <c r="AB58" s="27"/>
      <c r="AC58" s="160">
        <v>1</v>
      </c>
      <c r="AD58" s="160"/>
      <c r="AE58" s="160">
        <v>7</v>
      </c>
      <c r="AF58" s="209">
        <v>0</v>
      </c>
    </row>
    <row r="59" spans="1:32" x14ac:dyDescent="0.2">
      <c r="A59" s="159" t="s">
        <v>140</v>
      </c>
      <c r="B59" s="160" t="s">
        <v>213</v>
      </c>
      <c r="C59" s="160">
        <v>4</v>
      </c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>
        <v>4</v>
      </c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160"/>
      <c r="AD59" s="160"/>
      <c r="AE59" s="160">
        <v>4</v>
      </c>
      <c r="AF59" s="209">
        <v>0</v>
      </c>
    </row>
    <row r="60" spans="1:32" x14ac:dyDescent="0.2">
      <c r="A60" s="159" t="s">
        <v>146</v>
      </c>
      <c r="B60" s="160" t="s">
        <v>214</v>
      </c>
      <c r="C60" s="160">
        <v>3</v>
      </c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>
        <v>3</v>
      </c>
      <c r="R60" s="27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160"/>
      <c r="AD60" s="160"/>
      <c r="AE60" s="160">
        <v>3</v>
      </c>
      <c r="AF60" s="209">
        <v>0</v>
      </c>
    </row>
    <row r="61" spans="1:32" x14ac:dyDescent="0.2">
      <c r="A61" s="159" t="s">
        <v>80</v>
      </c>
      <c r="B61" s="160" t="s">
        <v>208</v>
      </c>
      <c r="C61" s="160">
        <v>9</v>
      </c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>
        <v>5</v>
      </c>
      <c r="Y61" s="27"/>
      <c r="Z61" s="27"/>
      <c r="AA61" s="27"/>
      <c r="AB61" s="27"/>
      <c r="AC61" s="160">
        <v>4</v>
      </c>
      <c r="AD61" s="160"/>
      <c r="AE61" s="160">
        <v>9</v>
      </c>
      <c r="AF61" s="209">
        <v>0</v>
      </c>
    </row>
    <row r="62" spans="1:32" x14ac:dyDescent="0.2">
      <c r="A62" s="159" t="s">
        <v>81</v>
      </c>
      <c r="B62" s="160" t="s">
        <v>210</v>
      </c>
      <c r="C62" s="160">
        <v>10</v>
      </c>
      <c r="D62" s="27"/>
      <c r="E62" s="27"/>
      <c r="F62" s="27"/>
      <c r="G62" s="27"/>
      <c r="H62" s="27"/>
      <c r="I62" s="27"/>
      <c r="J62" s="27"/>
      <c r="K62" s="27">
        <v>2</v>
      </c>
      <c r="L62" s="27"/>
      <c r="M62" s="27"/>
      <c r="N62" s="27"/>
      <c r="O62" s="27"/>
      <c r="P62" s="27">
        <v>2</v>
      </c>
      <c r="Q62" s="27"/>
      <c r="R62" s="27"/>
      <c r="S62" s="27">
        <v>1</v>
      </c>
      <c r="T62" s="27"/>
      <c r="U62" s="27">
        <v>2</v>
      </c>
      <c r="V62" s="27">
        <v>3</v>
      </c>
      <c r="W62" s="27"/>
      <c r="X62" s="27"/>
      <c r="Y62" s="27"/>
      <c r="Z62" s="27"/>
      <c r="AA62" s="27"/>
      <c r="AB62" s="27"/>
      <c r="AC62" s="160"/>
      <c r="AD62" s="160"/>
      <c r="AE62" s="160">
        <v>10</v>
      </c>
      <c r="AF62" s="209">
        <v>0</v>
      </c>
    </row>
    <row r="63" spans="1:32" x14ac:dyDescent="0.2">
      <c r="A63" s="159" t="s">
        <v>82</v>
      </c>
      <c r="B63" s="160" t="s">
        <v>211</v>
      </c>
      <c r="C63" s="160">
        <v>7</v>
      </c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>
        <v>1</v>
      </c>
      <c r="Q63" s="27"/>
      <c r="R63" s="27">
        <v>1</v>
      </c>
      <c r="S63" s="27"/>
      <c r="T63" s="27"/>
      <c r="U63" s="27">
        <v>1</v>
      </c>
      <c r="V63" s="27"/>
      <c r="W63" s="27"/>
      <c r="X63" s="27">
        <v>1</v>
      </c>
      <c r="Y63" s="27"/>
      <c r="Z63" s="27"/>
      <c r="AA63" s="27">
        <v>1</v>
      </c>
      <c r="AB63" s="27">
        <v>1</v>
      </c>
      <c r="AC63" s="160">
        <v>1</v>
      </c>
      <c r="AD63" s="160"/>
      <c r="AE63" s="160">
        <v>7</v>
      </c>
      <c r="AF63" s="209">
        <v>0</v>
      </c>
    </row>
    <row r="64" spans="1:32" x14ac:dyDescent="0.2">
      <c r="A64" s="159" t="s">
        <v>83</v>
      </c>
      <c r="B64" s="160" t="s">
        <v>307</v>
      </c>
      <c r="C64" s="160">
        <v>22</v>
      </c>
      <c r="D64" s="27"/>
      <c r="E64" s="27"/>
      <c r="F64" s="27"/>
      <c r="G64" s="27">
        <v>2</v>
      </c>
      <c r="H64" s="27"/>
      <c r="I64" s="27"/>
      <c r="J64" s="27"/>
      <c r="K64" s="27">
        <v>3</v>
      </c>
      <c r="L64" s="27"/>
      <c r="M64" s="27">
        <v>5</v>
      </c>
      <c r="N64" s="27"/>
      <c r="O64" s="27"/>
      <c r="P64" s="27">
        <v>2</v>
      </c>
      <c r="Q64" s="27"/>
      <c r="R64" s="27">
        <v>3</v>
      </c>
      <c r="S64" s="27"/>
      <c r="T64" s="27">
        <v>1</v>
      </c>
      <c r="U64" s="27"/>
      <c r="V64" s="27"/>
      <c r="W64" s="27"/>
      <c r="X64" s="27">
        <v>2</v>
      </c>
      <c r="Y64" s="27"/>
      <c r="Z64" s="27"/>
      <c r="AA64" s="27"/>
      <c r="AB64" s="27">
        <v>2</v>
      </c>
      <c r="AC64" s="160">
        <v>2</v>
      </c>
      <c r="AD64" s="160"/>
      <c r="AE64" s="160">
        <v>22</v>
      </c>
      <c r="AF64" s="209">
        <v>0</v>
      </c>
    </row>
    <row r="65" spans="1:32" x14ac:dyDescent="0.2">
      <c r="A65" s="159" t="s">
        <v>83</v>
      </c>
      <c r="B65" s="160" t="s">
        <v>308</v>
      </c>
      <c r="C65" s="160">
        <v>14</v>
      </c>
      <c r="D65" s="27"/>
      <c r="E65" s="27">
        <v>1</v>
      </c>
      <c r="F65" s="27"/>
      <c r="G65" s="27">
        <v>3</v>
      </c>
      <c r="H65" s="27"/>
      <c r="I65" s="27">
        <v>1</v>
      </c>
      <c r="J65" s="27"/>
      <c r="K65" s="27"/>
      <c r="L65" s="27"/>
      <c r="M65" s="27">
        <v>1</v>
      </c>
      <c r="N65" s="27"/>
      <c r="O65" s="27"/>
      <c r="P65" s="27">
        <v>3</v>
      </c>
      <c r="Q65" s="27"/>
      <c r="R65" s="27">
        <v>1</v>
      </c>
      <c r="S65" s="27"/>
      <c r="T65" s="27">
        <v>1</v>
      </c>
      <c r="U65" s="27">
        <v>1</v>
      </c>
      <c r="V65" s="27"/>
      <c r="W65" s="27"/>
      <c r="X65" s="27"/>
      <c r="Y65" s="27"/>
      <c r="Z65" s="27">
        <v>1</v>
      </c>
      <c r="AA65" s="27">
        <v>1</v>
      </c>
      <c r="AB65" s="27"/>
      <c r="AC65" s="160"/>
      <c r="AD65" s="160"/>
      <c r="AE65" s="160">
        <v>14</v>
      </c>
      <c r="AF65" s="209">
        <v>0</v>
      </c>
    </row>
    <row r="66" spans="1:32" x14ac:dyDescent="0.2">
      <c r="A66" s="159" t="s">
        <v>311</v>
      </c>
      <c r="B66" s="160" t="s">
        <v>309</v>
      </c>
      <c r="C66" s="160">
        <v>22</v>
      </c>
      <c r="D66" s="27"/>
      <c r="E66" s="27">
        <v>1</v>
      </c>
      <c r="F66" s="27"/>
      <c r="G66" s="27"/>
      <c r="H66" s="27"/>
      <c r="I66" s="27">
        <v>2</v>
      </c>
      <c r="J66" s="27"/>
      <c r="K66" s="27">
        <v>3</v>
      </c>
      <c r="L66" s="27"/>
      <c r="M66" s="27"/>
      <c r="N66" s="27"/>
      <c r="O66" s="27">
        <v>1</v>
      </c>
      <c r="P66" s="27">
        <v>3</v>
      </c>
      <c r="Q66" s="27"/>
      <c r="R66" s="27">
        <v>1</v>
      </c>
      <c r="S66" s="27"/>
      <c r="T66" s="27">
        <v>1</v>
      </c>
      <c r="U66" s="27"/>
      <c r="V66" s="27">
        <v>4</v>
      </c>
      <c r="W66" s="27"/>
      <c r="X66" s="27">
        <v>3</v>
      </c>
      <c r="Y66" s="27"/>
      <c r="Z66" s="27"/>
      <c r="AA66" s="27"/>
      <c r="AB66" s="27"/>
      <c r="AC66" s="160">
        <v>3</v>
      </c>
      <c r="AD66" s="160"/>
      <c r="AE66" s="160">
        <v>22</v>
      </c>
      <c r="AF66" s="209">
        <v>0</v>
      </c>
    </row>
    <row r="67" spans="1:32" x14ac:dyDescent="0.2">
      <c r="A67" s="159" t="s">
        <v>311</v>
      </c>
      <c r="B67" s="160" t="s">
        <v>310</v>
      </c>
      <c r="C67" s="160">
        <v>14</v>
      </c>
      <c r="D67" s="27"/>
      <c r="E67" s="27"/>
      <c r="F67" s="27"/>
      <c r="G67" s="27"/>
      <c r="H67" s="27"/>
      <c r="I67" s="27"/>
      <c r="J67" s="27"/>
      <c r="K67" s="27">
        <v>2</v>
      </c>
      <c r="L67" s="27"/>
      <c r="M67" s="27"/>
      <c r="N67" s="27"/>
      <c r="O67" s="27"/>
      <c r="P67" s="27">
        <v>1</v>
      </c>
      <c r="Q67" s="27"/>
      <c r="R67" s="27">
        <v>1</v>
      </c>
      <c r="S67" s="27"/>
      <c r="T67" s="27">
        <v>2</v>
      </c>
      <c r="U67" s="27">
        <v>1</v>
      </c>
      <c r="V67" s="27">
        <v>4</v>
      </c>
      <c r="W67" s="27"/>
      <c r="X67" s="27">
        <v>2</v>
      </c>
      <c r="Y67" s="27">
        <v>1</v>
      </c>
      <c r="Z67" s="27"/>
      <c r="AA67" s="27"/>
      <c r="AB67" s="27"/>
      <c r="AC67" s="160"/>
      <c r="AD67" s="160"/>
      <c r="AE67" s="160">
        <v>14</v>
      </c>
      <c r="AF67" s="209">
        <v>0</v>
      </c>
    </row>
    <row r="68" spans="1:32" x14ac:dyDescent="0.2">
      <c r="A68" s="159" t="s">
        <v>84</v>
      </c>
      <c r="B68" s="160" t="s">
        <v>215</v>
      </c>
      <c r="C68" s="160">
        <v>7</v>
      </c>
      <c r="D68" s="27"/>
      <c r="E68" s="27"/>
      <c r="F68" s="27"/>
      <c r="G68" s="27"/>
      <c r="H68" s="27"/>
      <c r="I68" s="27">
        <v>1</v>
      </c>
      <c r="J68" s="27"/>
      <c r="K68" s="27">
        <v>1</v>
      </c>
      <c r="L68" s="27"/>
      <c r="M68" s="27">
        <v>1</v>
      </c>
      <c r="N68" s="27"/>
      <c r="O68" s="27"/>
      <c r="P68" s="27">
        <v>1</v>
      </c>
      <c r="Q68" s="27"/>
      <c r="R68" s="27"/>
      <c r="S68" s="27"/>
      <c r="T68" s="27"/>
      <c r="U68" s="27"/>
      <c r="V68" s="27"/>
      <c r="W68" s="27"/>
      <c r="X68" s="27">
        <v>1</v>
      </c>
      <c r="Y68" s="27">
        <v>1</v>
      </c>
      <c r="Z68" s="27">
        <v>1</v>
      </c>
      <c r="AA68" s="27"/>
      <c r="AB68" s="27"/>
      <c r="AC68" s="160"/>
      <c r="AD68" s="160"/>
      <c r="AE68" s="160">
        <v>7</v>
      </c>
      <c r="AF68" s="209">
        <v>0</v>
      </c>
    </row>
    <row r="69" spans="1:32" x14ac:dyDescent="0.2">
      <c r="A69" s="159" t="s">
        <v>84</v>
      </c>
      <c r="B69" s="160" t="s">
        <v>216</v>
      </c>
      <c r="C69" s="160">
        <v>6</v>
      </c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>
        <v>1</v>
      </c>
      <c r="Q69" s="27"/>
      <c r="R69" s="27">
        <v>1</v>
      </c>
      <c r="S69" s="27">
        <v>1</v>
      </c>
      <c r="T69" s="27">
        <v>1</v>
      </c>
      <c r="U69" s="27">
        <v>1</v>
      </c>
      <c r="V69" s="27"/>
      <c r="W69" s="27"/>
      <c r="X69" s="27">
        <v>1</v>
      </c>
      <c r="Y69" s="27"/>
      <c r="Z69" s="27"/>
      <c r="AA69" s="27"/>
      <c r="AB69" s="27"/>
      <c r="AC69" s="160"/>
      <c r="AD69" s="160"/>
      <c r="AE69" s="160">
        <v>6</v>
      </c>
      <c r="AF69" s="209">
        <v>0</v>
      </c>
    </row>
    <row r="70" spans="1:32" x14ac:dyDescent="0.2">
      <c r="A70" s="159" t="s">
        <v>236</v>
      </c>
      <c r="B70" s="160" t="s">
        <v>231</v>
      </c>
      <c r="C70" s="160">
        <v>7</v>
      </c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>
        <v>3</v>
      </c>
      <c r="Q70" s="27"/>
      <c r="R70" s="27">
        <v>2</v>
      </c>
      <c r="S70" s="27"/>
      <c r="T70" s="27"/>
      <c r="U70" s="27"/>
      <c r="V70" s="27">
        <v>1</v>
      </c>
      <c r="W70" s="27"/>
      <c r="X70" s="27"/>
      <c r="Y70" s="27">
        <v>1</v>
      </c>
      <c r="Z70" s="27"/>
      <c r="AA70" s="27"/>
      <c r="AB70" s="27"/>
      <c r="AC70" s="160"/>
      <c r="AD70" s="160"/>
      <c r="AE70" s="160">
        <v>7</v>
      </c>
      <c r="AF70" s="209">
        <v>0</v>
      </c>
    </row>
    <row r="71" spans="1:32" x14ac:dyDescent="0.2">
      <c r="A71" s="159" t="s">
        <v>237</v>
      </c>
      <c r="B71" s="160" t="s">
        <v>232</v>
      </c>
      <c r="C71" s="160">
        <v>0</v>
      </c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160"/>
      <c r="AD71" s="160"/>
      <c r="AE71" s="160">
        <v>0</v>
      </c>
      <c r="AF71" s="209">
        <v>0</v>
      </c>
    </row>
    <row r="72" spans="1:32" x14ac:dyDescent="0.2">
      <c r="A72" s="159" t="s">
        <v>161</v>
      </c>
      <c r="B72" s="160" t="s">
        <v>233</v>
      </c>
      <c r="C72" s="160">
        <v>5</v>
      </c>
      <c r="D72" s="27"/>
      <c r="E72" s="27">
        <v>1</v>
      </c>
      <c r="F72" s="27"/>
      <c r="G72" s="27">
        <v>1</v>
      </c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>
        <v>1</v>
      </c>
      <c r="W72" s="27"/>
      <c r="X72" s="27"/>
      <c r="Y72" s="27"/>
      <c r="Z72" s="27">
        <v>1</v>
      </c>
      <c r="AA72" s="27"/>
      <c r="AB72" s="27"/>
      <c r="AC72" s="160">
        <v>1</v>
      </c>
      <c r="AD72" s="160"/>
      <c r="AE72" s="160">
        <v>5</v>
      </c>
      <c r="AF72" s="209">
        <v>0</v>
      </c>
    </row>
    <row r="73" spans="1:32" x14ac:dyDescent="0.2">
      <c r="A73" s="159" t="s">
        <v>162</v>
      </c>
      <c r="B73" s="160" t="s">
        <v>234</v>
      </c>
      <c r="C73" s="160">
        <v>0</v>
      </c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160"/>
      <c r="AD73" s="160"/>
      <c r="AE73" s="160">
        <v>0</v>
      </c>
      <c r="AF73" s="209">
        <v>0</v>
      </c>
    </row>
    <row r="74" spans="1:32" x14ac:dyDescent="0.2">
      <c r="A74" s="159" t="s">
        <v>85</v>
      </c>
      <c r="B74" s="160" t="s">
        <v>220</v>
      </c>
      <c r="C74" s="160">
        <v>7</v>
      </c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>
        <v>1</v>
      </c>
      <c r="O74" s="27"/>
      <c r="P74" s="27"/>
      <c r="Q74" s="27"/>
      <c r="R74" s="27">
        <v>2</v>
      </c>
      <c r="S74" s="27">
        <v>1</v>
      </c>
      <c r="T74" s="27">
        <v>1</v>
      </c>
      <c r="U74" s="27">
        <v>1</v>
      </c>
      <c r="V74" s="27"/>
      <c r="W74" s="27"/>
      <c r="X74" s="27">
        <v>1</v>
      </c>
      <c r="Y74" s="27"/>
      <c r="Z74" s="27"/>
      <c r="AA74" s="27"/>
      <c r="AB74" s="27"/>
      <c r="AC74" s="160"/>
      <c r="AD74" s="160"/>
      <c r="AE74" s="160">
        <v>7</v>
      </c>
      <c r="AF74" s="209">
        <v>0</v>
      </c>
    </row>
    <row r="75" spans="1:32" x14ac:dyDescent="0.2">
      <c r="A75" s="159" t="s">
        <v>85</v>
      </c>
      <c r="B75" s="160" t="s">
        <v>219</v>
      </c>
      <c r="C75" s="160">
        <v>6</v>
      </c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>
        <v>1</v>
      </c>
      <c r="O75" s="27"/>
      <c r="P75" s="27"/>
      <c r="Q75" s="27"/>
      <c r="R75" s="27">
        <v>1</v>
      </c>
      <c r="S75" s="27"/>
      <c r="T75" s="27"/>
      <c r="U75" s="27"/>
      <c r="V75" s="27">
        <v>1</v>
      </c>
      <c r="W75" s="27"/>
      <c r="X75" s="27">
        <v>1</v>
      </c>
      <c r="Y75" s="27"/>
      <c r="Z75" s="27"/>
      <c r="AA75" s="27">
        <v>1</v>
      </c>
      <c r="AB75" s="27"/>
      <c r="AC75" s="160"/>
      <c r="AD75" s="160"/>
      <c r="AE75" s="160">
        <v>5</v>
      </c>
      <c r="AF75" s="209">
        <v>-1</v>
      </c>
    </row>
    <row r="76" spans="1:32" x14ac:dyDescent="0.2">
      <c r="A76" s="159" t="s">
        <v>339</v>
      </c>
      <c r="B76" s="160" t="s">
        <v>341</v>
      </c>
      <c r="C76" s="160">
        <v>7</v>
      </c>
      <c r="D76" s="27"/>
      <c r="E76" s="27"/>
      <c r="F76" s="27"/>
      <c r="G76" s="27"/>
      <c r="H76" s="27"/>
      <c r="I76" s="27">
        <v>1</v>
      </c>
      <c r="J76" s="27"/>
      <c r="K76" s="27"/>
      <c r="L76" s="27"/>
      <c r="M76" s="27"/>
      <c r="N76" s="27"/>
      <c r="O76" s="27"/>
      <c r="P76" s="27"/>
      <c r="Q76" s="27"/>
      <c r="R76" s="27"/>
      <c r="S76" s="27">
        <v>1</v>
      </c>
      <c r="T76" s="27"/>
      <c r="U76" s="27">
        <v>1</v>
      </c>
      <c r="V76" s="27"/>
      <c r="W76" s="27"/>
      <c r="X76" s="27">
        <v>1</v>
      </c>
      <c r="Y76" s="27"/>
      <c r="Z76" s="27">
        <v>1</v>
      </c>
      <c r="AA76" s="27"/>
      <c r="AB76" s="27">
        <v>1</v>
      </c>
      <c r="AC76" s="160">
        <v>1</v>
      </c>
      <c r="AD76" s="160"/>
      <c r="AE76" s="160">
        <v>7</v>
      </c>
      <c r="AF76" s="209">
        <v>0</v>
      </c>
    </row>
    <row r="77" spans="1:32" x14ac:dyDescent="0.2">
      <c r="A77" s="159" t="s">
        <v>340</v>
      </c>
      <c r="B77" s="160" t="s">
        <v>342</v>
      </c>
      <c r="C77" s="160">
        <v>6</v>
      </c>
      <c r="D77" s="27"/>
      <c r="E77" s="27"/>
      <c r="F77" s="27"/>
      <c r="G77" s="27"/>
      <c r="H77" s="27"/>
      <c r="I77" s="27">
        <v>1</v>
      </c>
      <c r="J77" s="27"/>
      <c r="K77" s="27"/>
      <c r="L77" s="27"/>
      <c r="M77" s="27"/>
      <c r="N77" s="27"/>
      <c r="O77" s="27"/>
      <c r="P77" s="27"/>
      <c r="Q77" s="27"/>
      <c r="R77" s="27"/>
      <c r="S77" s="27">
        <v>1</v>
      </c>
      <c r="T77" s="27"/>
      <c r="U77" s="27">
        <v>1</v>
      </c>
      <c r="V77" s="27"/>
      <c r="W77" s="27"/>
      <c r="X77" s="27">
        <v>1</v>
      </c>
      <c r="Y77" s="27">
        <v>2</v>
      </c>
      <c r="Z77" s="27"/>
      <c r="AA77" s="27"/>
      <c r="AB77" s="27"/>
      <c r="AC77" s="160"/>
      <c r="AD77" s="160"/>
      <c r="AE77" s="160">
        <v>6</v>
      </c>
      <c r="AF77" s="209">
        <v>0</v>
      </c>
    </row>
    <row r="78" spans="1:32" x14ac:dyDescent="0.2">
      <c r="A78" s="159" t="s">
        <v>147</v>
      </c>
      <c r="B78" s="160" t="s">
        <v>217</v>
      </c>
      <c r="C78" s="160">
        <v>3</v>
      </c>
      <c r="D78" s="27"/>
      <c r="E78" s="27"/>
      <c r="F78" s="27"/>
      <c r="G78" s="27"/>
      <c r="H78" s="27"/>
      <c r="I78" s="27"/>
      <c r="J78" s="27"/>
      <c r="K78" s="27">
        <v>1</v>
      </c>
      <c r="L78" s="27"/>
      <c r="M78" s="27"/>
      <c r="N78" s="27"/>
      <c r="O78" s="27"/>
      <c r="P78" s="27"/>
      <c r="Q78" s="27"/>
      <c r="R78" s="27"/>
      <c r="S78" s="27">
        <v>2</v>
      </c>
      <c r="T78" s="27"/>
      <c r="U78" s="27"/>
      <c r="V78" s="27"/>
      <c r="W78" s="27"/>
      <c r="X78" s="27"/>
      <c r="Y78" s="27"/>
      <c r="Z78" s="27"/>
      <c r="AA78" s="27"/>
      <c r="AB78" s="27"/>
      <c r="AC78" s="160"/>
      <c r="AD78" s="160"/>
      <c r="AE78" s="160">
        <v>3</v>
      </c>
      <c r="AF78" s="209">
        <v>0</v>
      </c>
    </row>
    <row r="79" spans="1:32" x14ac:dyDescent="0.2">
      <c r="A79" s="159" t="s">
        <v>148</v>
      </c>
      <c r="B79" s="160" t="s">
        <v>218</v>
      </c>
      <c r="C79" s="160">
        <v>1</v>
      </c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>
        <v>1</v>
      </c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160"/>
      <c r="AD79" s="160"/>
      <c r="AE79" s="160">
        <v>1</v>
      </c>
      <c r="AF79" s="209">
        <v>0</v>
      </c>
    </row>
    <row r="80" spans="1:32" x14ac:dyDescent="0.2">
      <c r="A80" s="159" t="s">
        <v>326</v>
      </c>
      <c r="B80" s="160" t="s">
        <v>327</v>
      </c>
      <c r="C80" s="160">
        <v>9</v>
      </c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>
        <v>7</v>
      </c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  <c r="AA80" s="27">
        <v>2</v>
      </c>
      <c r="AB80" s="27"/>
      <c r="AC80" s="160"/>
      <c r="AD80" s="160"/>
      <c r="AE80" s="160">
        <v>9</v>
      </c>
      <c r="AF80" s="209">
        <v>0</v>
      </c>
    </row>
    <row r="81" spans="1:32" x14ac:dyDescent="0.2">
      <c r="A81" s="159" t="s">
        <v>312</v>
      </c>
      <c r="B81" s="160" t="s">
        <v>101</v>
      </c>
      <c r="C81" s="160">
        <v>2</v>
      </c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>
        <v>2</v>
      </c>
      <c r="U81" s="27"/>
      <c r="V81" s="27"/>
      <c r="W81" s="27"/>
      <c r="X81" s="27"/>
      <c r="Y81" s="27"/>
      <c r="Z81" s="27"/>
      <c r="AA81" s="27"/>
      <c r="AB81" s="27"/>
      <c r="AC81" s="160"/>
      <c r="AD81" s="160"/>
      <c r="AE81" s="160">
        <v>2</v>
      </c>
      <c r="AF81" s="209">
        <v>0</v>
      </c>
    </row>
    <row r="82" spans="1:32" x14ac:dyDescent="0.2">
      <c r="A82" s="159" t="s">
        <v>313</v>
      </c>
      <c r="B82" s="160" t="s">
        <v>235</v>
      </c>
      <c r="C82" s="160">
        <v>6</v>
      </c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>
        <v>6</v>
      </c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160"/>
      <c r="AD82" s="160"/>
      <c r="AE82" s="160">
        <v>6</v>
      </c>
      <c r="AF82" s="209">
        <v>0</v>
      </c>
    </row>
    <row r="83" spans="1:32" x14ac:dyDescent="0.2">
      <c r="A83" s="159"/>
      <c r="B83" s="160"/>
      <c r="C83" s="160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160"/>
      <c r="AD83" s="160"/>
      <c r="AE83" s="160"/>
      <c r="AF83" s="209"/>
    </row>
    <row r="84" spans="1:32" x14ac:dyDescent="0.2">
      <c r="A84" s="159"/>
      <c r="B84" s="164" t="s">
        <v>246</v>
      </c>
      <c r="C84" s="160">
        <v>251</v>
      </c>
      <c r="D84" s="27">
        <v>2</v>
      </c>
      <c r="E84" s="27">
        <v>8</v>
      </c>
      <c r="F84" s="27">
        <v>0</v>
      </c>
      <c r="G84" s="27">
        <v>8</v>
      </c>
      <c r="H84" s="27">
        <v>0</v>
      </c>
      <c r="I84" s="27">
        <v>6</v>
      </c>
      <c r="J84" s="27">
        <v>0</v>
      </c>
      <c r="K84" s="27">
        <v>15</v>
      </c>
      <c r="L84" s="27">
        <v>0</v>
      </c>
      <c r="M84" s="27">
        <v>18</v>
      </c>
      <c r="N84" s="27">
        <v>3</v>
      </c>
      <c r="O84" s="27">
        <v>14</v>
      </c>
      <c r="P84" s="27">
        <v>19</v>
      </c>
      <c r="Q84" s="27">
        <v>7</v>
      </c>
      <c r="R84" s="27">
        <v>18</v>
      </c>
      <c r="S84" s="27">
        <v>10</v>
      </c>
      <c r="T84" s="27">
        <v>18</v>
      </c>
      <c r="U84" s="27">
        <v>15</v>
      </c>
      <c r="V84" s="27">
        <v>17</v>
      </c>
      <c r="W84" s="27">
        <v>0</v>
      </c>
      <c r="X84" s="27">
        <v>24</v>
      </c>
      <c r="Y84" s="27">
        <v>5</v>
      </c>
      <c r="Z84" s="27">
        <v>8</v>
      </c>
      <c r="AA84" s="27">
        <v>7</v>
      </c>
      <c r="AB84" s="27">
        <v>8</v>
      </c>
      <c r="AC84" s="160">
        <v>20</v>
      </c>
      <c r="AD84" s="160">
        <v>0</v>
      </c>
      <c r="AE84" s="160">
        <v>250</v>
      </c>
      <c r="AF84" s="209">
        <v>-1</v>
      </c>
    </row>
    <row r="85" spans="1:32" x14ac:dyDescent="0.2">
      <c r="A85" s="159"/>
      <c r="B85" s="160"/>
      <c r="C85" s="160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160"/>
      <c r="AD85" s="160"/>
      <c r="AE85" s="160"/>
      <c r="AF85" s="209"/>
    </row>
    <row r="86" spans="1:32" ht="13.5" thickBot="1" x14ac:dyDescent="0.25">
      <c r="A86" s="161"/>
      <c r="B86" s="162" t="s">
        <v>247</v>
      </c>
      <c r="C86" s="163">
        <v>395</v>
      </c>
      <c r="D86" s="120">
        <v>19</v>
      </c>
      <c r="E86" s="120">
        <v>9</v>
      </c>
      <c r="F86" s="120">
        <v>0</v>
      </c>
      <c r="G86" s="120">
        <v>18</v>
      </c>
      <c r="H86" s="120">
        <v>0</v>
      </c>
      <c r="I86" s="120">
        <v>32</v>
      </c>
      <c r="J86" s="120">
        <v>17</v>
      </c>
      <c r="K86" s="120">
        <v>15</v>
      </c>
      <c r="L86" s="120">
        <v>0</v>
      </c>
      <c r="M86" s="120">
        <v>20</v>
      </c>
      <c r="N86" s="120">
        <v>9</v>
      </c>
      <c r="O86" s="120">
        <v>27</v>
      </c>
      <c r="P86" s="120">
        <v>19</v>
      </c>
      <c r="Q86" s="120">
        <v>24</v>
      </c>
      <c r="R86" s="120">
        <v>18</v>
      </c>
      <c r="S86" s="120">
        <v>11</v>
      </c>
      <c r="T86" s="120">
        <v>18</v>
      </c>
      <c r="U86" s="120">
        <v>19</v>
      </c>
      <c r="V86" s="120">
        <v>19</v>
      </c>
      <c r="W86" s="120">
        <v>0</v>
      </c>
      <c r="X86" s="120">
        <v>25</v>
      </c>
      <c r="Y86" s="120">
        <v>7</v>
      </c>
      <c r="Z86" s="120">
        <v>26</v>
      </c>
      <c r="AA86" s="120">
        <v>9</v>
      </c>
      <c r="AB86" s="120">
        <v>13</v>
      </c>
      <c r="AC86" s="163">
        <v>20</v>
      </c>
      <c r="AD86" s="163">
        <v>0</v>
      </c>
      <c r="AE86" s="163">
        <v>394</v>
      </c>
      <c r="AF86" s="210">
        <v>-1</v>
      </c>
    </row>
    <row r="90" spans="1:32" ht="18.75" thickBot="1" x14ac:dyDescent="0.3">
      <c r="B90" s="154" t="s">
        <v>242</v>
      </c>
    </row>
    <row r="91" spans="1:32" ht="65.25" x14ac:dyDescent="0.25">
      <c r="A91" s="155"/>
      <c r="B91" s="156" t="s">
        <v>343</v>
      </c>
      <c r="C91" s="157" t="s">
        <v>4</v>
      </c>
      <c r="D91" s="158" t="s">
        <v>26</v>
      </c>
      <c r="E91" s="158" t="s">
        <v>108</v>
      </c>
      <c r="F91" s="158" t="s">
        <v>70</v>
      </c>
      <c r="G91" s="158" t="s">
        <v>18</v>
      </c>
      <c r="H91" s="158" t="s">
        <v>301</v>
      </c>
      <c r="I91" s="158" t="s">
        <v>47</v>
      </c>
      <c r="J91" s="158" t="s">
        <v>38</v>
      </c>
      <c r="K91" s="158" t="s">
        <v>113</v>
      </c>
      <c r="L91" s="158" t="s">
        <v>23</v>
      </c>
      <c r="M91" s="158" t="s">
        <v>114</v>
      </c>
      <c r="N91" s="158" t="s">
        <v>188</v>
      </c>
      <c r="O91" s="158" t="s">
        <v>31</v>
      </c>
      <c r="P91" s="158" t="s">
        <v>124</v>
      </c>
      <c r="Q91" s="158" t="s">
        <v>115</v>
      </c>
      <c r="R91" s="158" t="s">
        <v>117</v>
      </c>
      <c r="S91" s="158" t="s">
        <v>118</v>
      </c>
      <c r="T91" s="158" t="s">
        <v>49</v>
      </c>
      <c r="U91" s="158" t="s">
        <v>119</v>
      </c>
      <c r="V91" s="158" t="s">
        <v>353</v>
      </c>
      <c r="W91" s="158" t="s">
        <v>89</v>
      </c>
      <c r="X91" s="158" t="s">
        <v>57</v>
      </c>
      <c r="Y91" s="158" t="s">
        <v>296</v>
      </c>
      <c r="Z91" s="158" t="s">
        <v>8</v>
      </c>
      <c r="AA91" s="158" t="s">
        <v>303</v>
      </c>
      <c r="AB91" s="158" t="s">
        <v>28</v>
      </c>
      <c r="AC91" s="157" t="s">
        <v>52</v>
      </c>
      <c r="AD91" s="157" t="s">
        <v>15</v>
      </c>
      <c r="AE91" s="157" t="s">
        <v>141</v>
      </c>
      <c r="AF91" s="208" t="s">
        <v>244</v>
      </c>
    </row>
    <row r="92" spans="1:32" x14ac:dyDescent="0.2">
      <c r="A92" s="159" t="s">
        <v>6</v>
      </c>
      <c r="B92" s="160" t="s">
        <v>7</v>
      </c>
      <c r="C92" s="160">
        <v>4</v>
      </c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>
        <v>4</v>
      </c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160"/>
      <c r="AD92" s="160"/>
      <c r="AE92" s="160">
        <v>4</v>
      </c>
      <c r="AF92" s="209">
        <v>0</v>
      </c>
    </row>
    <row r="93" spans="1:32" x14ac:dyDescent="0.2">
      <c r="A93" s="159" t="s">
        <v>9</v>
      </c>
      <c r="B93" s="160" t="s">
        <v>10</v>
      </c>
      <c r="C93" s="160">
        <v>2</v>
      </c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>
        <v>2</v>
      </c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160"/>
      <c r="AD93" s="160"/>
      <c r="AE93" s="160">
        <v>2</v>
      </c>
      <c r="AF93" s="209">
        <v>0</v>
      </c>
    </row>
    <row r="94" spans="1:32" x14ac:dyDescent="0.2">
      <c r="A94" s="159" t="s">
        <v>11</v>
      </c>
      <c r="B94" s="160" t="s">
        <v>12</v>
      </c>
      <c r="C94" s="160">
        <v>2</v>
      </c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>
        <v>2</v>
      </c>
      <c r="W94" s="27"/>
      <c r="X94" s="27"/>
      <c r="Y94" s="27"/>
      <c r="Z94" s="27"/>
      <c r="AA94" s="27"/>
      <c r="AB94" s="27"/>
      <c r="AC94" s="160"/>
      <c r="AD94" s="160"/>
      <c r="AE94" s="160">
        <v>2</v>
      </c>
      <c r="AF94" s="209">
        <v>0</v>
      </c>
    </row>
    <row r="95" spans="1:32" x14ac:dyDescent="0.2">
      <c r="A95" s="159" t="s">
        <v>13</v>
      </c>
      <c r="B95" s="160" t="s">
        <v>14</v>
      </c>
      <c r="C95" s="160">
        <v>2</v>
      </c>
      <c r="D95" s="27"/>
      <c r="E95" s="27"/>
      <c r="F95" s="27"/>
      <c r="G95" s="27"/>
      <c r="H95" s="27"/>
      <c r="I95" s="27"/>
      <c r="J95" s="27"/>
      <c r="K95" s="27"/>
      <c r="L95" s="27"/>
      <c r="M95" s="27">
        <v>2</v>
      </c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160"/>
      <c r="AD95" s="160"/>
      <c r="AE95" s="160">
        <v>2</v>
      </c>
      <c r="AF95" s="209">
        <v>0</v>
      </c>
    </row>
    <row r="96" spans="1:32" x14ac:dyDescent="0.2">
      <c r="A96" s="159" t="s">
        <v>16</v>
      </c>
      <c r="B96" s="160" t="s">
        <v>17</v>
      </c>
      <c r="C96" s="160">
        <v>6</v>
      </c>
      <c r="D96" s="27"/>
      <c r="E96" s="27"/>
      <c r="F96" s="27"/>
      <c r="G96" s="27">
        <v>6</v>
      </c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160"/>
      <c r="AD96" s="160"/>
      <c r="AE96" s="160">
        <v>6</v>
      </c>
      <c r="AF96" s="209">
        <v>0</v>
      </c>
    </row>
    <row r="97" spans="1:32" x14ac:dyDescent="0.2">
      <c r="A97" s="159" t="s">
        <v>19</v>
      </c>
      <c r="B97" s="160" t="s">
        <v>90</v>
      </c>
      <c r="C97" s="160">
        <v>4</v>
      </c>
      <c r="D97" s="27"/>
      <c r="E97" s="27"/>
      <c r="F97" s="27"/>
      <c r="G97" s="27">
        <v>4</v>
      </c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160"/>
      <c r="AD97" s="160"/>
      <c r="AE97" s="160">
        <v>4</v>
      </c>
      <c r="AF97" s="209">
        <v>0</v>
      </c>
    </row>
    <row r="98" spans="1:32" x14ac:dyDescent="0.2">
      <c r="A98" s="159" t="s">
        <v>21</v>
      </c>
      <c r="B98" s="160" t="s">
        <v>91</v>
      </c>
      <c r="C98" s="160">
        <v>7</v>
      </c>
      <c r="D98" s="27">
        <v>7</v>
      </c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160"/>
      <c r="AD98" s="160"/>
      <c r="AE98" s="160">
        <v>7</v>
      </c>
      <c r="AF98" s="209">
        <v>0</v>
      </c>
    </row>
    <row r="99" spans="1:32" x14ac:dyDescent="0.2">
      <c r="A99" s="159" t="s">
        <v>24</v>
      </c>
      <c r="B99" s="160" t="s">
        <v>25</v>
      </c>
      <c r="C99" s="160">
        <v>2</v>
      </c>
      <c r="D99" s="27">
        <v>2</v>
      </c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160"/>
      <c r="AD99" s="160"/>
      <c r="AE99" s="160">
        <v>2</v>
      </c>
      <c r="AF99" s="209">
        <v>0</v>
      </c>
    </row>
    <row r="100" spans="1:32" x14ac:dyDescent="0.2">
      <c r="A100" s="159" t="s">
        <v>290</v>
      </c>
      <c r="B100" s="160" t="s">
        <v>291</v>
      </c>
      <c r="C100" s="160">
        <v>8</v>
      </c>
      <c r="D100" s="27">
        <v>8</v>
      </c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  <c r="AA100" s="27"/>
      <c r="AB100" s="27"/>
      <c r="AC100" s="160"/>
      <c r="AD100" s="160"/>
      <c r="AE100" s="160">
        <v>8</v>
      </c>
      <c r="AF100" s="209">
        <v>0</v>
      </c>
    </row>
    <row r="101" spans="1:32" x14ac:dyDescent="0.2">
      <c r="A101" s="159" t="s">
        <v>27</v>
      </c>
      <c r="B101" s="160" t="s">
        <v>287</v>
      </c>
      <c r="C101" s="160">
        <v>2</v>
      </c>
      <c r="D101" s="27"/>
      <c r="E101" s="27"/>
      <c r="F101" s="27"/>
      <c r="G101" s="27"/>
      <c r="H101" s="27"/>
      <c r="I101" s="27">
        <v>2</v>
      </c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160"/>
      <c r="AD101" s="160"/>
      <c r="AE101" s="160">
        <v>2</v>
      </c>
      <c r="AF101" s="209">
        <v>0</v>
      </c>
    </row>
    <row r="102" spans="1:32" x14ac:dyDescent="0.2">
      <c r="A102" s="159" t="s">
        <v>32</v>
      </c>
      <c r="B102" s="160" t="s">
        <v>92</v>
      </c>
      <c r="C102" s="160">
        <v>4</v>
      </c>
      <c r="D102" s="27"/>
      <c r="E102" s="27"/>
      <c r="F102" s="27"/>
      <c r="G102" s="27"/>
      <c r="H102" s="27"/>
      <c r="I102" s="27"/>
      <c r="J102" s="27">
        <v>4</v>
      </c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  <c r="AA102" s="27"/>
      <c r="AB102" s="27"/>
      <c r="AC102" s="160"/>
      <c r="AD102" s="160"/>
      <c r="AE102" s="160">
        <v>4</v>
      </c>
      <c r="AF102" s="209">
        <v>0</v>
      </c>
    </row>
    <row r="103" spans="1:32" x14ac:dyDescent="0.2">
      <c r="A103" s="159" t="s">
        <v>34</v>
      </c>
      <c r="B103" s="160" t="s">
        <v>93</v>
      </c>
      <c r="C103" s="160">
        <v>8</v>
      </c>
      <c r="D103" s="27"/>
      <c r="E103" s="27"/>
      <c r="F103" s="27"/>
      <c r="G103" s="27"/>
      <c r="H103" s="27"/>
      <c r="I103" s="27"/>
      <c r="J103" s="27">
        <v>8</v>
      </c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  <c r="AA103" s="27"/>
      <c r="AB103" s="27"/>
      <c r="AC103" s="160"/>
      <c r="AD103" s="160"/>
      <c r="AE103" s="160">
        <v>8</v>
      </c>
      <c r="AF103" s="209">
        <v>0</v>
      </c>
    </row>
    <row r="104" spans="1:32" x14ac:dyDescent="0.2">
      <c r="A104" s="159" t="s">
        <v>36</v>
      </c>
      <c r="B104" s="160" t="s">
        <v>37</v>
      </c>
      <c r="C104" s="160">
        <v>4</v>
      </c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>
        <v>4</v>
      </c>
      <c r="U104" s="27"/>
      <c r="V104" s="27"/>
      <c r="W104" s="27"/>
      <c r="X104" s="27"/>
      <c r="Y104" s="27"/>
      <c r="Z104" s="27"/>
      <c r="AA104" s="27"/>
      <c r="AB104" s="27"/>
      <c r="AC104" s="160"/>
      <c r="AD104" s="160"/>
      <c r="AE104" s="160">
        <v>4</v>
      </c>
      <c r="AF104" s="209">
        <v>0</v>
      </c>
    </row>
    <row r="105" spans="1:32" x14ac:dyDescent="0.2">
      <c r="A105" s="159" t="s">
        <v>39</v>
      </c>
      <c r="B105" s="160" t="s">
        <v>40</v>
      </c>
      <c r="C105" s="160">
        <v>12</v>
      </c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>
        <v>12</v>
      </c>
      <c r="U105" s="27"/>
      <c r="V105" s="27"/>
      <c r="W105" s="27"/>
      <c r="X105" s="27"/>
      <c r="Y105" s="27"/>
      <c r="Z105" s="27"/>
      <c r="AA105" s="27"/>
      <c r="AB105" s="27"/>
      <c r="AC105" s="160"/>
      <c r="AD105" s="160"/>
      <c r="AE105" s="160">
        <v>12</v>
      </c>
      <c r="AF105" s="209">
        <v>0</v>
      </c>
    </row>
    <row r="106" spans="1:32" x14ac:dyDescent="0.2">
      <c r="A106" s="159" t="s">
        <v>41</v>
      </c>
      <c r="B106" s="160" t="s">
        <v>168</v>
      </c>
      <c r="C106" s="160">
        <v>5</v>
      </c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>
        <v>5</v>
      </c>
      <c r="U106" s="27"/>
      <c r="V106" s="27"/>
      <c r="W106" s="27"/>
      <c r="X106" s="27"/>
      <c r="Y106" s="27"/>
      <c r="Z106" s="27"/>
      <c r="AA106" s="27"/>
      <c r="AB106" s="27"/>
      <c r="AC106" s="160"/>
      <c r="AD106" s="160"/>
      <c r="AE106" s="160">
        <v>5</v>
      </c>
      <c r="AF106" s="209">
        <v>0</v>
      </c>
    </row>
    <row r="107" spans="1:32" x14ac:dyDescent="0.2">
      <c r="A107" s="159" t="s">
        <v>43</v>
      </c>
      <c r="B107" s="160" t="s">
        <v>169</v>
      </c>
      <c r="C107" s="160">
        <v>5</v>
      </c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>
        <v>5</v>
      </c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  <c r="AA107" s="27"/>
      <c r="AB107" s="27"/>
      <c r="AC107" s="160"/>
      <c r="AD107" s="160"/>
      <c r="AE107" s="160">
        <v>5</v>
      </c>
      <c r="AF107" s="209">
        <v>0</v>
      </c>
    </row>
    <row r="108" spans="1:32" x14ac:dyDescent="0.2">
      <c r="A108" s="159" t="s">
        <v>45</v>
      </c>
      <c r="B108" s="160" t="s">
        <v>94</v>
      </c>
      <c r="C108" s="160">
        <v>14</v>
      </c>
      <c r="D108" s="27"/>
      <c r="E108" s="27"/>
      <c r="F108" s="27"/>
      <c r="G108" s="27"/>
      <c r="H108" s="27"/>
      <c r="I108" s="27">
        <v>14</v>
      </c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  <c r="AA108" s="27"/>
      <c r="AB108" s="27"/>
      <c r="AC108" s="160"/>
      <c r="AD108" s="160"/>
      <c r="AE108" s="160">
        <v>14</v>
      </c>
      <c r="AF108" s="209">
        <v>0</v>
      </c>
    </row>
    <row r="109" spans="1:32" x14ac:dyDescent="0.2">
      <c r="A109" s="159" t="s">
        <v>48</v>
      </c>
      <c r="B109" s="160" t="s">
        <v>95</v>
      </c>
      <c r="C109" s="160">
        <v>6</v>
      </c>
      <c r="D109" s="27"/>
      <c r="E109" s="27"/>
      <c r="F109" s="27"/>
      <c r="G109" s="27"/>
      <c r="H109" s="27"/>
      <c r="I109" s="27"/>
      <c r="J109" s="27">
        <v>6</v>
      </c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  <c r="AA109" s="27"/>
      <c r="AB109" s="27"/>
      <c r="AC109" s="160"/>
      <c r="AD109" s="160"/>
      <c r="AE109" s="160">
        <v>6</v>
      </c>
      <c r="AF109" s="209">
        <v>0</v>
      </c>
    </row>
    <row r="110" spans="1:32" x14ac:dyDescent="0.2">
      <c r="A110" s="159" t="s">
        <v>50</v>
      </c>
      <c r="B110" s="160" t="s">
        <v>51</v>
      </c>
      <c r="C110" s="160">
        <v>4</v>
      </c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>
        <v>4</v>
      </c>
      <c r="R110" s="27"/>
      <c r="S110" s="27"/>
      <c r="T110" s="27"/>
      <c r="U110" s="27"/>
      <c r="V110" s="27"/>
      <c r="W110" s="27"/>
      <c r="X110" s="27"/>
      <c r="Y110" s="27"/>
      <c r="Z110" s="27"/>
      <c r="AA110" s="27"/>
      <c r="AB110" s="27"/>
      <c r="AC110" s="160"/>
      <c r="AD110" s="160"/>
      <c r="AE110" s="160">
        <v>4</v>
      </c>
      <c r="AF110" s="209">
        <v>0</v>
      </c>
    </row>
    <row r="111" spans="1:32" x14ac:dyDescent="0.2">
      <c r="A111" s="159" t="s">
        <v>53</v>
      </c>
      <c r="B111" s="160" t="s">
        <v>54</v>
      </c>
      <c r="C111" s="160">
        <v>9</v>
      </c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>
        <v>9</v>
      </c>
      <c r="R111" s="27"/>
      <c r="S111" s="27"/>
      <c r="T111" s="27"/>
      <c r="U111" s="27"/>
      <c r="V111" s="27"/>
      <c r="W111" s="27"/>
      <c r="X111" s="27"/>
      <c r="Y111" s="27"/>
      <c r="Z111" s="27"/>
      <c r="AA111" s="27"/>
      <c r="AB111" s="27"/>
      <c r="AC111" s="160"/>
      <c r="AD111" s="160"/>
      <c r="AE111" s="160">
        <v>9</v>
      </c>
      <c r="AF111" s="209">
        <v>0</v>
      </c>
    </row>
    <row r="112" spans="1:32" x14ac:dyDescent="0.2">
      <c r="A112" s="159" t="s">
        <v>293</v>
      </c>
      <c r="B112" s="160" t="s">
        <v>294</v>
      </c>
      <c r="C112" s="160">
        <v>4</v>
      </c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>
        <v>4</v>
      </c>
      <c r="V112" s="27"/>
      <c r="W112" s="27"/>
      <c r="X112" s="27"/>
      <c r="Y112" s="27"/>
      <c r="Z112" s="27"/>
      <c r="AA112" s="27"/>
      <c r="AB112" s="27"/>
      <c r="AC112" s="160"/>
      <c r="AD112" s="160"/>
      <c r="AE112" s="160">
        <v>4</v>
      </c>
      <c r="AF112" s="209">
        <v>0</v>
      </c>
    </row>
    <row r="113" spans="1:32" x14ac:dyDescent="0.2">
      <c r="A113" s="159" t="s">
        <v>55</v>
      </c>
      <c r="B113" s="160" t="s">
        <v>56</v>
      </c>
      <c r="C113" s="160">
        <v>1</v>
      </c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>
        <v>1</v>
      </c>
      <c r="Y113" s="27"/>
      <c r="Z113" s="27"/>
      <c r="AA113" s="27"/>
      <c r="AB113" s="27"/>
      <c r="AC113" s="160"/>
      <c r="AD113" s="160"/>
      <c r="AE113" s="160">
        <v>1</v>
      </c>
      <c r="AF113" s="209">
        <v>0</v>
      </c>
    </row>
    <row r="114" spans="1:32" x14ac:dyDescent="0.2">
      <c r="A114" s="159" t="s">
        <v>58</v>
      </c>
      <c r="B114" s="160" t="s">
        <v>96</v>
      </c>
      <c r="C114" s="160">
        <v>4</v>
      </c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>
        <v>4</v>
      </c>
      <c r="R114" s="27"/>
      <c r="S114" s="27"/>
      <c r="T114" s="27"/>
      <c r="U114" s="27"/>
      <c r="V114" s="27"/>
      <c r="W114" s="27"/>
      <c r="X114" s="27"/>
      <c r="Y114" s="27"/>
      <c r="Z114" s="27"/>
      <c r="AA114" s="27"/>
      <c r="AB114" s="27"/>
      <c r="AC114" s="160"/>
      <c r="AD114" s="160"/>
      <c r="AE114" s="160">
        <v>4</v>
      </c>
      <c r="AF114" s="209">
        <v>0</v>
      </c>
    </row>
    <row r="115" spans="1:32" x14ac:dyDescent="0.2">
      <c r="A115" s="159" t="s">
        <v>60</v>
      </c>
      <c r="B115" s="160" t="s">
        <v>61</v>
      </c>
      <c r="C115" s="160">
        <v>1</v>
      </c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  <c r="AA115" s="27"/>
      <c r="AB115" s="27">
        <v>1</v>
      </c>
      <c r="AC115" s="160"/>
      <c r="AD115" s="160"/>
      <c r="AE115" s="160">
        <v>1</v>
      </c>
      <c r="AF115" s="209">
        <v>0</v>
      </c>
    </row>
    <row r="116" spans="1:32" x14ac:dyDescent="0.2">
      <c r="A116" s="159" t="s">
        <v>62</v>
      </c>
      <c r="B116" s="160" t="s">
        <v>63</v>
      </c>
      <c r="C116" s="160">
        <v>2</v>
      </c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>
        <v>2</v>
      </c>
      <c r="Z116" s="27"/>
      <c r="AA116" s="27"/>
      <c r="AB116" s="27"/>
      <c r="AC116" s="160"/>
      <c r="AD116" s="160"/>
      <c r="AE116" s="160">
        <v>2</v>
      </c>
      <c r="AF116" s="209">
        <v>0</v>
      </c>
    </row>
    <row r="117" spans="1:32" x14ac:dyDescent="0.2">
      <c r="A117" s="159" t="s">
        <v>64</v>
      </c>
      <c r="B117" s="160" t="s">
        <v>65</v>
      </c>
      <c r="C117" s="160">
        <v>2</v>
      </c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  <c r="AA117" s="27">
        <v>2</v>
      </c>
      <c r="AB117" s="27"/>
      <c r="AC117" s="160"/>
      <c r="AD117" s="160"/>
      <c r="AE117" s="160">
        <v>2</v>
      </c>
      <c r="AF117" s="209">
        <v>0</v>
      </c>
    </row>
    <row r="118" spans="1:32" x14ac:dyDescent="0.2">
      <c r="A118" s="159" t="s">
        <v>66</v>
      </c>
      <c r="B118" s="160" t="s">
        <v>97</v>
      </c>
      <c r="C118" s="160">
        <v>2</v>
      </c>
      <c r="D118" s="27"/>
      <c r="E118" s="27"/>
      <c r="F118" s="27"/>
      <c r="G118" s="27"/>
      <c r="H118" s="27"/>
      <c r="I118" s="27"/>
      <c r="J118" s="27">
        <v>2</v>
      </c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  <c r="AA118" s="27"/>
      <c r="AB118" s="27"/>
      <c r="AC118" s="160"/>
      <c r="AD118" s="160"/>
      <c r="AE118" s="160">
        <v>2</v>
      </c>
      <c r="AF118" s="209">
        <v>0</v>
      </c>
    </row>
    <row r="119" spans="1:32" x14ac:dyDescent="0.2">
      <c r="A119" s="159" t="s">
        <v>72</v>
      </c>
      <c r="B119" s="160" t="s">
        <v>73</v>
      </c>
      <c r="C119" s="160">
        <v>3</v>
      </c>
      <c r="D119" s="27"/>
      <c r="E119" s="27"/>
      <c r="F119" s="27"/>
      <c r="G119" s="27"/>
      <c r="H119" s="27"/>
      <c r="I119" s="27"/>
      <c r="J119" s="27">
        <v>3</v>
      </c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  <c r="AA119" s="27"/>
      <c r="AB119" s="27"/>
      <c r="AC119" s="160"/>
      <c r="AD119" s="160"/>
      <c r="AE119" s="160">
        <v>3</v>
      </c>
      <c r="AF119" s="209">
        <v>0</v>
      </c>
    </row>
    <row r="120" spans="1:32" x14ac:dyDescent="0.2">
      <c r="A120" s="159" t="s">
        <v>102</v>
      </c>
      <c r="B120" s="160" t="s">
        <v>238</v>
      </c>
      <c r="C120" s="160">
        <v>3</v>
      </c>
      <c r="D120" s="27"/>
      <c r="E120" s="27"/>
      <c r="F120" s="27"/>
      <c r="G120" s="27"/>
      <c r="H120" s="27"/>
      <c r="I120" s="27">
        <v>3</v>
      </c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  <c r="AA120" s="27"/>
      <c r="AB120" s="27"/>
      <c r="AC120" s="160"/>
      <c r="AD120" s="160"/>
      <c r="AE120" s="160">
        <v>3</v>
      </c>
      <c r="AF120" s="209">
        <v>0</v>
      </c>
    </row>
    <row r="121" spans="1:32" x14ac:dyDescent="0.2">
      <c r="A121" s="159" t="s">
        <v>271</v>
      </c>
      <c r="B121" s="160" t="s">
        <v>272</v>
      </c>
      <c r="C121" s="160">
        <v>1</v>
      </c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>
        <v>1</v>
      </c>
      <c r="T121" s="27"/>
      <c r="U121" s="27"/>
      <c r="V121" s="27"/>
      <c r="W121" s="27"/>
      <c r="X121" s="27"/>
      <c r="Y121" s="27"/>
      <c r="Z121" s="27"/>
      <c r="AA121" s="27"/>
      <c r="AB121" s="27"/>
      <c r="AC121" s="160"/>
      <c r="AD121" s="160"/>
      <c r="AE121" s="160">
        <v>1</v>
      </c>
      <c r="AF121" s="209">
        <v>0</v>
      </c>
    </row>
    <row r="122" spans="1:32" x14ac:dyDescent="0.2">
      <c r="A122" s="159" t="s">
        <v>273</v>
      </c>
      <c r="B122" s="160" t="s">
        <v>274</v>
      </c>
      <c r="C122" s="160">
        <v>1</v>
      </c>
      <c r="D122" s="27"/>
      <c r="E122" s="27">
        <v>1</v>
      </c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  <c r="AA122" s="27"/>
      <c r="AB122" s="27"/>
      <c r="AC122" s="160"/>
      <c r="AD122" s="160"/>
      <c r="AE122" s="160">
        <v>1</v>
      </c>
      <c r="AF122" s="209">
        <v>0</v>
      </c>
    </row>
    <row r="123" spans="1:32" x14ac:dyDescent="0.2">
      <c r="A123" s="159"/>
      <c r="B123" s="160"/>
      <c r="C123" s="160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  <c r="AA123" s="27"/>
      <c r="AB123" s="27"/>
      <c r="AC123" s="160"/>
      <c r="AD123" s="160"/>
      <c r="AE123" s="160"/>
      <c r="AF123" s="209"/>
    </row>
    <row r="124" spans="1:32" ht="13.5" thickBot="1" x14ac:dyDescent="0.25">
      <c r="A124" s="161"/>
      <c r="B124" s="162" t="s">
        <v>248</v>
      </c>
      <c r="C124" s="163">
        <v>134</v>
      </c>
      <c r="D124" s="120">
        <v>17</v>
      </c>
      <c r="E124" s="120">
        <v>1</v>
      </c>
      <c r="F124" s="120">
        <v>0</v>
      </c>
      <c r="G124" s="120">
        <v>10</v>
      </c>
      <c r="H124" s="120">
        <v>0</v>
      </c>
      <c r="I124" s="120">
        <v>19</v>
      </c>
      <c r="J124" s="120">
        <v>23</v>
      </c>
      <c r="K124" s="120">
        <v>0</v>
      </c>
      <c r="L124" s="120">
        <v>0</v>
      </c>
      <c r="M124" s="120">
        <v>2</v>
      </c>
      <c r="N124" s="120">
        <v>6</v>
      </c>
      <c r="O124" s="120">
        <v>5</v>
      </c>
      <c r="P124" s="120">
        <v>0</v>
      </c>
      <c r="Q124" s="120">
        <v>17</v>
      </c>
      <c r="R124" s="120">
        <v>0</v>
      </c>
      <c r="S124" s="120">
        <v>1</v>
      </c>
      <c r="T124" s="120">
        <v>21</v>
      </c>
      <c r="U124" s="120">
        <v>4</v>
      </c>
      <c r="V124" s="120">
        <v>2</v>
      </c>
      <c r="W124" s="120">
        <v>0</v>
      </c>
      <c r="X124" s="120">
        <v>1</v>
      </c>
      <c r="Y124" s="120">
        <v>2</v>
      </c>
      <c r="Z124" s="120">
        <v>0</v>
      </c>
      <c r="AA124" s="120">
        <v>2</v>
      </c>
      <c r="AB124" s="120">
        <v>1</v>
      </c>
      <c r="AC124" s="163">
        <v>0</v>
      </c>
      <c r="AD124" s="163">
        <v>0</v>
      </c>
      <c r="AE124" s="163">
        <v>134</v>
      </c>
      <c r="AF124" s="210">
        <v>0</v>
      </c>
    </row>
    <row r="128" spans="1:32" ht="18.75" thickBot="1" x14ac:dyDescent="0.3">
      <c r="B128" s="154" t="s">
        <v>243</v>
      </c>
    </row>
    <row r="129" spans="1:32" ht="65.25" x14ac:dyDescent="0.25">
      <c r="A129" s="155"/>
      <c r="B129" s="156" t="s">
        <v>343</v>
      </c>
      <c r="C129" s="157" t="s">
        <v>4</v>
      </c>
      <c r="D129" s="158" t="s">
        <v>26</v>
      </c>
      <c r="E129" s="158" t="s">
        <v>108</v>
      </c>
      <c r="F129" s="158" t="s">
        <v>70</v>
      </c>
      <c r="G129" s="158" t="s">
        <v>18</v>
      </c>
      <c r="H129" s="158" t="s">
        <v>301</v>
      </c>
      <c r="I129" s="158" t="s">
        <v>47</v>
      </c>
      <c r="J129" s="158" t="s">
        <v>38</v>
      </c>
      <c r="K129" s="158" t="s">
        <v>113</v>
      </c>
      <c r="L129" s="158" t="s">
        <v>23</v>
      </c>
      <c r="M129" s="158" t="s">
        <v>114</v>
      </c>
      <c r="N129" s="158" t="s">
        <v>188</v>
      </c>
      <c r="O129" s="158" t="s">
        <v>31</v>
      </c>
      <c r="P129" s="158" t="s">
        <v>124</v>
      </c>
      <c r="Q129" s="158" t="s">
        <v>115</v>
      </c>
      <c r="R129" s="158" t="s">
        <v>117</v>
      </c>
      <c r="S129" s="158" t="s">
        <v>118</v>
      </c>
      <c r="T129" s="158" t="s">
        <v>49</v>
      </c>
      <c r="U129" s="158" t="s">
        <v>119</v>
      </c>
      <c r="V129" s="158" t="s">
        <v>353</v>
      </c>
      <c r="W129" s="158" t="s">
        <v>89</v>
      </c>
      <c r="X129" s="158" t="s">
        <v>57</v>
      </c>
      <c r="Y129" s="158" t="s">
        <v>296</v>
      </c>
      <c r="Z129" s="158" t="s">
        <v>8</v>
      </c>
      <c r="AA129" s="158" t="s">
        <v>303</v>
      </c>
      <c r="AB129" s="158" t="s">
        <v>28</v>
      </c>
      <c r="AC129" s="157" t="s">
        <v>52</v>
      </c>
      <c r="AD129" s="157" t="s">
        <v>15</v>
      </c>
      <c r="AE129" s="157" t="s">
        <v>141</v>
      </c>
      <c r="AF129" s="208" t="s">
        <v>244</v>
      </c>
    </row>
    <row r="130" spans="1:32" x14ac:dyDescent="0.2">
      <c r="A130" s="159" t="s">
        <v>71</v>
      </c>
      <c r="B130" s="160" t="s">
        <v>202</v>
      </c>
      <c r="C130" s="160">
        <v>5</v>
      </c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>
        <v>5</v>
      </c>
      <c r="U130" s="27"/>
      <c r="V130" s="27"/>
      <c r="W130" s="27"/>
      <c r="X130" s="27"/>
      <c r="Y130" s="27"/>
      <c r="Z130" s="27"/>
      <c r="AA130" s="27"/>
      <c r="AB130" s="27"/>
      <c r="AC130" s="160"/>
      <c r="AD130" s="160"/>
      <c r="AE130" s="160">
        <v>5</v>
      </c>
      <c r="AF130" s="209">
        <v>0</v>
      </c>
    </row>
    <row r="131" spans="1:32" x14ac:dyDescent="0.2">
      <c r="A131" s="159" t="s">
        <v>76</v>
      </c>
      <c r="B131" s="160" t="s">
        <v>212</v>
      </c>
      <c r="C131" s="160">
        <v>6</v>
      </c>
      <c r="D131" s="27"/>
      <c r="E131" s="27"/>
      <c r="F131" s="27"/>
      <c r="G131" s="27"/>
      <c r="H131" s="27"/>
      <c r="I131" s="27">
        <v>1</v>
      </c>
      <c r="J131" s="27"/>
      <c r="K131" s="27"/>
      <c r="L131" s="27"/>
      <c r="M131" s="27"/>
      <c r="N131" s="27"/>
      <c r="O131" s="27"/>
      <c r="P131" s="27"/>
      <c r="Q131" s="27"/>
      <c r="R131" s="27">
        <v>1</v>
      </c>
      <c r="S131" s="27"/>
      <c r="T131" s="27"/>
      <c r="U131" s="27"/>
      <c r="V131" s="27"/>
      <c r="W131" s="27"/>
      <c r="X131" s="27"/>
      <c r="Y131" s="27"/>
      <c r="Z131" s="27"/>
      <c r="AA131" s="27"/>
      <c r="AB131" s="27"/>
      <c r="AC131" s="160">
        <v>4</v>
      </c>
      <c r="AD131" s="160"/>
      <c r="AE131" s="160">
        <v>6</v>
      </c>
      <c r="AF131" s="209">
        <v>0</v>
      </c>
    </row>
    <row r="132" spans="1:32" x14ac:dyDescent="0.2">
      <c r="A132" s="159" t="s">
        <v>324</v>
      </c>
      <c r="B132" s="160" t="s">
        <v>325</v>
      </c>
      <c r="C132" s="160">
        <v>18</v>
      </c>
      <c r="D132" s="27"/>
      <c r="E132" s="27">
        <v>1</v>
      </c>
      <c r="F132" s="27"/>
      <c r="G132" s="27">
        <v>1</v>
      </c>
      <c r="H132" s="27"/>
      <c r="I132" s="27"/>
      <c r="J132" s="27"/>
      <c r="K132" s="27">
        <v>1</v>
      </c>
      <c r="L132" s="27"/>
      <c r="M132" s="27"/>
      <c r="N132" s="27"/>
      <c r="O132" s="27"/>
      <c r="P132" s="27"/>
      <c r="Q132" s="27"/>
      <c r="R132" s="27">
        <v>3</v>
      </c>
      <c r="S132" s="27">
        <v>1</v>
      </c>
      <c r="T132" s="27"/>
      <c r="U132" s="27">
        <v>1</v>
      </c>
      <c r="V132" s="27">
        <v>2</v>
      </c>
      <c r="W132" s="27"/>
      <c r="X132" s="27">
        <v>3</v>
      </c>
      <c r="Y132" s="27"/>
      <c r="Z132" s="27">
        <v>2</v>
      </c>
      <c r="AA132" s="27"/>
      <c r="AB132" s="27">
        <v>1</v>
      </c>
      <c r="AC132" s="160">
        <v>2</v>
      </c>
      <c r="AD132" s="160"/>
      <c r="AE132" s="160">
        <v>18</v>
      </c>
      <c r="AF132" s="209">
        <v>0</v>
      </c>
    </row>
    <row r="133" spans="1:32" x14ac:dyDescent="0.2">
      <c r="A133" s="159" t="s">
        <v>143</v>
      </c>
      <c r="B133" s="160" t="s">
        <v>221</v>
      </c>
      <c r="C133" s="160">
        <v>3</v>
      </c>
      <c r="D133" s="27"/>
      <c r="E133" s="27"/>
      <c r="F133" s="27"/>
      <c r="G133" s="27"/>
      <c r="H133" s="27"/>
      <c r="I133" s="27"/>
      <c r="J133" s="27"/>
      <c r="K133" s="27">
        <v>1</v>
      </c>
      <c r="L133" s="27"/>
      <c r="M133" s="27"/>
      <c r="N133" s="27">
        <v>1</v>
      </c>
      <c r="O133" s="27"/>
      <c r="P133" s="27"/>
      <c r="Q133" s="27"/>
      <c r="R133" s="27"/>
      <c r="S133" s="27"/>
      <c r="T133" s="27"/>
      <c r="U133" s="27"/>
      <c r="V133" s="27"/>
      <c r="W133" s="27"/>
      <c r="X133" s="27">
        <v>1</v>
      </c>
      <c r="Y133" s="27"/>
      <c r="Z133" s="27"/>
      <c r="AA133" s="27"/>
      <c r="AB133" s="27"/>
      <c r="AC133" s="160"/>
      <c r="AD133" s="160"/>
      <c r="AE133" s="160">
        <v>3</v>
      </c>
      <c r="AF133" s="209">
        <v>0</v>
      </c>
    </row>
    <row r="134" spans="1:32" x14ac:dyDescent="0.2">
      <c r="A134" s="159" t="s">
        <v>142</v>
      </c>
      <c r="B134" s="160" t="s">
        <v>222</v>
      </c>
      <c r="C134" s="160">
        <v>1</v>
      </c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>
        <v>1</v>
      </c>
      <c r="U134" s="27"/>
      <c r="V134" s="27"/>
      <c r="W134" s="27"/>
      <c r="X134" s="27"/>
      <c r="Y134" s="27"/>
      <c r="Z134" s="27"/>
      <c r="AA134" s="27"/>
      <c r="AB134" s="27"/>
      <c r="AC134" s="160"/>
      <c r="AD134" s="160"/>
      <c r="AE134" s="160">
        <v>1</v>
      </c>
      <c r="AF134" s="209">
        <v>0</v>
      </c>
    </row>
    <row r="135" spans="1:32" x14ac:dyDescent="0.2">
      <c r="A135" s="159" t="s">
        <v>144</v>
      </c>
      <c r="B135" s="160" t="s">
        <v>223</v>
      </c>
      <c r="C135" s="160">
        <v>3</v>
      </c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>
        <v>1</v>
      </c>
      <c r="U135" s="27">
        <v>1</v>
      </c>
      <c r="V135" s="27"/>
      <c r="W135" s="27"/>
      <c r="X135" s="27">
        <v>1</v>
      </c>
      <c r="Y135" s="27"/>
      <c r="Z135" s="27"/>
      <c r="AA135" s="27"/>
      <c r="AB135" s="27"/>
      <c r="AC135" s="160"/>
      <c r="AD135" s="160"/>
      <c r="AE135" s="160">
        <v>3</v>
      </c>
      <c r="AF135" s="209">
        <v>0</v>
      </c>
    </row>
    <row r="136" spans="1:32" x14ac:dyDescent="0.2">
      <c r="A136" s="159" t="s">
        <v>145</v>
      </c>
      <c r="B136" s="160" t="s">
        <v>224</v>
      </c>
      <c r="C136" s="160">
        <v>1</v>
      </c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>
        <v>1</v>
      </c>
      <c r="S136" s="27"/>
      <c r="T136" s="27"/>
      <c r="U136" s="27"/>
      <c r="V136" s="27"/>
      <c r="W136" s="27"/>
      <c r="X136" s="27"/>
      <c r="Y136" s="27"/>
      <c r="Z136" s="27"/>
      <c r="AA136" s="27"/>
      <c r="AB136" s="27"/>
      <c r="AC136" s="160"/>
      <c r="AD136" s="160"/>
      <c r="AE136" s="160">
        <v>1</v>
      </c>
      <c r="AF136" s="209">
        <v>0</v>
      </c>
    </row>
    <row r="137" spans="1:32" x14ac:dyDescent="0.2">
      <c r="A137" s="159" t="s">
        <v>172</v>
      </c>
      <c r="B137" s="160" t="s">
        <v>225</v>
      </c>
      <c r="C137" s="160">
        <v>7</v>
      </c>
      <c r="D137" s="27"/>
      <c r="E137" s="27">
        <v>1</v>
      </c>
      <c r="F137" s="27"/>
      <c r="G137" s="27">
        <v>1</v>
      </c>
      <c r="H137" s="27"/>
      <c r="I137" s="27"/>
      <c r="J137" s="27"/>
      <c r="K137" s="27">
        <v>2</v>
      </c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>
        <v>1</v>
      </c>
      <c r="W137" s="27"/>
      <c r="X137" s="27">
        <v>2</v>
      </c>
      <c r="Y137" s="27"/>
      <c r="Z137" s="27"/>
      <c r="AA137" s="27"/>
      <c r="AB137" s="27"/>
      <c r="AC137" s="160"/>
      <c r="AD137" s="160"/>
      <c r="AE137" s="160">
        <v>7</v>
      </c>
      <c r="AF137" s="209">
        <v>0</v>
      </c>
    </row>
    <row r="138" spans="1:32" x14ac:dyDescent="0.2">
      <c r="A138" s="159" t="s">
        <v>173</v>
      </c>
      <c r="B138" s="160" t="s">
        <v>226</v>
      </c>
      <c r="C138" s="160">
        <v>6</v>
      </c>
      <c r="D138" s="27"/>
      <c r="E138" s="27"/>
      <c r="F138" s="27"/>
      <c r="G138" s="27"/>
      <c r="H138" s="27"/>
      <c r="I138" s="27"/>
      <c r="J138" s="27"/>
      <c r="K138" s="27">
        <v>1</v>
      </c>
      <c r="L138" s="27"/>
      <c r="M138" s="27"/>
      <c r="N138" s="27"/>
      <c r="O138" s="27"/>
      <c r="P138" s="27"/>
      <c r="Q138" s="27"/>
      <c r="R138" s="27">
        <v>1</v>
      </c>
      <c r="S138" s="27"/>
      <c r="T138" s="27"/>
      <c r="U138" s="27"/>
      <c r="V138" s="27"/>
      <c r="W138" s="27"/>
      <c r="X138" s="27">
        <v>2</v>
      </c>
      <c r="Y138" s="27"/>
      <c r="Z138" s="27"/>
      <c r="AA138" s="27"/>
      <c r="AB138" s="27">
        <v>2</v>
      </c>
      <c r="AC138" s="160"/>
      <c r="AD138" s="160"/>
      <c r="AE138" s="160">
        <v>6</v>
      </c>
      <c r="AF138" s="209">
        <v>0</v>
      </c>
    </row>
    <row r="139" spans="1:32" x14ac:dyDescent="0.2">
      <c r="A139" s="159" t="s">
        <v>77</v>
      </c>
      <c r="B139" s="160" t="s">
        <v>127</v>
      </c>
      <c r="C139" s="160">
        <v>7</v>
      </c>
      <c r="D139" s="27"/>
      <c r="E139" s="27"/>
      <c r="F139" s="27"/>
      <c r="G139" s="27"/>
      <c r="H139" s="27"/>
      <c r="I139" s="27"/>
      <c r="J139" s="27"/>
      <c r="K139" s="27"/>
      <c r="L139" s="27"/>
      <c r="M139" s="27">
        <v>7</v>
      </c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160"/>
      <c r="AD139" s="160"/>
      <c r="AE139" s="160">
        <v>7</v>
      </c>
      <c r="AF139" s="209">
        <v>0</v>
      </c>
    </row>
    <row r="140" spans="1:32" x14ac:dyDescent="0.2">
      <c r="A140" s="159" t="s">
        <v>78</v>
      </c>
      <c r="B140" s="160" t="s">
        <v>139</v>
      </c>
      <c r="C140" s="160">
        <v>10</v>
      </c>
      <c r="D140" s="27"/>
      <c r="E140" s="27"/>
      <c r="F140" s="27"/>
      <c r="G140" s="27"/>
      <c r="H140" s="27"/>
      <c r="I140" s="27"/>
      <c r="J140" s="27"/>
      <c r="K140" s="27"/>
      <c r="L140" s="27"/>
      <c r="M140" s="27">
        <v>9</v>
      </c>
      <c r="N140" s="27"/>
      <c r="O140" s="27"/>
      <c r="P140" s="27"/>
      <c r="Q140" s="27"/>
      <c r="R140" s="27"/>
      <c r="S140" s="27">
        <v>1</v>
      </c>
      <c r="T140" s="27"/>
      <c r="U140" s="27"/>
      <c r="V140" s="27"/>
      <c r="W140" s="27"/>
      <c r="X140" s="27"/>
      <c r="Y140" s="27"/>
      <c r="Z140" s="27"/>
      <c r="AA140" s="27"/>
      <c r="AB140" s="27"/>
      <c r="AC140" s="160"/>
      <c r="AD140" s="160"/>
      <c r="AE140" s="160">
        <v>10</v>
      </c>
      <c r="AF140" s="209">
        <v>0</v>
      </c>
    </row>
    <row r="141" spans="1:32" x14ac:dyDescent="0.2">
      <c r="A141" s="159" t="s">
        <v>79</v>
      </c>
      <c r="B141" s="160" t="s">
        <v>150</v>
      </c>
      <c r="C141" s="160">
        <v>7</v>
      </c>
      <c r="D141" s="27"/>
      <c r="E141" s="27">
        <v>1</v>
      </c>
      <c r="F141" s="27"/>
      <c r="G141" s="27">
        <v>1</v>
      </c>
      <c r="H141" s="27"/>
      <c r="I141" s="27"/>
      <c r="J141" s="27"/>
      <c r="K141" s="27">
        <v>1</v>
      </c>
      <c r="L141" s="27"/>
      <c r="M141" s="27"/>
      <c r="N141" s="27"/>
      <c r="O141" s="27"/>
      <c r="P141" s="27"/>
      <c r="Q141" s="27"/>
      <c r="R141" s="27"/>
      <c r="S141" s="27"/>
      <c r="T141" s="27">
        <v>2</v>
      </c>
      <c r="U141" s="27"/>
      <c r="V141" s="27"/>
      <c r="W141" s="27"/>
      <c r="X141" s="27"/>
      <c r="Y141" s="27"/>
      <c r="Z141" s="27">
        <v>1</v>
      </c>
      <c r="AA141" s="27"/>
      <c r="AB141" s="27"/>
      <c r="AC141" s="160">
        <v>1</v>
      </c>
      <c r="AD141" s="160"/>
      <c r="AE141" s="160">
        <v>7</v>
      </c>
      <c r="AF141" s="209">
        <v>0</v>
      </c>
    </row>
    <row r="142" spans="1:32" x14ac:dyDescent="0.2">
      <c r="A142" s="159" t="s">
        <v>140</v>
      </c>
      <c r="B142" s="160" t="s">
        <v>213</v>
      </c>
      <c r="C142" s="160">
        <v>4</v>
      </c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>
        <v>4</v>
      </c>
      <c r="R142" s="27"/>
      <c r="S142" s="27"/>
      <c r="T142" s="27"/>
      <c r="U142" s="27"/>
      <c r="V142" s="27"/>
      <c r="W142" s="27"/>
      <c r="X142" s="27"/>
      <c r="Y142" s="27"/>
      <c r="Z142" s="27"/>
      <c r="AA142" s="27"/>
      <c r="AB142" s="27"/>
      <c r="AC142" s="160"/>
      <c r="AD142" s="160"/>
      <c r="AE142" s="160">
        <v>4</v>
      </c>
      <c r="AF142" s="209">
        <v>0</v>
      </c>
    </row>
    <row r="143" spans="1:32" x14ac:dyDescent="0.2">
      <c r="A143" s="159" t="s">
        <v>146</v>
      </c>
      <c r="B143" s="160" t="s">
        <v>214</v>
      </c>
      <c r="C143" s="160">
        <v>3</v>
      </c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>
        <v>3</v>
      </c>
      <c r="R143" s="27"/>
      <c r="S143" s="27"/>
      <c r="T143" s="27"/>
      <c r="U143" s="27"/>
      <c r="V143" s="27"/>
      <c r="W143" s="27"/>
      <c r="X143" s="27"/>
      <c r="Y143" s="27"/>
      <c r="Z143" s="27"/>
      <c r="AA143" s="27"/>
      <c r="AB143" s="27"/>
      <c r="AC143" s="160"/>
      <c r="AD143" s="160"/>
      <c r="AE143" s="160">
        <v>3</v>
      </c>
      <c r="AF143" s="209">
        <v>0</v>
      </c>
    </row>
    <row r="144" spans="1:32" x14ac:dyDescent="0.2">
      <c r="A144" s="159" t="s">
        <v>80</v>
      </c>
      <c r="B144" s="160" t="s">
        <v>208</v>
      </c>
      <c r="C144" s="160">
        <v>9</v>
      </c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>
        <v>5</v>
      </c>
      <c r="Y144" s="27"/>
      <c r="Z144" s="27"/>
      <c r="AA144" s="27"/>
      <c r="AB144" s="27"/>
      <c r="AC144" s="160">
        <v>4</v>
      </c>
      <c r="AD144" s="160"/>
      <c r="AE144" s="160">
        <v>9</v>
      </c>
      <c r="AF144" s="209">
        <v>0</v>
      </c>
    </row>
    <row r="145" spans="1:32" x14ac:dyDescent="0.2">
      <c r="A145" s="159" t="s">
        <v>81</v>
      </c>
      <c r="B145" s="160" t="s">
        <v>210</v>
      </c>
      <c r="C145" s="160">
        <v>10</v>
      </c>
      <c r="D145" s="27"/>
      <c r="E145" s="27"/>
      <c r="F145" s="27"/>
      <c r="G145" s="27"/>
      <c r="H145" s="27"/>
      <c r="I145" s="27"/>
      <c r="J145" s="27"/>
      <c r="K145" s="27">
        <v>3</v>
      </c>
      <c r="L145" s="27"/>
      <c r="M145" s="27"/>
      <c r="N145" s="27"/>
      <c r="O145" s="27"/>
      <c r="P145" s="27"/>
      <c r="Q145" s="27"/>
      <c r="R145" s="27"/>
      <c r="S145" s="27"/>
      <c r="T145" s="27"/>
      <c r="U145" s="27">
        <v>1</v>
      </c>
      <c r="V145" s="27">
        <v>2</v>
      </c>
      <c r="W145" s="27"/>
      <c r="X145" s="27"/>
      <c r="Y145" s="27">
        <v>2</v>
      </c>
      <c r="Z145" s="27"/>
      <c r="AA145" s="27"/>
      <c r="AB145" s="27"/>
      <c r="AC145" s="160">
        <v>2</v>
      </c>
      <c r="AD145" s="160"/>
      <c r="AE145" s="160">
        <v>10</v>
      </c>
      <c r="AF145" s="209">
        <v>0</v>
      </c>
    </row>
    <row r="146" spans="1:32" x14ac:dyDescent="0.2">
      <c r="A146" s="159" t="s">
        <v>82</v>
      </c>
      <c r="B146" s="160" t="s">
        <v>211</v>
      </c>
      <c r="C146" s="160">
        <v>7</v>
      </c>
      <c r="D146" s="27"/>
      <c r="E146" s="27"/>
      <c r="F146" s="27"/>
      <c r="G146" s="27"/>
      <c r="H146" s="27"/>
      <c r="I146" s="27"/>
      <c r="J146" s="27"/>
      <c r="K146" s="27">
        <v>1</v>
      </c>
      <c r="L146" s="27"/>
      <c r="M146" s="27"/>
      <c r="N146" s="27"/>
      <c r="O146" s="27">
        <v>1</v>
      </c>
      <c r="P146" s="27">
        <v>1</v>
      </c>
      <c r="Q146" s="27"/>
      <c r="R146" s="27">
        <v>1</v>
      </c>
      <c r="S146" s="27"/>
      <c r="T146" s="27"/>
      <c r="U146" s="27">
        <v>1</v>
      </c>
      <c r="V146" s="27"/>
      <c r="W146" s="27"/>
      <c r="X146" s="27"/>
      <c r="Y146" s="27"/>
      <c r="Z146" s="27"/>
      <c r="AA146" s="27">
        <v>1</v>
      </c>
      <c r="AB146" s="27"/>
      <c r="AC146" s="160">
        <v>1</v>
      </c>
      <c r="AD146" s="160"/>
      <c r="AE146" s="160">
        <v>7</v>
      </c>
      <c r="AF146" s="209">
        <v>0</v>
      </c>
    </row>
    <row r="147" spans="1:32" x14ac:dyDescent="0.2">
      <c r="A147" s="159" t="s">
        <v>99</v>
      </c>
      <c r="B147" s="160" t="s">
        <v>227</v>
      </c>
      <c r="C147" s="160">
        <v>22</v>
      </c>
      <c r="D147" s="27"/>
      <c r="E147" s="27">
        <v>3</v>
      </c>
      <c r="F147" s="27"/>
      <c r="G147" s="27"/>
      <c r="H147" s="27"/>
      <c r="I147" s="27">
        <v>3</v>
      </c>
      <c r="J147" s="27"/>
      <c r="K147" s="27"/>
      <c r="L147" s="27"/>
      <c r="M147" s="27"/>
      <c r="N147" s="27"/>
      <c r="O147" s="27"/>
      <c r="P147" s="27">
        <v>2</v>
      </c>
      <c r="Q147" s="27"/>
      <c r="R147" s="27">
        <v>5</v>
      </c>
      <c r="S147" s="27"/>
      <c r="T147" s="27"/>
      <c r="U147" s="27">
        <v>1</v>
      </c>
      <c r="V147" s="27"/>
      <c r="W147" s="27"/>
      <c r="X147" s="27">
        <v>7</v>
      </c>
      <c r="Y147" s="27"/>
      <c r="Z147" s="27">
        <v>1</v>
      </c>
      <c r="AA147" s="27"/>
      <c r="AB147" s="27"/>
      <c r="AC147" s="160"/>
      <c r="AD147" s="160"/>
      <c r="AE147" s="160">
        <v>22</v>
      </c>
      <c r="AF147" s="209">
        <v>0</v>
      </c>
    </row>
    <row r="148" spans="1:32" x14ac:dyDescent="0.2">
      <c r="A148" s="159" t="s">
        <v>99</v>
      </c>
      <c r="B148" s="160" t="s">
        <v>228</v>
      </c>
      <c r="C148" s="160">
        <v>14</v>
      </c>
      <c r="D148" s="27"/>
      <c r="E148" s="27">
        <v>1</v>
      </c>
      <c r="F148" s="27"/>
      <c r="G148" s="27">
        <v>3</v>
      </c>
      <c r="H148" s="27"/>
      <c r="I148" s="27">
        <v>1</v>
      </c>
      <c r="J148" s="27"/>
      <c r="K148" s="27">
        <v>3</v>
      </c>
      <c r="L148" s="27"/>
      <c r="M148" s="27"/>
      <c r="N148" s="27">
        <v>1</v>
      </c>
      <c r="O148" s="27"/>
      <c r="P148" s="27"/>
      <c r="Q148" s="27"/>
      <c r="R148" s="27">
        <v>1</v>
      </c>
      <c r="S148" s="27"/>
      <c r="T148" s="27"/>
      <c r="U148" s="27">
        <v>1</v>
      </c>
      <c r="V148" s="27">
        <v>1</v>
      </c>
      <c r="W148" s="27"/>
      <c r="X148" s="27"/>
      <c r="Y148" s="27"/>
      <c r="Z148" s="27">
        <v>1</v>
      </c>
      <c r="AA148" s="27">
        <v>1</v>
      </c>
      <c r="AB148" s="27"/>
      <c r="AC148" s="160"/>
      <c r="AD148" s="160"/>
      <c r="AE148" s="160">
        <v>14</v>
      </c>
      <c r="AF148" s="209">
        <v>0</v>
      </c>
    </row>
    <row r="149" spans="1:32" x14ac:dyDescent="0.2">
      <c r="A149" s="159" t="s">
        <v>100</v>
      </c>
      <c r="B149" s="160" t="s">
        <v>229</v>
      </c>
      <c r="C149" s="160">
        <v>22</v>
      </c>
      <c r="D149" s="27"/>
      <c r="E149" s="27"/>
      <c r="F149" s="27"/>
      <c r="G149" s="27"/>
      <c r="H149" s="27"/>
      <c r="I149" s="27"/>
      <c r="J149" s="27"/>
      <c r="K149" s="27">
        <v>4</v>
      </c>
      <c r="L149" s="27"/>
      <c r="M149" s="27"/>
      <c r="N149" s="27"/>
      <c r="O149" s="27"/>
      <c r="P149" s="27">
        <v>2</v>
      </c>
      <c r="Q149" s="27"/>
      <c r="R149" s="27"/>
      <c r="S149" s="27"/>
      <c r="T149" s="27">
        <v>2</v>
      </c>
      <c r="U149" s="27">
        <v>1</v>
      </c>
      <c r="V149" s="27">
        <v>4</v>
      </c>
      <c r="W149" s="27"/>
      <c r="X149" s="27"/>
      <c r="Y149" s="27">
        <v>2</v>
      </c>
      <c r="Z149" s="27">
        <v>2</v>
      </c>
      <c r="AA149" s="27">
        <v>3</v>
      </c>
      <c r="AB149" s="27"/>
      <c r="AC149" s="160">
        <v>2</v>
      </c>
      <c r="AD149" s="160"/>
      <c r="AE149" s="160">
        <v>22</v>
      </c>
      <c r="AF149" s="209">
        <v>0</v>
      </c>
    </row>
    <row r="150" spans="1:32" x14ac:dyDescent="0.2">
      <c r="A150" s="159" t="s">
        <v>100</v>
      </c>
      <c r="B150" s="160" t="s">
        <v>230</v>
      </c>
      <c r="C150" s="160">
        <v>14</v>
      </c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>
        <v>1</v>
      </c>
      <c r="O150" s="27"/>
      <c r="P150" s="27">
        <v>3</v>
      </c>
      <c r="Q150" s="27"/>
      <c r="R150" s="27"/>
      <c r="S150" s="27"/>
      <c r="T150" s="27">
        <v>2</v>
      </c>
      <c r="U150" s="27">
        <v>3</v>
      </c>
      <c r="V150" s="27"/>
      <c r="W150" s="27"/>
      <c r="X150" s="27">
        <v>3</v>
      </c>
      <c r="Y150" s="27">
        <v>1</v>
      </c>
      <c r="Z150" s="27">
        <v>1</v>
      </c>
      <c r="AA150" s="27"/>
      <c r="AB150" s="27"/>
      <c r="AC150" s="160"/>
      <c r="AD150" s="160"/>
      <c r="AE150" s="160">
        <v>14</v>
      </c>
      <c r="AF150" s="209">
        <v>0</v>
      </c>
    </row>
    <row r="151" spans="1:32" x14ac:dyDescent="0.2">
      <c r="A151" s="159" t="s">
        <v>158</v>
      </c>
      <c r="B151" s="160" t="s">
        <v>215</v>
      </c>
      <c r="C151" s="160">
        <v>7</v>
      </c>
      <c r="D151" s="27">
        <v>2</v>
      </c>
      <c r="E151" s="27"/>
      <c r="F151" s="27"/>
      <c r="G151" s="27"/>
      <c r="H151" s="27"/>
      <c r="I151" s="27"/>
      <c r="J151" s="27"/>
      <c r="K151" s="27">
        <v>1</v>
      </c>
      <c r="L151" s="27"/>
      <c r="M151" s="27"/>
      <c r="N151" s="27"/>
      <c r="O151" s="27"/>
      <c r="P151" s="27"/>
      <c r="Q151" s="27"/>
      <c r="R151" s="27"/>
      <c r="S151" s="27"/>
      <c r="T151" s="27"/>
      <c r="U151" s="27">
        <v>1</v>
      </c>
      <c r="V151" s="27">
        <v>2</v>
      </c>
      <c r="W151" s="27"/>
      <c r="X151" s="27"/>
      <c r="Y151" s="27">
        <v>1</v>
      </c>
      <c r="Z151" s="27"/>
      <c r="AA151" s="27"/>
      <c r="AB151" s="27"/>
      <c r="AC151" s="160"/>
      <c r="AD151" s="160"/>
      <c r="AE151" s="160">
        <v>7</v>
      </c>
      <c r="AF151" s="209">
        <v>0</v>
      </c>
    </row>
    <row r="152" spans="1:32" x14ac:dyDescent="0.2">
      <c r="A152" s="159" t="s">
        <v>159</v>
      </c>
      <c r="B152" s="160" t="s">
        <v>216</v>
      </c>
      <c r="C152" s="160">
        <v>6</v>
      </c>
      <c r="D152" s="27"/>
      <c r="E152" s="27"/>
      <c r="F152" s="27"/>
      <c r="G152" s="27"/>
      <c r="H152" s="27"/>
      <c r="I152" s="27">
        <v>1</v>
      </c>
      <c r="J152" s="27"/>
      <c r="K152" s="27"/>
      <c r="L152" s="27"/>
      <c r="M152" s="27"/>
      <c r="N152" s="27">
        <v>1</v>
      </c>
      <c r="O152" s="27"/>
      <c r="P152" s="27">
        <v>1</v>
      </c>
      <c r="Q152" s="27"/>
      <c r="R152" s="27">
        <v>1</v>
      </c>
      <c r="S152" s="27">
        <v>1</v>
      </c>
      <c r="T152" s="27"/>
      <c r="U152" s="27"/>
      <c r="V152" s="27"/>
      <c r="W152" s="27"/>
      <c r="X152" s="27"/>
      <c r="Y152" s="27"/>
      <c r="Z152" s="27"/>
      <c r="AA152" s="27">
        <v>1</v>
      </c>
      <c r="AB152" s="27"/>
      <c r="AC152" s="160"/>
      <c r="AD152" s="160"/>
      <c r="AE152" s="160">
        <v>6</v>
      </c>
      <c r="AF152" s="209">
        <v>0</v>
      </c>
    </row>
    <row r="153" spans="1:32" x14ac:dyDescent="0.2">
      <c r="A153" s="159" t="s">
        <v>236</v>
      </c>
      <c r="B153" s="160" t="s">
        <v>231</v>
      </c>
      <c r="C153" s="160">
        <v>7</v>
      </c>
      <c r="D153" s="27"/>
      <c r="E153" s="27">
        <v>1</v>
      </c>
      <c r="F153" s="27"/>
      <c r="G153" s="27">
        <v>2</v>
      </c>
      <c r="H153" s="27"/>
      <c r="I153" s="27"/>
      <c r="J153" s="27"/>
      <c r="K153" s="27"/>
      <c r="L153" s="27"/>
      <c r="M153" s="27"/>
      <c r="N153" s="27">
        <v>1</v>
      </c>
      <c r="O153" s="27"/>
      <c r="P153" s="27"/>
      <c r="Q153" s="27"/>
      <c r="R153" s="27">
        <v>2</v>
      </c>
      <c r="S153" s="27"/>
      <c r="T153" s="27"/>
      <c r="U153" s="27"/>
      <c r="V153" s="27"/>
      <c r="W153" s="27"/>
      <c r="X153" s="27"/>
      <c r="Y153" s="27"/>
      <c r="Z153" s="27"/>
      <c r="AA153" s="27">
        <v>1</v>
      </c>
      <c r="AB153" s="27"/>
      <c r="AC153" s="160"/>
      <c r="AD153" s="160"/>
      <c r="AE153" s="160">
        <v>7</v>
      </c>
      <c r="AF153" s="209">
        <v>0</v>
      </c>
    </row>
    <row r="154" spans="1:32" x14ac:dyDescent="0.2">
      <c r="A154" s="159" t="s">
        <v>237</v>
      </c>
      <c r="B154" s="160" t="s">
        <v>232</v>
      </c>
      <c r="C154" s="160">
        <v>0</v>
      </c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  <c r="AA154" s="27"/>
      <c r="AB154" s="27"/>
      <c r="AC154" s="160"/>
      <c r="AD154" s="160"/>
      <c r="AE154" s="160">
        <v>0</v>
      </c>
      <c r="AF154" s="209">
        <v>0</v>
      </c>
    </row>
    <row r="155" spans="1:32" x14ac:dyDescent="0.2">
      <c r="A155" s="159" t="s">
        <v>161</v>
      </c>
      <c r="B155" s="160" t="s">
        <v>233</v>
      </c>
      <c r="C155" s="160">
        <v>5</v>
      </c>
      <c r="D155" s="27"/>
      <c r="E155" s="27">
        <v>1</v>
      </c>
      <c r="F155" s="27"/>
      <c r="G155" s="27">
        <v>1</v>
      </c>
      <c r="H155" s="27"/>
      <c r="I155" s="27"/>
      <c r="J155" s="27"/>
      <c r="K155" s="27">
        <v>1</v>
      </c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>
        <v>1</v>
      </c>
      <c r="AA155" s="27">
        <v>1</v>
      </c>
      <c r="AB155" s="27"/>
      <c r="AC155" s="160"/>
      <c r="AD155" s="160"/>
      <c r="AE155" s="160">
        <v>5</v>
      </c>
      <c r="AF155" s="209">
        <v>0</v>
      </c>
    </row>
    <row r="156" spans="1:32" x14ac:dyDescent="0.2">
      <c r="A156" s="159" t="s">
        <v>162</v>
      </c>
      <c r="B156" s="160" t="s">
        <v>234</v>
      </c>
      <c r="C156" s="160">
        <v>0</v>
      </c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160"/>
      <c r="AD156" s="160"/>
      <c r="AE156" s="160">
        <v>0</v>
      </c>
      <c r="AF156" s="209">
        <v>0</v>
      </c>
    </row>
    <row r="157" spans="1:32" x14ac:dyDescent="0.2">
      <c r="A157" s="159" t="s">
        <v>85</v>
      </c>
      <c r="B157" s="160" t="s">
        <v>220</v>
      </c>
      <c r="C157" s="160">
        <v>7</v>
      </c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>
        <v>1</v>
      </c>
      <c r="Q157" s="27"/>
      <c r="R157" s="27"/>
      <c r="S157" s="27">
        <v>1</v>
      </c>
      <c r="T157" s="27"/>
      <c r="U157" s="27"/>
      <c r="V157" s="27"/>
      <c r="W157" s="27"/>
      <c r="X157" s="27">
        <v>3</v>
      </c>
      <c r="Y157" s="27">
        <v>2</v>
      </c>
      <c r="Z157" s="27"/>
      <c r="AA157" s="27"/>
      <c r="AB157" s="27"/>
      <c r="AC157" s="160"/>
      <c r="AD157" s="160"/>
      <c r="AE157" s="160">
        <v>7</v>
      </c>
      <c r="AF157" s="209">
        <v>0</v>
      </c>
    </row>
    <row r="158" spans="1:32" x14ac:dyDescent="0.2">
      <c r="A158" s="159" t="s">
        <v>85</v>
      </c>
      <c r="B158" s="160" t="s">
        <v>219</v>
      </c>
      <c r="C158" s="160">
        <v>6</v>
      </c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>
        <v>1</v>
      </c>
      <c r="O158" s="27"/>
      <c r="P158" s="27"/>
      <c r="Q158" s="27"/>
      <c r="R158" s="27">
        <v>2</v>
      </c>
      <c r="S158" s="27"/>
      <c r="T158" s="27"/>
      <c r="U158" s="27"/>
      <c r="V158" s="27">
        <v>1</v>
      </c>
      <c r="W158" s="27"/>
      <c r="X158" s="27">
        <v>1</v>
      </c>
      <c r="Y158" s="27"/>
      <c r="Z158" s="27"/>
      <c r="AA158" s="27">
        <v>1</v>
      </c>
      <c r="AB158" s="27"/>
      <c r="AC158" s="160"/>
      <c r="AD158" s="160"/>
      <c r="AE158" s="160">
        <v>6</v>
      </c>
      <c r="AF158" s="209">
        <v>0</v>
      </c>
    </row>
    <row r="159" spans="1:32" x14ac:dyDescent="0.2">
      <c r="A159" s="159" t="s">
        <v>339</v>
      </c>
      <c r="B159" s="160" t="s">
        <v>341</v>
      </c>
      <c r="C159" s="160">
        <v>7</v>
      </c>
      <c r="D159" s="27"/>
      <c r="E159" s="27"/>
      <c r="F159" s="27"/>
      <c r="G159" s="27">
        <v>2</v>
      </c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>
        <v>3</v>
      </c>
      <c r="U159" s="27">
        <v>1</v>
      </c>
      <c r="V159" s="27"/>
      <c r="W159" s="27"/>
      <c r="X159" s="27"/>
      <c r="Y159" s="27"/>
      <c r="Z159" s="27">
        <v>1</v>
      </c>
      <c r="AA159" s="27"/>
      <c r="AB159" s="27"/>
      <c r="AC159" s="160"/>
      <c r="AD159" s="160"/>
      <c r="AE159" s="160">
        <v>7</v>
      </c>
      <c r="AF159" s="209">
        <v>0</v>
      </c>
    </row>
    <row r="160" spans="1:32" x14ac:dyDescent="0.2">
      <c r="A160" s="159" t="s">
        <v>340</v>
      </c>
      <c r="B160" s="160" t="s">
        <v>342</v>
      </c>
      <c r="C160" s="160">
        <v>6</v>
      </c>
      <c r="D160" s="27"/>
      <c r="E160" s="27"/>
      <c r="F160" s="27"/>
      <c r="G160" s="27">
        <v>1</v>
      </c>
      <c r="H160" s="27"/>
      <c r="I160" s="27"/>
      <c r="J160" s="27"/>
      <c r="K160" s="27">
        <v>1</v>
      </c>
      <c r="L160" s="27"/>
      <c r="M160" s="27"/>
      <c r="N160" s="27"/>
      <c r="O160" s="27"/>
      <c r="P160" s="27"/>
      <c r="Q160" s="27"/>
      <c r="R160" s="27">
        <v>2</v>
      </c>
      <c r="S160" s="27"/>
      <c r="T160" s="27"/>
      <c r="U160" s="27"/>
      <c r="V160" s="27">
        <v>1</v>
      </c>
      <c r="W160" s="27"/>
      <c r="X160" s="27"/>
      <c r="Y160" s="27">
        <v>1</v>
      </c>
      <c r="Z160" s="27"/>
      <c r="AA160" s="27"/>
      <c r="AB160" s="27"/>
      <c r="AC160" s="160"/>
      <c r="AD160" s="160"/>
      <c r="AE160" s="160">
        <v>6</v>
      </c>
      <c r="AF160" s="209">
        <v>0</v>
      </c>
    </row>
    <row r="161" spans="1:32" x14ac:dyDescent="0.2">
      <c r="A161" s="159" t="s">
        <v>163</v>
      </c>
      <c r="B161" s="160" t="s">
        <v>217</v>
      </c>
      <c r="C161" s="160">
        <v>3</v>
      </c>
      <c r="D161" s="27"/>
      <c r="E161" s="27">
        <v>1</v>
      </c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>
        <v>2</v>
      </c>
      <c r="T161" s="27"/>
      <c r="U161" s="27"/>
      <c r="V161" s="27"/>
      <c r="W161" s="27"/>
      <c r="X161" s="27"/>
      <c r="Y161" s="27"/>
      <c r="Z161" s="27"/>
      <c r="AA161" s="27"/>
      <c r="AB161" s="27"/>
      <c r="AC161" s="160"/>
      <c r="AD161" s="160"/>
      <c r="AE161" s="160">
        <v>3</v>
      </c>
      <c r="AF161" s="209">
        <v>0</v>
      </c>
    </row>
    <row r="162" spans="1:32" x14ac:dyDescent="0.2">
      <c r="A162" s="159" t="s">
        <v>164</v>
      </c>
      <c r="B162" s="160" t="s">
        <v>218</v>
      </c>
      <c r="C162" s="160">
        <v>1</v>
      </c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>
        <v>1</v>
      </c>
      <c r="V162" s="27"/>
      <c r="W162" s="27"/>
      <c r="X162" s="27"/>
      <c r="Y162" s="27"/>
      <c r="Z162" s="27"/>
      <c r="AA162" s="27"/>
      <c r="AB162" s="27"/>
      <c r="AC162" s="160"/>
      <c r="AD162" s="160"/>
      <c r="AE162" s="160">
        <v>1</v>
      </c>
      <c r="AF162" s="209">
        <v>0</v>
      </c>
    </row>
    <row r="163" spans="1:32" x14ac:dyDescent="0.2">
      <c r="A163" s="159" t="s">
        <v>326</v>
      </c>
      <c r="B163" s="160" t="s">
        <v>327</v>
      </c>
      <c r="C163" s="160">
        <v>9</v>
      </c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>
        <v>2</v>
      </c>
      <c r="O163" s="27"/>
      <c r="P163" s="27">
        <v>7</v>
      </c>
      <c r="Q163" s="27"/>
      <c r="R163" s="27"/>
      <c r="S163" s="27"/>
      <c r="T163" s="27"/>
      <c r="U163" s="27"/>
      <c r="V163" s="27"/>
      <c r="W163" s="27"/>
      <c r="X163" s="27"/>
      <c r="Y163" s="27"/>
      <c r="Z163" s="27"/>
      <c r="AA163" s="27"/>
      <c r="AB163" s="27"/>
      <c r="AC163" s="160"/>
      <c r="AD163" s="160"/>
      <c r="AE163" s="160">
        <v>9</v>
      </c>
      <c r="AF163" s="209">
        <v>0</v>
      </c>
    </row>
    <row r="164" spans="1:32" x14ac:dyDescent="0.2">
      <c r="A164" s="159" t="s">
        <v>86</v>
      </c>
      <c r="B164" s="160" t="s">
        <v>101</v>
      </c>
      <c r="C164" s="160">
        <v>2</v>
      </c>
      <c r="D164" s="27"/>
      <c r="E164" s="27"/>
      <c r="F164" s="27"/>
      <c r="G164" s="27"/>
      <c r="H164" s="27"/>
      <c r="I164" s="27">
        <v>2</v>
      </c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  <c r="AA164" s="27"/>
      <c r="AB164" s="27"/>
      <c r="AC164" s="160"/>
      <c r="AD164" s="160"/>
      <c r="AE164" s="160">
        <v>2</v>
      </c>
      <c r="AF164" s="209">
        <v>0</v>
      </c>
    </row>
    <row r="165" spans="1:32" x14ac:dyDescent="0.2">
      <c r="A165" s="159" t="s">
        <v>118</v>
      </c>
      <c r="B165" s="160" t="s">
        <v>235</v>
      </c>
      <c r="C165" s="160">
        <v>6</v>
      </c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>
        <v>6</v>
      </c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  <c r="AA165" s="27"/>
      <c r="AB165" s="27"/>
      <c r="AC165" s="160"/>
      <c r="AD165" s="160"/>
      <c r="AE165" s="160">
        <v>6</v>
      </c>
      <c r="AF165" s="209">
        <v>0</v>
      </c>
    </row>
    <row r="166" spans="1:32" x14ac:dyDescent="0.2">
      <c r="A166" s="159"/>
      <c r="B166" s="160"/>
      <c r="C166" s="160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  <c r="AA166" s="27"/>
      <c r="AB166" s="27"/>
      <c r="AC166" s="160"/>
      <c r="AD166" s="160"/>
      <c r="AE166" s="160"/>
      <c r="AF166" s="209"/>
    </row>
    <row r="167" spans="1:32" x14ac:dyDescent="0.2">
      <c r="A167" s="159"/>
      <c r="B167" s="164" t="s">
        <v>249</v>
      </c>
      <c r="C167" s="160">
        <v>251</v>
      </c>
      <c r="D167" s="27">
        <v>2</v>
      </c>
      <c r="E167" s="27">
        <v>10</v>
      </c>
      <c r="F167" s="27">
        <v>0</v>
      </c>
      <c r="G167" s="27">
        <v>12</v>
      </c>
      <c r="H167" s="27">
        <v>0</v>
      </c>
      <c r="I167" s="27">
        <v>8</v>
      </c>
      <c r="J167" s="27">
        <v>0</v>
      </c>
      <c r="K167" s="27">
        <v>20</v>
      </c>
      <c r="L167" s="27">
        <v>0</v>
      </c>
      <c r="M167" s="27">
        <v>16</v>
      </c>
      <c r="N167" s="27">
        <v>8</v>
      </c>
      <c r="O167" s="27">
        <v>7</v>
      </c>
      <c r="P167" s="27">
        <v>17</v>
      </c>
      <c r="Q167" s="27">
        <v>7</v>
      </c>
      <c r="R167" s="27">
        <v>20</v>
      </c>
      <c r="S167" s="27">
        <v>6</v>
      </c>
      <c r="T167" s="27">
        <v>16</v>
      </c>
      <c r="U167" s="27">
        <v>13</v>
      </c>
      <c r="V167" s="27">
        <v>14</v>
      </c>
      <c r="W167" s="27">
        <v>0</v>
      </c>
      <c r="X167" s="27">
        <v>28</v>
      </c>
      <c r="Y167" s="27">
        <v>9</v>
      </c>
      <c r="Z167" s="27">
        <v>10</v>
      </c>
      <c r="AA167" s="27">
        <v>9</v>
      </c>
      <c r="AB167" s="27">
        <v>3</v>
      </c>
      <c r="AC167" s="160">
        <v>16</v>
      </c>
      <c r="AD167" s="160">
        <v>0</v>
      </c>
      <c r="AE167" s="160">
        <v>251</v>
      </c>
      <c r="AF167" s="209">
        <v>0</v>
      </c>
    </row>
    <row r="168" spans="1:32" x14ac:dyDescent="0.2">
      <c r="A168" s="159"/>
      <c r="B168" s="160"/>
      <c r="C168" s="160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  <c r="AA168" s="27"/>
      <c r="AB168" s="27"/>
      <c r="AC168" s="160"/>
      <c r="AD168" s="160"/>
      <c r="AE168" s="160"/>
      <c r="AF168" s="209"/>
    </row>
    <row r="169" spans="1:32" ht="13.5" thickBot="1" x14ac:dyDescent="0.25">
      <c r="A169" s="190"/>
      <c r="B169" s="191" t="s">
        <v>250</v>
      </c>
      <c r="C169" s="192">
        <v>385</v>
      </c>
      <c r="D169" s="193">
        <v>19</v>
      </c>
      <c r="E169" s="193">
        <v>11</v>
      </c>
      <c r="F169" s="193">
        <v>0</v>
      </c>
      <c r="G169" s="193">
        <v>22</v>
      </c>
      <c r="H169" s="193">
        <v>0</v>
      </c>
      <c r="I169" s="193">
        <v>27</v>
      </c>
      <c r="J169" s="193">
        <v>23</v>
      </c>
      <c r="K169" s="193">
        <v>20</v>
      </c>
      <c r="L169" s="193">
        <v>0</v>
      </c>
      <c r="M169" s="193">
        <v>18</v>
      </c>
      <c r="N169" s="193">
        <v>14</v>
      </c>
      <c r="O169" s="193">
        <v>12</v>
      </c>
      <c r="P169" s="193">
        <v>17</v>
      </c>
      <c r="Q169" s="193">
        <v>24</v>
      </c>
      <c r="R169" s="193">
        <v>20</v>
      </c>
      <c r="S169" s="193">
        <v>7</v>
      </c>
      <c r="T169" s="193">
        <v>37</v>
      </c>
      <c r="U169" s="193">
        <v>17</v>
      </c>
      <c r="V169" s="193">
        <v>16</v>
      </c>
      <c r="W169" s="193">
        <v>0</v>
      </c>
      <c r="X169" s="193">
        <v>29</v>
      </c>
      <c r="Y169" s="193">
        <v>11</v>
      </c>
      <c r="Z169" s="193">
        <v>10</v>
      </c>
      <c r="AA169" s="193">
        <v>11</v>
      </c>
      <c r="AB169" s="193">
        <v>4</v>
      </c>
      <c r="AC169" s="192">
        <v>16</v>
      </c>
      <c r="AD169" s="192">
        <v>0</v>
      </c>
      <c r="AE169" s="192">
        <v>385</v>
      </c>
      <c r="AF169" s="211">
        <v>0</v>
      </c>
    </row>
    <row r="170" spans="1:32" x14ac:dyDescent="0.2">
      <c r="A170" s="155"/>
      <c r="B170" s="165"/>
      <c r="C170" s="165"/>
      <c r="D170" s="166"/>
      <c r="E170" s="166"/>
      <c r="F170" s="166"/>
      <c r="G170" s="166"/>
      <c r="H170" s="166"/>
      <c r="I170" s="166"/>
      <c r="J170" s="166"/>
      <c r="K170" s="166"/>
      <c r="L170" s="166"/>
      <c r="M170" s="166"/>
      <c r="N170" s="166"/>
      <c r="O170" s="166"/>
      <c r="P170" s="166"/>
      <c r="Q170" s="166"/>
      <c r="R170" s="166"/>
      <c r="S170" s="166"/>
      <c r="T170" s="166"/>
      <c r="U170" s="166"/>
      <c r="V170" s="166"/>
      <c r="W170" s="166"/>
      <c r="X170" s="166"/>
      <c r="Y170" s="166"/>
      <c r="Z170" s="166"/>
      <c r="AA170" s="166"/>
      <c r="AB170" s="166"/>
      <c r="AC170" s="165"/>
      <c r="AD170" s="165"/>
      <c r="AE170" s="165"/>
      <c r="AF170" s="212"/>
    </row>
    <row r="171" spans="1:32" x14ac:dyDescent="0.2">
      <c r="A171" s="159"/>
      <c r="B171" s="164" t="s">
        <v>251</v>
      </c>
      <c r="C171" s="160">
        <v>780</v>
      </c>
      <c r="D171" s="27">
        <v>38</v>
      </c>
      <c r="E171" s="27">
        <v>20</v>
      </c>
      <c r="F171" s="27">
        <v>0</v>
      </c>
      <c r="G171" s="27">
        <v>40</v>
      </c>
      <c r="H171" s="27">
        <v>0</v>
      </c>
      <c r="I171" s="27">
        <v>59</v>
      </c>
      <c r="J171" s="27">
        <v>40</v>
      </c>
      <c r="K171" s="27">
        <v>35</v>
      </c>
      <c r="L171" s="27">
        <v>0</v>
      </c>
      <c r="M171" s="27">
        <v>38</v>
      </c>
      <c r="N171" s="27">
        <v>23</v>
      </c>
      <c r="O171" s="27">
        <v>39</v>
      </c>
      <c r="P171" s="27">
        <v>36</v>
      </c>
      <c r="Q171" s="27">
        <v>48</v>
      </c>
      <c r="R171" s="27">
        <v>38</v>
      </c>
      <c r="S171" s="27">
        <v>18</v>
      </c>
      <c r="T171" s="27">
        <v>55</v>
      </c>
      <c r="U171" s="27">
        <v>36</v>
      </c>
      <c r="V171" s="27">
        <v>35</v>
      </c>
      <c r="W171" s="27">
        <v>0</v>
      </c>
      <c r="X171" s="27">
        <v>54</v>
      </c>
      <c r="Y171" s="27">
        <v>18</v>
      </c>
      <c r="Z171" s="27">
        <v>36</v>
      </c>
      <c r="AA171" s="27">
        <v>20</v>
      </c>
      <c r="AB171" s="27">
        <v>17</v>
      </c>
      <c r="AC171" s="160">
        <v>36</v>
      </c>
      <c r="AD171" s="160">
        <v>0</v>
      </c>
      <c r="AE171" s="160">
        <v>779</v>
      </c>
      <c r="AF171" s="209">
        <v>-1</v>
      </c>
    </row>
    <row r="172" spans="1:32" x14ac:dyDescent="0.2">
      <c r="A172" s="159"/>
      <c r="B172" s="164" t="s">
        <v>252</v>
      </c>
      <c r="C172" s="160"/>
      <c r="D172" s="27">
        <v>2</v>
      </c>
      <c r="E172" s="27">
        <v>1</v>
      </c>
      <c r="F172" s="27">
        <v>0</v>
      </c>
      <c r="G172" s="27">
        <v>2</v>
      </c>
      <c r="H172" s="27">
        <v>0</v>
      </c>
      <c r="I172" s="27">
        <v>3</v>
      </c>
      <c r="J172" s="27">
        <v>2</v>
      </c>
      <c r="K172" s="27">
        <v>2</v>
      </c>
      <c r="L172" s="27">
        <v>0</v>
      </c>
      <c r="M172" s="27">
        <v>2</v>
      </c>
      <c r="N172" s="27">
        <v>1</v>
      </c>
      <c r="O172" s="27">
        <v>2</v>
      </c>
      <c r="P172" s="27">
        <v>2</v>
      </c>
      <c r="Q172" s="27">
        <v>2</v>
      </c>
      <c r="R172" s="27">
        <v>2</v>
      </c>
      <c r="S172" s="27">
        <v>1</v>
      </c>
      <c r="T172" s="27">
        <v>3</v>
      </c>
      <c r="U172" s="27">
        <v>2</v>
      </c>
      <c r="V172" s="27">
        <v>2</v>
      </c>
      <c r="W172" s="27">
        <v>0</v>
      </c>
      <c r="X172" s="27">
        <v>3</v>
      </c>
      <c r="Y172" s="27">
        <v>1</v>
      </c>
      <c r="Z172" s="27">
        <v>2</v>
      </c>
      <c r="AA172" s="27">
        <v>1</v>
      </c>
      <c r="AB172" s="27">
        <v>1</v>
      </c>
      <c r="AC172" s="160">
        <v>2</v>
      </c>
      <c r="AD172" s="160">
        <v>0</v>
      </c>
      <c r="AE172" s="160"/>
      <c r="AF172" s="209"/>
    </row>
    <row r="173" spans="1:32" x14ac:dyDescent="0.2">
      <c r="A173" s="159"/>
      <c r="B173" s="164" t="s">
        <v>253</v>
      </c>
      <c r="C173" s="160"/>
      <c r="D173" s="195">
        <v>-4.8780487804876316E-2</v>
      </c>
      <c r="E173" s="194">
        <v>0.97560975609756184</v>
      </c>
      <c r="F173" s="194">
        <v>0</v>
      </c>
      <c r="G173" s="194">
        <v>1.9512195121951237</v>
      </c>
      <c r="H173" s="194">
        <v>0</v>
      </c>
      <c r="I173" s="194">
        <v>1.9268292682926855</v>
      </c>
      <c r="J173" s="194">
        <v>1.9512195121951237</v>
      </c>
      <c r="K173" s="195">
        <v>-3.0487804878048763</v>
      </c>
      <c r="L173" s="194">
        <v>0</v>
      </c>
      <c r="M173" s="195">
        <v>-4.8780487804876316E-2</v>
      </c>
      <c r="N173" s="194">
        <v>3.9756097560975618</v>
      </c>
      <c r="O173" s="194">
        <v>0.95121951219512368</v>
      </c>
      <c r="P173" s="195">
        <v>-2.0487804878048763</v>
      </c>
      <c r="Q173" s="194">
        <v>9.9512195121951237</v>
      </c>
      <c r="R173" s="195">
        <v>-4.8780487804876316E-2</v>
      </c>
      <c r="S173" s="195">
        <v>-1.0243902439024382</v>
      </c>
      <c r="T173" s="195">
        <v>-2.0731707317073145</v>
      </c>
      <c r="U173" s="195">
        <v>-2.0487804878048763</v>
      </c>
      <c r="V173" s="195">
        <v>-3.0487804878048763</v>
      </c>
      <c r="W173" s="194">
        <v>0</v>
      </c>
      <c r="X173" s="195">
        <v>-3.0731707317073145</v>
      </c>
      <c r="Y173" s="195">
        <v>-1.0243902439024382</v>
      </c>
      <c r="Z173" s="195">
        <v>-2.0487804878048763</v>
      </c>
      <c r="AA173" s="194">
        <v>0.97560975609756184</v>
      </c>
      <c r="AB173" s="195">
        <v>-2.0243902439024382</v>
      </c>
      <c r="AC173" s="231">
        <v>-2.0487804878048763</v>
      </c>
      <c r="AD173" s="213">
        <v>0</v>
      </c>
      <c r="AE173" s="160"/>
      <c r="AF173" s="209"/>
    </row>
    <row r="174" spans="1:32" x14ac:dyDescent="0.2">
      <c r="A174" s="159"/>
      <c r="B174" s="160"/>
      <c r="C174" s="160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  <c r="AA174" s="27"/>
      <c r="AB174" s="27"/>
      <c r="AC174" s="160"/>
      <c r="AD174" s="160"/>
      <c r="AE174" s="160"/>
      <c r="AF174" s="209"/>
    </row>
    <row r="175" spans="1:32" x14ac:dyDescent="0.2">
      <c r="A175" s="159"/>
      <c r="B175" s="160"/>
      <c r="C175" s="160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  <c r="AA175" s="27"/>
      <c r="AB175" s="27"/>
      <c r="AC175" s="160"/>
      <c r="AD175" s="160"/>
      <c r="AE175" s="160"/>
      <c r="AF175" s="209"/>
    </row>
    <row r="176" spans="1:32" x14ac:dyDescent="0.2">
      <c r="A176" s="159"/>
      <c r="B176" s="164" t="s">
        <v>254</v>
      </c>
      <c r="C176" s="160">
        <v>780</v>
      </c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  <c r="AA176" s="27"/>
      <c r="AB176" s="27"/>
      <c r="AC176" s="160"/>
      <c r="AD176" s="160"/>
      <c r="AE176" s="160"/>
      <c r="AF176" s="209"/>
    </row>
    <row r="177" spans="1:32" x14ac:dyDescent="0.2">
      <c r="A177" s="159"/>
      <c r="B177" s="164" t="s">
        <v>255</v>
      </c>
      <c r="C177" s="160">
        <v>41</v>
      </c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160"/>
      <c r="AD177" s="160"/>
      <c r="AE177" s="160"/>
      <c r="AF177" s="209"/>
    </row>
    <row r="178" spans="1:32" ht="13.5" thickBot="1" x14ac:dyDescent="0.25">
      <c r="A178" s="161"/>
      <c r="B178" s="167" t="s">
        <v>171</v>
      </c>
      <c r="C178" s="163">
        <v>19.024390243902438</v>
      </c>
      <c r="D178" s="120"/>
      <c r="E178" s="120"/>
      <c r="F178" s="120"/>
      <c r="G178" s="120"/>
      <c r="H178" s="120"/>
      <c r="I178" s="120"/>
      <c r="J178" s="120"/>
      <c r="K178" s="120"/>
      <c r="L178" s="120"/>
      <c r="M178" s="120"/>
      <c r="N178" s="120"/>
      <c r="O178" s="120"/>
      <c r="P178" s="120"/>
      <c r="Q178" s="120"/>
      <c r="R178" s="120"/>
      <c r="S178" s="120"/>
      <c r="T178" s="120"/>
      <c r="U178" s="120"/>
      <c r="V178" s="120"/>
      <c r="W178" s="120"/>
      <c r="X178" s="120"/>
      <c r="Y178" s="120"/>
      <c r="Z178" s="120"/>
      <c r="AA178" s="120"/>
      <c r="AB178" s="120"/>
      <c r="AC178" s="163"/>
      <c r="AD178" s="163"/>
      <c r="AE178" s="163"/>
      <c r="AF178" s="210"/>
    </row>
  </sheetData>
  <phoneticPr fontId="13" type="noConversion"/>
  <pageMargins left="0.75" right="0.75" top="1" bottom="1" header="0.5" footer="0.5"/>
  <pageSetup paperSize="5" scale="18" orientation="landscape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HTS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HTSPreShowMatrix"/>
      </mc:Fallback>
    </mc:AlternateContent>
    <mc:AlternateContent xmlns:mc="http://schemas.openxmlformats.org/markup-compatibility/2006">
      <mc:Choice Requires="x14">
        <control shapeId="8195" r:id="rId8" name="HTS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HTS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"/>
  <sheetViews>
    <sheetView workbookViewId="0">
      <selection activeCell="C23" sqref="C23"/>
    </sheetView>
  </sheetViews>
  <sheetFormatPr defaultRowHeight="12.75" x14ac:dyDescent="0.2"/>
  <sheetData/>
  <phoneticPr fontId="28" type="noConversion"/>
  <pageMargins left="0.7" right="0.7" top="0.75" bottom="0.75" header="0.3" footer="0.3"/>
  <pageSetup orientation="portrait" r:id="rId1"/>
  <headerFooter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66</vt:i4>
      </vt:variant>
    </vt:vector>
  </HeadingPairs>
  <TitlesOfParts>
    <vt:vector size="83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Sheet2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FALLFriday</vt:lpstr>
      <vt:lpstr>FALLSaturday</vt:lpstr>
      <vt:lpstr>FALLSaturdayRows</vt:lpstr>
      <vt:lpstr>FALLSunday</vt:lpstr>
      <vt:lpstr>GrandTotalHours</vt:lpstr>
      <vt:lpstr>HoursPerShare</vt:lpstr>
      <vt:lpstr>HTSDayWorkHours</vt:lpstr>
      <vt:lpstr>HTSFridayCols</vt:lpstr>
      <vt:lpstr>HTSFridayRows</vt:lpstr>
      <vt:lpstr>HTSPreShow</vt:lpstr>
      <vt:lpstr>HTSPreshowTaskClubs</vt:lpstr>
      <vt:lpstr>HTSPreshowTaskHours</vt:lpstr>
      <vt:lpstr>HTSSaturdayCols</vt:lpstr>
      <vt:lpstr>HTSSaturdayRows</vt:lpstr>
      <vt:lpstr>HTSSundayCols</vt:lpstr>
      <vt:lpstr>HTSSundayRows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MatrixHTSDay1</vt:lpstr>
      <vt:lpstr>MatrixHTSDayN</vt:lpstr>
      <vt:lpstr>MatrixHTSPre1</vt:lpstr>
      <vt:lpstr>MatrixHTSPreN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2023-07-23T16:35:37Z</cp:lastPrinted>
  <dcterms:created xsi:type="dcterms:W3CDTF">2005-10-16T17:50:13Z</dcterms:created>
  <dcterms:modified xsi:type="dcterms:W3CDTF">2024-03-10T22:48:45Z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