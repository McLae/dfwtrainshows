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EFD3969E-9808-43D1-897D-A66D08CDDE0F}" xr6:coauthVersionLast="47" xr6:coauthVersionMax="47" xr10:uidLastSave="{00000000-0000-0000-0000-000000000000}"/>
  <bookViews>
    <workbookView xWindow="-120" yWindow="-120" windowWidth="29040" windowHeight="15840" tabRatio="810" xr2:uid="{B51E4793-B208-4265-8850-23D2DD350C21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Sunday'!$O$23</definedName>
    <definedName name="_Toc164143839" localSheetId="5">'FALL Sunday'!$O$12</definedName>
    <definedName name="_Toc164143841" localSheetId="5">'FALL Sunday'!$O$24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S.O.A.!$C$137:$C$174</definedName>
    <definedName name="DATFriday">'DAT Friday'!$A$5</definedName>
    <definedName name="DATFridayCols">Scrap!$D$7</definedName>
    <definedName name="DATFridayRows">Scrap!$C$7</definedName>
    <definedName name="DATPreShow">S.O.A.!$A$96:$D$129</definedName>
    <definedName name="DATPreshowTaskClubs">S.O.A.!$D$96:$D$129</definedName>
    <definedName name="DATPreshowTaskHours">S.O.A.!$C$96:$C$129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S.O.A.!$C$179</definedName>
    <definedName name="HoursPerShare">Participants!$C$38</definedName>
    <definedName name="HTSDayWorkHours">S.O.A.!$C$48:$C$85</definedName>
    <definedName name="HTSFridayCols">Scrap!$D$4</definedName>
    <definedName name="HTSFridayRows">Scrap!$C$4</definedName>
    <definedName name="HTSPreShow">S.O.A.!$A$5:$D$41</definedName>
    <definedName name="HTSPreshowTaskClubs">S.O.A.!$D$5:$D$41</definedName>
    <definedName name="HTSPreshowTaskHours">S.O.A.!$C$5:$C$41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Sunday'!$A$1:$K$30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Sunday'!$A$1:$L$30</definedName>
    <definedName name="_xlnm.Print_Area" localSheetId="0">Participants!$A$2:$F$38</definedName>
    <definedName name="_xlnm.Print_Area" localSheetId="2">S.O.A.!$A$1:$E$179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 calcMode="manual"/>
</workbook>
</file>

<file path=xl/calcChain.xml><?xml version="1.0" encoding="utf-8"?>
<calcChain xmlns="http://schemas.openxmlformats.org/spreadsheetml/2006/main">
  <c r="E36" i="2" l="1"/>
  <c r="C34" i="2"/>
  <c r="D175" i="1"/>
  <c r="C175" i="1"/>
  <c r="C130" i="1"/>
  <c r="C86" i="1"/>
  <c r="C42" i="1"/>
  <c r="C88" i="1" s="1"/>
  <c r="E8" i="37"/>
  <c r="C8" i="37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E3" i="28" s="1"/>
  <c r="B2" i="1"/>
  <c r="B3" i="1"/>
  <c r="B46" i="1"/>
  <c r="B47" i="1"/>
  <c r="D86" i="1"/>
  <c r="B94" i="1"/>
  <c r="B95" i="1"/>
  <c r="C95" i="1"/>
  <c r="D95" i="1"/>
  <c r="B134" i="1"/>
  <c r="B135" i="1"/>
  <c r="B5" i="2"/>
  <c r="C7" i="38"/>
  <c r="C6" i="38"/>
  <c r="D7" i="38"/>
  <c r="C4" i="38"/>
  <c r="C8" i="38"/>
  <c r="D8" i="38"/>
  <c r="C9" i="38"/>
  <c r="D9" i="38"/>
  <c r="C177" i="1" l="1"/>
  <c r="C179" i="1" s="1"/>
  <c r="H4" i="38"/>
  <c r="F8" i="37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  <c r="C36" i="2"/>
</calcChain>
</file>

<file path=xl/sharedStrings.xml><?xml version="1.0" encoding="utf-8"?>
<sst xmlns="http://schemas.openxmlformats.org/spreadsheetml/2006/main" count="1943" uniqueCount="378">
  <si>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</si>
  <si>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</si>
  <si>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</si>
  <si>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</si>
  <si>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</si>
  <si>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</si>
  <si>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</si>
  <si>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</si>
  <si>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</si>
  <si>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</si>
  <si>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</si>
  <si>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</si>
  <si>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</si>
  <si>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</si>
  <si>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</si>
  <si>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Flyer Mailouts (7) - Local mailing list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</si>
  <si>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</si>
  <si>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</si>
  <si>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</si>
  <si>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</si>
  <si>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</si>
  <si>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</si>
  <si>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</si>
  <si>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</si>
  <si>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</si>
  <si>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</si>
  <si>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</si>
  <si>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</si>
  <si>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</si>
  <si>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</si>
  <si>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</si>
  <si>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</si>
  <si>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</si>
  <si>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</si>
  <si>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</si>
  <si>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</si>
  <si>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</si>
  <si>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</si>
  <si>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</si>
  <si>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</si>
  <si>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</si>
  <si>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</si>
  <si>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</si>
  <si>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</si>
  <si>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</si>
  <si>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</si>
  <si>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</si>
  <si>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</si>
  <si>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</si>
  <si>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</si>
  <si>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</si>
  <si>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</si>
  <si>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</si>
  <si>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</si>
  <si>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</si>
  <si>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</si>
  <si>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Z1</t>
  </si>
  <si>
    <t>Z2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</si>
  <si>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</si>
  <si>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</si>
  <si>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</si>
  <si>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</si>
  <si>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</si>
  <si>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</si>
  <si>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</si>
  <si>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</si>
  <si>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</si>
  <si>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</si>
  <si>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</si>
  <si>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</si>
  <si>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</si>
  <si>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</si>
  <si>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</si>
  <si>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</si>
  <si>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</si>
  <si>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</si>
  <si>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</si>
  <si>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</si>
  <si>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</si>
  <si>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</si>
  <si>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</si>
  <si>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</si>
  <si>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</si>
  <si>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</si>
  <si>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</si>
  <si>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</si>
  <si>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</si>
  <si>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</si>
  <si>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</si>
  <si>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</si>
  <si>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</si>
  <si>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</si>
  <si>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</si>
  <si>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</si>
  <si>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</si>
  <si>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</si>
  <si>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</si>
  <si>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</si>
  <si>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</si>
  <si>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</si>
  <si>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</si>
  <si>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</si>
  <si>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</si>
  <si>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</si>
  <si>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</si>
  <si>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</si>
  <si>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</si>
  <si>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</si>
  <si>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</si>
  <si>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</si>
  <si>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</si>
  <si>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</si>
  <si>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</si>
  <si>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</si>
  <si>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</si>
  <si>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</si>
  <si>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</si>
  <si>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EE1</t>
  </si>
  <si>
    <t>Total</t>
  </si>
  <si>
    <t>CC1Sun</t>
  </si>
  <si>
    <t>CC1Sat</t>
  </si>
  <si>
    <t>CC2Sat</t>
  </si>
  <si>
    <t>CC2Sun</t>
  </si>
  <si>
    <t>EE2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</si>
  <si>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</si>
  <si>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</si>
  <si>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</si>
  <si>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</si>
  <si>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</si>
  <si>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</si>
  <si>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</si>
  <si>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</si>
  <si>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</si>
  <si>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</si>
  <si>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</si>
  <si>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</si>
  <si>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</si>
  <si>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</si>
  <si>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</si>
  <si>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JJ2West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</si>
  <si>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</si>
  <si>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</si>
  <si>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</si>
  <si>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</si>
  <si>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</si>
  <si>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</si>
  <si>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</si>
  <si>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</si>
  <si>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</si>
  <si>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</si>
  <si>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</si>
  <si>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</si>
  <si>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</si>
  <si>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</si>
  <si>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</si>
  <si>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</si>
  <si>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</si>
  <si>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</si>
  <si>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</si>
  <si>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</si>
  <si>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</si>
  <si>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</si>
  <si>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</si>
  <si>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</si>
  <si>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</si>
  <si>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</si>
  <si>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</si>
  <si>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</si>
  <si>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</si>
  <si>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</si>
  <si>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</si>
  <si>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</si>
  <si>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</si>
  <si>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</si>
  <si>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</si>
  <si>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</si>
  <si>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</si>
  <si>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</si>
  <si>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</si>
  <si>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</si>
  <si>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</si>
  <si>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</si>
  <si>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</si>
  <si>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</si>
  <si>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</si>
  <si>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</si>
  <si>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</si>
  <si>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</si>
  <si>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</si>
  <si>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Dealer Setup Saturday</t>
  </si>
  <si>
    <t>Money Management/Change Sat</t>
  </si>
  <si>
    <t>Money Management/Change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</si>
  <si>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</si>
  <si>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</si>
  <si>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</si>
  <si>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</si>
  <si>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</si>
  <si>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</si>
  <si>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</si>
  <si>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</si>
  <si>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</si>
  <si>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</si>
  <si>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</si>
  <si>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</si>
  <si>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</si>
  <si>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</si>
  <si>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</si>
  <si>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</si>
  <si>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Layout Tour Support Table East Sat</t>
  </si>
  <si>
    <t>Layout Tour Support Table West Sat</t>
  </si>
  <si>
    <t>Layout Tour Support Table East Sun</t>
  </si>
  <si>
    <t>Layout Tour Support Table West Sun</t>
  </si>
  <si>
    <t>Post Show Parking Attendants Sun</t>
  </si>
  <si>
    <t>JJ1East</t>
  </si>
  <si>
    <t>JJ1West</t>
  </si>
  <si>
    <t>Publicist</t>
  </si>
  <si>
    <t>Plano Pre-Show Hours</t>
  </si>
  <si>
    <t>Plano Day Work Hours</t>
  </si>
  <si>
    <t>Diff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</si>
  <si>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</si>
  <si>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</si>
  <si>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</si>
  <si>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</si>
  <si>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</si>
  <si>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</si>
  <si>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</si>
  <si>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</si>
  <si>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</si>
  <si>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</si>
  <si>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</si>
  <si>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</si>
  <si>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</si>
  <si>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</si>
  <si>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</si>
  <si>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HTS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</si>
  <si>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</si>
  <si>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</si>
  <si>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</si>
  <si>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</si>
  <si>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</si>
  <si>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</si>
  <si>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</si>
  <si>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</si>
  <si>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</si>
  <si>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</si>
  <si>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</si>
  <si>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</si>
  <si>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</si>
  <si>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</si>
  <si>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</si>
  <si>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</si>
  <si>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</si>
  <si>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</si>
  <si>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</si>
  <si>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</si>
  <si>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</si>
  <si>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</si>
  <si>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</si>
  <si>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</si>
  <si>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Tour Brochure Advertising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</si>
  <si>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</si>
  <si>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</si>
  <si>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</si>
  <si>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</si>
  <si>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</si>
  <si>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</si>
  <si>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</si>
  <si>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</si>
  <si>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</si>
  <si>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</si>
  <si>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</si>
  <si>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</si>
  <si>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</si>
  <si>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</si>
  <si>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</si>
  <si>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</si>
  <si>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</si>
  <si>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</si>
  <si>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</si>
  <si>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</si>
  <si>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</si>
  <si>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</si>
  <si>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</si>
  <si>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</si>
  <si>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</si>
  <si>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</si>
  <si>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</si>
  <si>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</si>
  <si>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</si>
  <si>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</si>
  <si>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</si>
  <si>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</si>
  <si>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</si>
  <si>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</si>
  <si>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</si>
  <si>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</si>
  <si>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</si>
  <si>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</si>
  <si>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</si>
  <si>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</si>
  <si>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</si>
  <si>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</si>
  <si>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</si>
  <si>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</si>
  <si>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</si>
  <si>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</si>
  <si>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</si>
  <si>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</si>
  <si>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</si>
  <si>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</si>
  <si>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</si>
  <si>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</si>
  <si>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</si>
  <si>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</si>
  <si>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</si>
  <si>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</si>
  <si>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</si>
  <si>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</si>
  <si>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</si>
  <si>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</si>
  <si>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</si>
  <si>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</si>
  <si>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</si>
  <si>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</si>
  <si>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</si>
  <si>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</si>
  <si>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</si>
  <si>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</si>
  <si>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</si>
  <si>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</si>
  <si>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</si>
  <si>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Version 2   September 2024</t>
  </si>
  <si>
    <t>2024 Show Season V1 7/22/2024</t>
  </si>
  <si>
    <t xml:space="preserve"> </t>
  </si>
  <si>
    <t>FALL pre-show</t>
  </si>
  <si>
    <t>FALL day work</t>
  </si>
  <si>
    <t>Fort Worth Pre-Show Hours</t>
  </si>
  <si>
    <t>Subtotals Fort Worth Pre-Show</t>
  </si>
  <si>
    <t>Fort Worth Day Work Hours</t>
  </si>
  <si>
    <t>Subtotals Fort Worth Day Work</t>
  </si>
  <si>
    <t>Totals Fort Worth</t>
  </si>
  <si>
    <t>Task</t>
  </si>
  <si>
    <t>DOOR Control</t>
  </si>
  <si>
    <t>Layout Tour Support Table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</si>
  <si>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</si>
  <si>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</si>
  <si>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</si>
  <si>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</si>
  <si>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</si>
  <si>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</si>
  <si>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</si>
  <si>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</si>
  <si>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</si>
  <si>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</si>
  <si>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PSA Mailings (6)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</si>
  <si>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</si>
  <si>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</si>
  <si>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</si>
  <si>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</si>
  <si>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</si>
  <si>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</si>
  <si>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</si>
  <si>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Layout Tour Support</t>
  </si>
  <si>
    <t>Information Table</t>
  </si>
  <si>
    <t>PUBLICIST - Paid adds(6)</t>
  </si>
  <si>
    <t xml:space="preserve"> Friday</t>
  </si>
  <si>
    <t xml:space="preserve"> Saturday</t>
  </si>
  <si>
    <t xml:space="preserve"> Sunday</t>
  </si>
  <si>
    <t>Dealer Setup VENDER CHECKINFriday</t>
  </si>
  <si>
    <t>Total Fall Show</t>
  </si>
  <si>
    <t>Total Fall Pre Show</t>
  </si>
  <si>
    <t>DOOR PRIZES (SHOW DAY)</t>
  </si>
  <si>
    <t>DOOR PRIZES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</si>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</sst>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3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9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0" fillId="0" borderId="26" xfId="0" applyBorder="1" applyAlignment="1">
      <alignment horizontal="right"/>
    </xf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0" fillId="5" borderId="0" xfId="1" applyFill="1" applyAlignment="1" applyProtection="1">
      <protection locked="0"/>
    </xf>
    <xf numFmtId="0" fontId="0" fillId="4" borderId="0" xfId="0" applyFill="1" applyAlignment="1">
      <alignment horizontal="center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167" fontId="0" fillId="5" borderId="0" xfId="0" applyNumberFormat="1" applyFill="1" applyProtection="1"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1" xfId="0" applyFont="1" applyBorder="1"/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9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0" fontId="14" fillId="7" borderId="0" xfId="0" applyFont="1" applyFill="1" applyAlignment="1">
      <alignment horizontal="center" vertical="center"/>
    </xf>
    <xf numFmtId="0" fontId="14" fillId="7" borderId="0" xfId="0" applyFont="1" applyFill="1"/>
    <xf numFmtId="0" fontId="2" fillId="7" borderId="0" xfId="0" applyFont="1" applyFill="1" applyAlignment="1">
      <alignment vertical="center"/>
    </xf>
    <xf numFmtId="0" fontId="0" fillId="8" borderId="0" xfId="0" applyFill="1"/>
    <xf numFmtId="0" fontId="0" fillId="8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9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12" fillId="0" borderId="0" xfId="0" applyFont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11" borderId="0" xfId="0" applyFill="1"/>
    <xf numFmtId="0" fontId="0" fillId="12" borderId="11" xfId="0" applyFill="1" applyBorder="1" applyAlignment="1">
      <alignment horizontal="center"/>
    </xf>
    <xf numFmtId="0" fontId="30" fillId="4" borderId="0" xfId="0" applyFont="1" applyFill="1" applyAlignment="1">
      <alignment horizontal="center"/>
    </xf>
    <xf numFmtId="0" fontId="8" fillId="11" borderId="11" xfId="0" applyFont="1" applyFill="1" applyBorder="1"/>
    <xf numFmtId="0" fontId="0" fillId="10" borderId="15" xfId="0" applyFill="1" applyBorder="1" applyAlignment="1">
      <alignment horizontal="center"/>
    </xf>
    <xf numFmtId="0" fontId="4" fillId="0" borderId="0" xfId="0" quotePrefix="1" applyFont="1"/>
    <xf numFmtId="0" fontId="4" fillId="13" borderId="11" xfId="0" applyFont="1" applyFill="1" applyBorder="1"/>
    <xf numFmtId="0" fontId="31" fillId="0" borderId="11" xfId="0" applyFont="1" applyBorder="1"/>
    <xf numFmtId="0" fontId="0" fillId="13" borderId="11" xfId="0" applyFill="1" applyBorder="1"/>
    <xf numFmtId="0" fontId="12" fillId="15" borderId="9" xfId="0" applyFont="1" applyFill="1" applyBorder="1" applyAlignment="1">
      <alignment horizontal="center"/>
    </xf>
    <xf numFmtId="0" fontId="8" fillId="14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8" fillId="22" borderId="9" xfId="0" applyFont="1" applyFill="1" applyBorder="1" applyAlignment="1">
      <alignment horizontal="center"/>
    </xf>
    <xf numFmtId="0" fontId="12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8" fillId="25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12" fillId="27" borderId="9" xfId="0" applyFont="1" applyFill="1" applyBorder="1" applyAlignment="1">
      <alignment horizontal="center"/>
    </xf>
    <xf numFmtId="0" fontId="12" fillId="28" borderId="9" xfId="0" applyFont="1" applyFill="1" applyBorder="1" applyAlignment="1">
      <alignment horizontal="center"/>
    </xf>
    <xf numFmtId="0" fontId="12" fillId="29" borderId="9" xfId="0" applyFont="1" applyFill="1" applyBorder="1" applyAlignment="1">
      <alignment horizontal="center"/>
    </xf>
    <xf numFmtId="0" fontId="12" fillId="30" borderId="9" xfId="0" applyFont="1" applyFill="1" applyBorder="1" applyAlignment="1">
      <alignment horizontal="center"/>
    </xf>
    <xf numFmtId="0" fontId="8" fillId="31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12" fillId="32" borderId="9" xfId="0" applyFont="1" applyFill="1" applyBorder="1" applyAlignment="1">
      <alignment horizontal="center"/>
    </xf>
    <xf numFmtId="167" fontId="1" fillId="25" borderId="0" xfId="0" applyNumberFormat="1" applyFont="1" applyFill="1" applyAlignment="1">
      <alignment horizontal="right"/>
    </xf>
    <xf numFmtId="167" fontId="22" fillId="25" borderId="0" xfId="0" applyNumberFormat="1" applyFont="1" applyFill="1" applyAlignment="1">
      <alignment horizontal="right"/>
    </xf>
    <xf numFmtId="167" fontId="23" fillId="25" borderId="0" xfId="0" applyNumberFormat="1" applyFont="1" applyFill="1" applyAlignment="1">
      <alignment horizontal="right"/>
    </xf>
    <xf numFmtId="167" fontId="24" fillId="25" borderId="0" xfId="0" applyNumberFormat="1" applyFont="1" applyFill="1" applyAlignment="1">
      <alignment horizontal="right"/>
    </xf>
    <xf numFmtId="167" fontId="18" fillId="25" borderId="0" xfId="0" applyNumberFormat="1" applyFont="1" applyFill="1" applyAlignment="1">
      <alignment horizontal="center"/>
    </xf>
    <xf numFmtId="167" fontId="6" fillId="25" borderId="0" xfId="0" applyNumberFormat="1" applyFont="1" applyFill="1" applyAlignment="1">
      <alignment horizontal="right"/>
    </xf>
    <xf numFmtId="167" fontId="4" fillId="25" borderId="0" xfId="0" applyNumberFormat="1" applyFont="1" applyFill="1" applyAlignment="1">
      <alignment horizontal="right"/>
    </xf>
    <xf numFmtId="167" fontId="25" fillId="25" borderId="0" xfId="0" applyNumberFormat="1" applyFont="1" applyFill="1" applyAlignment="1">
      <alignment horizontal="right"/>
    </xf>
    <xf numFmtId="0" fontId="8" fillId="25" borderId="11" xfId="0" applyFont="1" applyFill="1" applyBorder="1"/>
    <xf numFmtId="0" fontId="8" fillId="25" borderId="18" xfId="0" applyFont="1" applyFill="1" applyBorder="1" applyProtection="1">
      <protection locked="0"/>
    </xf>
    <xf numFmtId="0" fontId="8" fillId="25" borderId="0" xfId="0" applyFont="1" applyFill="1" applyProtection="1">
      <protection locked="0"/>
    </xf>
    <xf numFmtId="0" fontId="12" fillId="25" borderId="18" xfId="0" applyFont="1" applyFill="1" applyBorder="1" applyProtection="1">
      <protection locked="0"/>
    </xf>
    <xf numFmtId="0" fontId="8" fillId="25" borderId="0" xfId="0" applyFont="1" applyFill="1"/>
    <xf numFmtId="0" fontId="8" fillId="25" borderId="9" xfId="0" applyFont="1" applyFill="1" applyBorder="1" applyProtection="1">
      <protection locked="0"/>
    </xf>
    <xf numFmtId="0" fontId="4" fillId="0" borderId="26" xfId="0" applyFont="1" applyBorder="1"/>
    <xf numFmtId="0" fontId="5" fillId="0" borderId="27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8" fillId="15" borderId="11" xfId="0" applyFont="1" applyFill="1" applyBorder="1" applyProtection="1">
      <protection locked="0"/>
    </xf>
    <xf numFmtId="0" fontId="8" fillId="15" borderId="18" xfId="0" applyFont="1" applyFill="1" applyBorder="1" applyProtection="1">
      <protection locked="0"/>
    </xf>
    <xf numFmtId="0" fontId="8" fillId="15" borderId="0" xfId="0" applyFont="1" applyFill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/>
    <xf numFmtId="0" fontId="8" fillId="0" borderId="0" xfId="0" applyFont="1" applyBorder="1" applyProtection="1">
      <protection locked="0"/>
    </xf>
    <xf numFmtId="0" fontId="8" fillId="0" borderId="18" xfId="0" applyFont="1" applyFill="1" applyBorder="1" applyProtection="1">
      <protection locked="0"/>
    </xf>
    <xf numFmtId="0" fontId="8" fillId="0" borderId="0" xfId="0" applyFont="1" applyFill="1" applyProtection="1">
      <protection locked="0"/>
    </xf>
    <xf numFmtId="0" fontId="32" fillId="0" borderId="13" xfId="0" applyFont="1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3" xfId="0" applyFill="1" applyBorder="1" applyAlignment="1">
      <alignment horizontal="left"/>
    </xf>
    <xf numFmtId="0" fontId="3" fillId="0" borderId="3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left"/>
    </xf>
    <xf numFmtId="0" fontId="0" fillId="0" borderId="15" xfId="0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0" fillId="0" borderId="32" xfId="0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0" xfId="0" applyFill="1"/>
    <xf numFmtId="0" fontId="0" fillId="0" borderId="11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topLeftCell="A4" workbookViewId="0">
      <selection activeCell="F10" sqref="F10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101" customWidth="1"/>
    <col min="7" max="7" width="33.5703125" style="258" customWidth="1"/>
    <col min="8" max="8" width="86.42578125" customWidth="1"/>
    <col min="9" max="9" width="12.28515625" bestFit="1" customWidth="1"/>
  </cols>
  <sheetData>
    <row r="1" spans="1:18" x14ac:dyDescent="0.2">
      <c r="A1" s="94"/>
      <c r="B1" s="93"/>
      <c r="C1" s="25"/>
      <c r="D1" s="26"/>
      <c r="E1" s="105"/>
      <c r="F1" s="102"/>
      <c r="G1" s="251"/>
      <c r="K1" s="2"/>
    </row>
    <row r="2" spans="1:18" ht="18" x14ac:dyDescent="0.25">
      <c r="A2" s="271" t="s">
        <v>81</v>
      </c>
      <c r="B2" s="272"/>
      <c r="C2" s="272"/>
      <c r="D2" s="273"/>
      <c r="E2" s="96"/>
      <c r="F2" s="103"/>
      <c r="G2" s="252"/>
      <c r="H2" s="14"/>
      <c r="I2" s="14"/>
      <c r="J2" s="14"/>
      <c r="K2" s="14"/>
      <c r="L2" t="s">
        <v>331</v>
      </c>
    </row>
    <row r="3" spans="1:18" ht="18" x14ac:dyDescent="0.25">
      <c r="A3" s="271"/>
      <c r="B3" s="272"/>
      <c r="C3" s="272"/>
      <c r="D3" s="273"/>
      <c r="E3" s="96"/>
      <c r="F3" s="103"/>
      <c r="G3" s="252"/>
      <c r="H3" s="14"/>
      <c r="I3" s="14"/>
      <c r="J3" s="14"/>
      <c r="K3" s="14"/>
      <c r="L3" t="s">
        <v>330</v>
      </c>
    </row>
    <row r="4" spans="1:18" ht="18" x14ac:dyDescent="0.25">
      <c r="A4" s="32"/>
      <c r="B4" s="14"/>
      <c r="C4" s="14"/>
      <c r="D4" s="31"/>
      <c r="E4" s="96"/>
      <c r="F4" s="103"/>
      <c r="G4" s="252"/>
      <c r="H4" s="14"/>
      <c r="I4" s="14"/>
      <c r="J4" s="14"/>
      <c r="K4" s="14"/>
    </row>
    <row r="5" spans="1:18" ht="16.5" thickBot="1" x14ac:dyDescent="0.3">
      <c r="A5" s="116"/>
      <c r="B5" s="117" t="str">
        <f>Issue</f>
        <v>2024 Show Season V1 7/22/2024</v>
      </c>
      <c r="C5" s="179" t="s">
        <v>306</v>
      </c>
      <c r="D5" s="118"/>
      <c r="E5" s="119"/>
      <c r="F5" s="120"/>
      <c r="G5" s="253"/>
      <c r="K5" s="2"/>
    </row>
    <row r="6" spans="1:18" ht="16.5" thickBot="1" x14ac:dyDescent="0.3">
      <c r="A6" s="116"/>
      <c r="B6" s="117"/>
      <c r="C6" s="135" t="s">
        <v>82</v>
      </c>
      <c r="D6" s="118"/>
      <c r="E6" s="121" t="s">
        <v>4</v>
      </c>
      <c r="F6" s="122"/>
      <c r="G6" s="254"/>
      <c r="H6" s="134" t="s">
        <v>233</v>
      </c>
      <c r="I6" s="274" t="s">
        <v>332</v>
      </c>
      <c r="J6" s="274"/>
      <c r="K6" s="274"/>
      <c r="L6" s="275"/>
    </row>
    <row r="7" spans="1:18" ht="15" x14ac:dyDescent="0.2">
      <c r="A7" s="218" t="s">
        <v>83</v>
      </c>
      <c r="B7" s="123"/>
      <c r="C7" s="136" t="s">
        <v>84</v>
      </c>
      <c r="D7" s="124"/>
      <c r="E7" s="125" t="s">
        <v>180</v>
      </c>
      <c r="F7" s="126" t="s">
        <v>182</v>
      </c>
      <c r="G7" s="255" t="s">
        <v>249</v>
      </c>
      <c r="K7" s="15"/>
    </row>
    <row r="8" spans="1:18" ht="18" x14ac:dyDescent="0.25">
      <c r="A8" s="216" t="s">
        <v>94</v>
      </c>
      <c r="B8" s="123" t="s">
        <v>167</v>
      </c>
      <c r="C8" s="202">
        <v>2</v>
      </c>
      <c r="D8" s="127">
        <f t="shared" ref="D8:D30" si="0">D7+1</f>
        <v>1</v>
      </c>
      <c r="E8" s="121">
        <v>38</v>
      </c>
      <c r="F8" s="166">
        <v>2.4878048780487774</v>
      </c>
      <c r="G8" s="256" t="s">
        <v>299</v>
      </c>
      <c r="H8" s="167" t="s">
        <v>329</v>
      </c>
      <c r="I8" s="152"/>
      <c r="J8" s="152"/>
      <c r="K8" s="153"/>
      <c r="L8" s="152"/>
      <c r="M8" s="152"/>
      <c r="N8" s="167"/>
      <c r="O8" s="152"/>
      <c r="P8" s="152"/>
      <c r="Q8" s="152"/>
      <c r="R8" s="152"/>
    </row>
    <row r="9" spans="1:18" ht="18" x14ac:dyDescent="0.25">
      <c r="A9" s="230" t="s">
        <v>265</v>
      </c>
      <c r="B9" s="183" t="s">
        <v>266</v>
      </c>
      <c r="C9" s="207">
        <v>0</v>
      </c>
      <c r="D9" s="127">
        <f t="shared" si="0"/>
        <v>2</v>
      </c>
      <c r="E9" s="121">
        <v>0</v>
      </c>
      <c r="F9" s="166">
        <v>0</v>
      </c>
      <c r="G9" s="256" t="s">
        <v>291</v>
      </c>
      <c r="H9" s="167"/>
      <c r="I9" s="152"/>
      <c r="J9" s="152"/>
      <c r="K9" s="153"/>
      <c r="L9" s="152"/>
      <c r="M9" s="152"/>
      <c r="N9" s="167"/>
      <c r="O9" s="152"/>
      <c r="P9" s="167"/>
      <c r="Q9" s="152"/>
      <c r="R9" s="152"/>
    </row>
    <row r="10" spans="1:18" ht="18" x14ac:dyDescent="0.25">
      <c r="A10" s="229" t="s">
        <v>18</v>
      </c>
      <c r="B10" s="123" t="s">
        <v>171</v>
      </c>
      <c r="C10" s="202">
        <v>2</v>
      </c>
      <c r="D10" s="127">
        <f t="shared" si="0"/>
        <v>3</v>
      </c>
      <c r="E10" s="121">
        <v>22</v>
      </c>
      <c r="F10" s="165">
        <v>-13.512195121951223</v>
      </c>
      <c r="G10" s="256" t="s">
        <v>241</v>
      </c>
      <c r="H10" s="152" t="s">
        <v>250</v>
      </c>
      <c r="I10" s="152"/>
      <c r="J10" s="152"/>
      <c r="K10" s="153"/>
      <c r="L10" s="152"/>
      <c r="M10" s="178"/>
      <c r="N10" s="152"/>
      <c r="O10" s="152"/>
      <c r="P10" s="152"/>
      <c r="Q10" s="152"/>
      <c r="R10" s="152"/>
    </row>
    <row r="11" spans="1:18" ht="18" x14ac:dyDescent="0.25">
      <c r="A11" s="231" t="s">
        <v>85</v>
      </c>
      <c r="B11" s="123" t="s">
        <v>86</v>
      </c>
      <c r="C11" s="202">
        <v>1</v>
      </c>
      <c r="D11" s="127">
        <f t="shared" si="0"/>
        <v>4</v>
      </c>
      <c r="E11" s="121">
        <v>17</v>
      </c>
      <c r="F11" s="165">
        <v>-0.75609756097561132</v>
      </c>
      <c r="G11" s="256" t="s">
        <v>295</v>
      </c>
      <c r="H11" s="167" t="s">
        <v>257</v>
      </c>
      <c r="I11" s="152"/>
      <c r="J11" s="152"/>
      <c r="K11" s="153"/>
      <c r="L11" s="152"/>
      <c r="M11" s="152"/>
      <c r="N11" s="152"/>
      <c r="O11" s="152"/>
      <c r="P11" s="152"/>
      <c r="Q11" s="152"/>
      <c r="R11" s="152"/>
    </row>
    <row r="12" spans="1:18" ht="18" x14ac:dyDescent="0.25">
      <c r="A12" s="232" t="s">
        <v>12</v>
      </c>
      <c r="B12" s="123" t="s">
        <v>87</v>
      </c>
      <c r="C12" s="202">
        <v>2</v>
      </c>
      <c r="D12" s="127">
        <f t="shared" si="0"/>
        <v>5</v>
      </c>
      <c r="E12" s="121">
        <v>21</v>
      </c>
      <c r="F12" s="165">
        <v>-14.512195121951223</v>
      </c>
      <c r="G12" s="256" t="s">
        <v>296</v>
      </c>
      <c r="H12" s="167"/>
      <c r="I12" s="152"/>
      <c r="J12" s="152"/>
      <c r="K12" s="153"/>
      <c r="L12" s="152"/>
      <c r="M12" s="152"/>
      <c r="N12" s="152"/>
      <c r="O12" s="152"/>
      <c r="P12" s="152"/>
      <c r="Q12" s="152"/>
      <c r="R12" s="152"/>
    </row>
    <row r="13" spans="1:18" ht="18" x14ac:dyDescent="0.25">
      <c r="A13" s="233" t="s">
        <v>39</v>
      </c>
      <c r="B13" s="123" t="s">
        <v>88</v>
      </c>
      <c r="C13" s="202">
        <v>3</v>
      </c>
      <c r="D13" s="127">
        <f t="shared" si="0"/>
        <v>6</v>
      </c>
      <c r="E13" s="121">
        <v>60</v>
      </c>
      <c r="F13" s="166">
        <v>6.7317073170731661</v>
      </c>
      <c r="G13" s="256" t="s">
        <v>269</v>
      </c>
      <c r="H13" s="152"/>
      <c r="I13" s="152"/>
      <c r="J13" s="152"/>
      <c r="K13" s="153"/>
      <c r="L13" s="152"/>
      <c r="M13" s="152"/>
      <c r="N13" s="152"/>
      <c r="O13" s="152"/>
      <c r="P13" s="152"/>
      <c r="Q13" s="152"/>
      <c r="R13" s="152"/>
    </row>
    <row r="14" spans="1:18" ht="18" x14ac:dyDescent="0.25">
      <c r="A14" s="234" t="s">
        <v>90</v>
      </c>
      <c r="B14" s="183" t="s">
        <v>262</v>
      </c>
      <c r="C14" s="202">
        <v>2</v>
      </c>
      <c r="D14" s="127">
        <f t="shared" si="0"/>
        <v>7</v>
      </c>
      <c r="E14" s="121">
        <v>37</v>
      </c>
      <c r="F14" s="166">
        <v>1.4878048780487774</v>
      </c>
      <c r="G14" s="256" t="s">
        <v>297</v>
      </c>
      <c r="H14" s="152"/>
      <c r="I14" s="152"/>
      <c r="J14" s="152"/>
      <c r="K14" s="153"/>
      <c r="L14" s="152"/>
      <c r="M14" s="152"/>
      <c r="N14" s="152"/>
      <c r="O14" s="152"/>
      <c r="P14" s="152"/>
      <c r="Q14" s="152"/>
      <c r="R14" s="152"/>
    </row>
    <row r="15" spans="1:18" ht="18" x14ac:dyDescent="0.25">
      <c r="A15" s="235" t="s">
        <v>30</v>
      </c>
      <c r="B15" s="123" t="s">
        <v>89</v>
      </c>
      <c r="C15" s="202">
        <v>2</v>
      </c>
      <c r="D15" s="127">
        <f t="shared" si="0"/>
        <v>8</v>
      </c>
      <c r="E15" s="121">
        <v>52</v>
      </c>
      <c r="F15" s="166">
        <v>16.487804878048777</v>
      </c>
      <c r="G15" s="256" t="s">
        <v>243</v>
      </c>
      <c r="H15" s="167" t="s">
        <v>294</v>
      </c>
      <c r="I15" s="152"/>
      <c r="J15" s="152"/>
      <c r="K15" s="153"/>
      <c r="L15" s="152"/>
      <c r="M15" s="152"/>
      <c r="N15" s="152"/>
      <c r="O15" s="152"/>
      <c r="P15" s="152"/>
      <c r="Q15" s="152"/>
      <c r="R15" s="152"/>
    </row>
    <row r="16" spans="1:18" ht="18" x14ac:dyDescent="0.25">
      <c r="A16" s="236" t="s">
        <v>92</v>
      </c>
      <c r="B16" s="128" t="s">
        <v>93</v>
      </c>
      <c r="C16" s="202">
        <v>2</v>
      </c>
      <c r="D16" s="127">
        <f t="shared" si="0"/>
        <v>9</v>
      </c>
      <c r="E16" s="121">
        <v>32</v>
      </c>
      <c r="F16" s="165">
        <v>-3.5121951219512226</v>
      </c>
      <c r="G16" s="256" t="s">
        <v>264</v>
      </c>
      <c r="H16" s="167"/>
      <c r="I16" s="152"/>
      <c r="J16" s="152"/>
      <c r="K16" s="153"/>
      <c r="L16" s="152"/>
      <c r="M16" s="152"/>
      <c r="N16" s="152"/>
      <c r="O16" s="152"/>
      <c r="P16" s="152"/>
      <c r="Q16" s="152"/>
      <c r="R16" s="152"/>
    </row>
    <row r="17" spans="1:18" ht="18" x14ac:dyDescent="0.25">
      <c r="A17" s="237" t="s">
        <v>91</v>
      </c>
      <c r="B17" s="123" t="s">
        <v>169</v>
      </c>
      <c r="C17" s="202">
        <v>2</v>
      </c>
      <c r="D17" s="127">
        <f t="shared" si="0"/>
        <v>10</v>
      </c>
      <c r="E17" s="121">
        <v>38</v>
      </c>
      <c r="F17" s="166">
        <v>2.4878048780487774</v>
      </c>
      <c r="G17" s="256" t="s">
        <v>248</v>
      </c>
      <c r="H17" s="167"/>
      <c r="I17" s="152"/>
      <c r="J17" s="152"/>
      <c r="K17" s="153"/>
      <c r="L17" s="152"/>
      <c r="M17" s="152"/>
      <c r="N17" s="152"/>
      <c r="O17" s="152"/>
      <c r="P17" s="152"/>
      <c r="Q17" s="152"/>
      <c r="R17" s="152"/>
    </row>
    <row r="18" spans="1:18" ht="18" x14ac:dyDescent="0.25">
      <c r="A18" s="238" t="s">
        <v>267</v>
      </c>
      <c r="B18" s="183" t="s">
        <v>268</v>
      </c>
      <c r="C18" s="202">
        <v>1</v>
      </c>
      <c r="D18" s="127">
        <f t="shared" si="0"/>
        <v>11</v>
      </c>
      <c r="E18" s="121">
        <v>36</v>
      </c>
      <c r="F18" s="166">
        <v>18.243902439024389</v>
      </c>
      <c r="G18" s="256" t="s">
        <v>293</v>
      </c>
      <c r="H18" s="167"/>
      <c r="I18" s="152"/>
      <c r="J18" s="152"/>
      <c r="K18" s="153"/>
      <c r="L18" s="152"/>
      <c r="M18" s="152"/>
      <c r="N18" s="152"/>
      <c r="O18" s="167"/>
      <c r="P18" s="152"/>
      <c r="Q18" s="152"/>
      <c r="R18" s="152"/>
    </row>
    <row r="19" spans="1:18" ht="18" x14ac:dyDescent="0.25">
      <c r="A19" s="239" t="s">
        <v>165</v>
      </c>
      <c r="B19" s="123" t="s">
        <v>166</v>
      </c>
      <c r="C19" s="202">
        <v>1</v>
      </c>
      <c r="D19" s="127">
        <f t="shared" si="0"/>
        <v>12</v>
      </c>
      <c r="E19" s="121">
        <v>22</v>
      </c>
      <c r="F19" s="166">
        <v>4.2439024390243887</v>
      </c>
      <c r="G19" s="256" t="s">
        <v>317</v>
      </c>
      <c r="H19" s="167"/>
      <c r="I19" s="152"/>
      <c r="J19" s="152"/>
      <c r="K19" s="153"/>
      <c r="L19" s="152"/>
      <c r="M19" s="152"/>
      <c r="N19" s="152"/>
      <c r="O19" s="152"/>
      <c r="P19" s="152"/>
      <c r="Q19" s="152"/>
      <c r="R19" s="152"/>
    </row>
    <row r="20" spans="1:18" ht="18" x14ac:dyDescent="0.25">
      <c r="A20" s="240" t="s">
        <v>23</v>
      </c>
      <c r="B20" s="123" t="s">
        <v>168</v>
      </c>
      <c r="C20" s="202">
        <v>2</v>
      </c>
      <c r="D20" s="127">
        <f t="shared" si="0"/>
        <v>13</v>
      </c>
      <c r="E20" s="121">
        <v>20</v>
      </c>
      <c r="F20" s="165">
        <v>-15.512195121951223</v>
      </c>
      <c r="G20" s="256" t="s">
        <v>263</v>
      </c>
      <c r="H20" s="152" t="s">
        <v>236</v>
      </c>
      <c r="I20" s="152"/>
      <c r="J20" s="152"/>
      <c r="K20" s="153"/>
      <c r="L20" s="152"/>
      <c r="M20" s="152"/>
      <c r="N20" s="152"/>
      <c r="O20" s="152"/>
      <c r="P20" s="152"/>
      <c r="Q20" s="152"/>
      <c r="R20" s="152"/>
    </row>
    <row r="21" spans="1:18" ht="18" x14ac:dyDescent="0.25">
      <c r="A21" s="241" t="s">
        <v>315</v>
      </c>
      <c r="B21" s="183" t="s">
        <v>314</v>
      </c>
      <c r="C21" s="202">
        <v>2</v>
      </c>
      <c r="D21" s="127">
        <f t="shared" si="0"/>
        <v>14</v>
      </c>
      <c r="E21" s="121">
        <v>37</v>
      </c>
      <c r="F21" s="166">
        <v>1.4878048780487774</v>
      </c>
      <c r="G21" s="256" t="s">
        <v>318</v>
      </c>
      <c r="H21" s="167" t="s">
        <v>319</v>
      </c>
      <c r="I21" s="152"/>
      <c r="J21" s="152"/>
      <c r="K21" s="153"/>
      <c r="L21" s="152"/>
      <c r="M21" s="152"/>
      <c r="N21" s="152"/>
      <c r="O21" s="152"/>
      <c r="P21" s="152"/>
      <c r="Q21" s="152"/>
      <c r="R21" s="152"/>
    </row>
    <row r="22" spans="1:18" ht="18" x14ac:dyDescent="0.25">
      <c r="A22" s="242" t="s">
        <v>101</v>
      </c>
      <c r="B22" s="123" t="s">
        <v>102</v>
      </c>
      <c r="C22" s="202">
        <v>2</v>
      </c>
      <c r="D22" s="127">
        <f t="shared" si="0"/>
        <v>15</v>
      </c>
      <c r="E22" s="121">
        <v>37</v>
      </c>
      <c r="F22" s="166">
        <v>1.4878048780487774</v>
      </c>
      <c r="G22" s="256" t="s">
        <v>298</v>
      </c>
      <c r="H22" s="152"/>
      <c r="I22" s="152"/>
      <c r="J22" s="152"/>
      <c r="K22" s="153"/>
      <c r="L22" s="152"/>
      <c r="M22" s="152"/>
      <c r="N22" s="152"/>
      <c r="O22" s="152"/>
      <c r="P22" s="152"/>
      <c r="Q22" s="152"/>
      <c r="R22" s="152"/>
    </row>
    <row r="23" spans="1:18" ht="18" x14ac:dyDescent="0.25">
      <c r="A23" s="243" t="s">
        <v>95</v>
      </c>
      <c r="B23" s="123" t="s">
        <v>170</v>
      </c>
      <c r="C23" s="202">
        <v>1</v>
      </c>
      <c r="D23" s="127">
        <f t="shared" si="0"/>
        <v>16</v>
      </c>
      <c r="E23" s="121">
        <v>17</v>
      </c>
      <c r="F23" s="165">
        <v>-0.75609756097561132</v>
      </c>
      <c r="G23" s="256" t="s">
        <v>292</v>
      </c>
      <c r="H23" s="152"/>
      <c r="I23" s="152"/>
      <c r="J23" s="152"/>
      <c r="K23" s="153"/>
      <c r="L23" s="152"/>
      <c r="M23" s="152"/>
      <c r="N23" s="152"/>
      <c r="O23" s="152"/>
      <c r="P23" s="152"/>
      <c r="Q23" s="152"/>
      <c r="R23" s="152"/>
    </row>
    <row r="24" spans="1:18" ht="18" x14ac:dyDescent="0.25">
      <c r="A24" s="244" t="s">
        <v>41</v>
      </c>
      <c r="B24" s="123" t="s">
        <v>98</v>
      </c>
      <c r="C24" s="202">
        <v>3</v>
      </c>
      <c r="D24" s="127">
        <f t="shared" si="0"/>
        <v>17</v>
      </c>
      <c r="E24" s="121">
        <v>57</v>
      </c>
      <c r="F24" s="166">
        <v>3.7317073170731661</v>
      </c>
      <c r="G24" s="256" t="s">
        <v>316</v>
      </c>
      <c r="H24" s="167"/>
      <c r="I24" s="152"/>
      <c r="J24" s="152"/>
      <c r="K24" s="153"/>
      <c r="L24" s="152"/>
      <c r="M24" s="152"/>
      <c r="N24" s="152"/>
      <c r="O24" s="167"/>
      <c r="P24" s="152"/>
      <c r="Q24" s="152"/>
      <c r="R24" s="152"/>
    </row>
    <row r="25" spans="1:18" ht="18" x14ac:dyDescent="0.25">
      <c r="A25" s="245" t="s">
        <v>96</v>
      </c>
      <c r="B25" s="123" t="s">
        <v>97</v>
      </c>
      <c r="C25" s="202">
        <v>2</v>
      </c>
      <c r="D25" s="127">
        <f t="shared" si="0"/>
        <v>18</v>
      </c>
      <c r="E25" s="121">
        <v>37</v>
      </c>
      <c r="F25" s="166">
        <v>1.4878048780487774</v>
      </c>
      <c r="G25" s="256" t="s">
        <v>244</v>
      </c>
      <c r="H25" s="152"/>
      <c r="I25" s="152"/>
      <c r="J25" s="152"/>
      <c r="K25" s="153"/>
      <c r="L25" s="152"/>
      <c r="M25" s="152"/>
      <c r="N25" s="152"/>
      <c r="O25" s="152"/>
      <c r="P25" s="152"/>
      <c r="Q25" s="152"/>
      <c r="R25" s="152"/>
    </row>
    <row r="26" spans="1:18" ht="18" x14ac:dyDescent="0.25">
      <c r="A26" s="246" t="s">
        <v>48</v>
      </c>
      <c r="B26" s="123" t="s">
        <v>178</v>
      </c>
      <c r="C26" s="202">
        <v>3</v>
      </c>
      <c r="D26" s="127">
        <f t="shared" si="0"/>
        <v>19</v>
      </c>
      <c r="E26" s="121">
        <v>53</v>
      </c>
      <c r="F26" s="165">
        <v>-0.26829268292683395</v>
      </c>
      <c r="G26" s="256" t="s">
        <v>245</v>
      </c>
      <c r="H26" s="167"/>
      <c r="I26" s="152"/>
      <c r="J26" s="152"/>
      <c r="K26" s="153"/>
      <c r="L26" s="152"/>
      <c r="M26" s="152"/>
      <c r="N26" s="152"/>
      <c r="O26" s="152"/>
      <c r="P26" s="152"/>
      <c r="Q26" s="152"/>
      <c r="R26" s="152"/>
    </row>
    <row r="27" spans="1:18" ht="18" x14ac:dyDescent="0.25">
      <c r="A27" s="247" t="s">
        <v>260</v>
      </c>
      <c r="B27" s="183" t="s">
        <v>261</v>
      </c>
      <c r="C27" s="202">
        <v>1</v>
      </c>
      <c r="D27" s="127">
        <f t="shared" si="0"/>
        <v>20</v>
      </c>
      <c r="E27" s="121">
        <v>18</v>
      </c>
      <c r="F27" s="166">
        <v>0.24390243902438868</v>
      </c>
      <c r="G27" s="256" t="s">
        <v>242</v>
      </c>
      <c r="H27" s="167"/>
      <c r="I27" s="152"/>
      <c r="J27" s="152"/>
      <c r="K27" s="153"/>
      <c r="L27" s="152"/>
      <c r="M27" s="152"/>
      <c r="N27" s="152"/>
      <c r="O27" s="152"/>
      <c r="P27" s="152"/>
      <c r="Q27" s="152"/>
      <c r="R27" s="152"/>
    </row>
    <row r="28" spans="1:18" ht="18" x14ac:dyDescent="0.25">
      <c r="A28" s="248" t="s">
        <v>44</v>
      </c>
      <c r="B28" s="123" t="s">
        <v>100</v>
      </c>
      <c r="C28" s="202">
        <v>2</v>
      </c>
      <c r="D28" s="127">
        <f t="shared" si="0"/>
        <v>21</v>
      </c>
      <c r="E28" s="121">
        <v>37</v>
      </c>
      <c r="F28" s="166">
        <v>1.4878048780487774</v>
      </c>
      <c r="G28" s="256" t="s">
        <v>301</v>
      </c>
      <c r="H28" s="167">
        <v>0</v>
      </c>
      <c r="I28" s="152"/>
      <c r="J28" s="152"/>
      <c r="K28" s="153"/>
      <c r="L28" s="154"/>
      <c r="M28" s="152"/>
      <c r="N28" s="152"/>
      <c r="O28" s="152"/>
      <c r="P28" s="152"/>
      <c r="Q28" s="152"/>
      <c r="R28" s="152"/>
    </row>
    <row r="29" spans="1:18" ht="18" x14ac:dyDescent="0.25">
      <c r="A29" s="249" t="s">
        <v>7</v>
      </c>
      <c r="B29" s="123" t="s">
        <v>247</v>
      </c>
      <c r="C29" s="202">
        <v>2</v>
      </c>
      <c r="D29" s="127">
        <f t="shared" si="0"/>
        <v>22</v>
      </c>
      <c r="E29" s="121">
        <v>36</v>
      </c>
      <c r="F29" s="166">
        <v>0.48780487804877737</v>
      </c>
      <c r="G29" s="256" t="s">
        <v>300</v>
      </c>
      <c r="H29" s="167"/>
      <c r="I29" s="152"/>
      <c r="J29" s="152"/>
      <c r="K29" s="153"/>
      <c r="L29" s="152"/>
      <c r="M29" s="152"/>
      <c r="N29" s="152"/>
      <c r="O29" s="152"/>
      <c r="P29" s="152"/>
      <c r="Q29" s="152"/>
      <c r="R29" s="152"/>
    </row>
    <row r="30" spans="1:18" ht="18" x14ac:dyDescent="0.25">
      <c r="A30" s="250" t="s">
        <v>20</v>
      </c>
      <c r="B30" s="123" t="s">
        <v>99</v>
      </c>
      <c r="C30" s="202">
        <v>1</v>
      </c>
      <c r="D30" s="127">
        <f t="shared" si="0"/>
        <v>23</v>
      </c>
      <c r="E30" s="121">
        <v>14</v>
      </c>
      <c r="F30" s="165">
        <v>-3.7560975609756113</v>
      </c>
      <c r="G30" s="256" t="s">
        <v>246</v>
      </c>
      <c r="H30" s="152"/>
      <c r="I30" s="152"/>
      <c r="J30" s="152"/>
      <c r="K30" s="153"/>
      <c r="L30" s="152"/>
      <c r="M30" s="152"/>
      <c r="N30" s="152"/>
      <c r="O30" s="152"/>
      <c r="P30" s="152"/>
      <c r="Q30" s="152"/>
      <c r="R30" s="152"/>
    </row>
    <row r="31" spans="1:18" ht="15" x14ac:dyDescent="0.2">
      <c r="A31" s="217"/>
      <c r="B31" s="123"/>
      <c r="C31" s="202"/>
      <c r="D31" s="127"/>
      <c r="E31" s="121"/>
      <c r="F31" s="165"/>
      <c r="G31" s="257"/>
      <c r="H31" s="152"/>
      <c r="I31" s="152"/>
      <c r="J31" s="152"/>
      <c r="K31" s="153"/>
      <c r="L31" s="152"/>
      <c r="M31" s="152"/>
      <c r="N31" s="152"/>
      <c r="O31" s="152"/>
      <c r="P31" s="152"/>
      <c r="Q31" s="152"/>
      <c r="R31" s="152"/>
    </row>
    <row r="32" spans="1:18" ht="15" x14ac:dyDescent="0.2">
      <c r="A32" s="116"/>
      <c r="B32" s="117"/>
      <c r="C32" s="215"/>
      <c r="D32" s="130"/>
      <c r="E32" s="121"/>
      <c r="F32" s="165"/>
      <c r="G32" s="257"/>
      <c r="H32" s="152"/>
      <c r="I32" s="152"/>
      <c r="J32" s="152"/>
      <c r="K32" s="153"/>
      <c r="L32" s="152"/>
      <c r="M32" s="152"/>
      <c r="N32" s="152"/>
      <c r="O32" s="152"/>
      <c r="P32" s="152"/>
      <c r="Q32" s="152"/>
      <c r="R32" s="152"/>
    </row>
    <row r="33" spans="1:11" ht="15.75" thickBot="1" x14ac:dyDescent="0.25">
      <c r="A33" s="116"/>
      <c r="B33" s="117"/>
      <c r="C33" s="129"/>
      <c r="D33" s="130"/>
      <c r="E33" s="121"/>
      <c r="F33" s="122"/>
      <c r="K33" s="2"/>
    </row>
    <row r="34" spans="1:11" ht="16.5" thickBot="1" x14ac:dyDescent="0.3">
      <c r="A34" s="12"/>
      <c r="B34" s="134" t="s">
        <v>103</v>
      </c>
      <c r="C34" s="34">
        <f>SUM(C8:C33)</f>
        <v>41</v>
      </c>
      <c r="D34" s="33"/>
      <c r="E34" s="97"/>
      <c r="F34" s="104"/>
      <c r="K34" s="2"/>
    </row>
    <row r="35" spans="1:11" ht="15" x14ac:dyDescent="0.2">
      <c r="A35" s="117"/>
      <c r="B35" s="117"/>
      <c r="C35" s="131"/>
      <c r="D35" s="117"/>
      <c r="E35" s="131" t="s">
        <v>180</v>
      </c>
      <c r="F35" s="132"/>
    </row>
    <row r="36" spans="1:11" ht="15" x14ac:dyDescent="0.2">
      <c r="A36" s="117"/>
      <c r="B36" s="117" t="s">
        <v>147</v>
      </c>
      <c r="C36" s="131">
        <f>GrandTotalHours</f>
        <v>762</v>
      </c>
      <c r="D36" s="117"/>
      <c r="E36" s="131">
        <f>SUM(E7:E35)</f>
        <v>738</v>
      </c>
      <c r="F36" s="132"/>
    </row>
    <row r="37" spans="1:11" ht="15" x14ac:dyDescent="0.2">
      <c r="A37" s="117"/>
      <c r="B37" s="117"/>
      <c r="C37" s="131"/>
      <c r="D37" s="117"/>
      <c r="E37" s="131"/>
      <c r="F37" s="132"/>
    </row>
    <row r="38" spans="1:11" ht="15" x14ac:dyDescent="0.2">
      <c r="A38" s="117"/>
      <c r="B38" s="117" t="s">
        <v>148</v>
      </c>
      <c r="C38" s="133">
        <f>GrandTotalHours/TotalShowShares</f>
        <v>18.585365853658537</v>
      </c>
      <c r="D38" s="117"/>
      <c r="E38" s="131"/>
      <c r="F38" s="132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92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F6" sqref="F6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2" bestFit="1" customWidth="1"/>
  </cols>
  <sheetData>
    <row r="1" spans="1:10" x14ac:dyDescent="0.2">
      <c r="A1" t="s">
        <v>159</v>
      </c>
      <c r="I1" t="s">
        <v>181</v>
      </c>
    </row>
    <row r="3" spans="1:10" x14ac:dyDescent="0.2">
      <c r="C3" t="s">
        <v>154</v>
      </c>
      <c r="D3" t="s">
        <v>155</v>
      </c>
    </row>
    <row r="4" spans="1:10" x14ac:dyDescent="0.2">
      <c r="A4" t="s">
        <v>326</v>
      </c>
      <c r="C4" s="220">
        <f>FindHourlyRows("FALL Friday",FALLFriday)</f>
        <v>7</v>
      </c>
      <c r="D4" s="220">
        <v>16</v>
      </c>
      <c r="F4" s="17" t="s">
        <v>320</v>
      </c>
      <c r="H4" t="str">
        <f>FALLFriday</f>
        <v>Friday 9/29/2023</v>
      </c>
      <c r="J4">
        <f>ROW(FALLFriday)</f>
        <v>5</v>
      </c>
    </row>
    <row r="5" spans="1:10" x14ac:dyDescent="0.2">
      <c r="A5" t="s">
        <v>327</v>
      </c>
      <c r="C5" s="220">
        <v>25</v>
      </c>
      <c r="D5" s="220">
        <v>12</v>
      </c>
      <c r="F5" s="17" t="s">
        <v>321</v>
      </c>
      <c r="H5" t="str">
        <f>FALLSaturday</f>
        <v>Saturday 9/30/2023</v>
      </c>
      <c r="J5">
        <f>ROW(FALLSaturday)</f>
        <v>5</v>
      </c>
    </row>
    <row r="6" spans="1:10" x14ac:dyDescent="0.2">
      <c r="A6" t="s">
        <v>328</v>
      </c>
      <c r="C6" s="220">
        <f>FindHourlyRows("FALL Sunday",FALLSunday)</f>
        <v>17</v>
      </c>
      <c r="D6" s="220">
        <v>11</v>
      </c>
      <c r="F6" s="17" t="s">
        <v>322</v>
      </c>
      <c r="H6" t="str">
        <f>FALLSunday</f>
        <v>Sunday 10/1/2023</v>
      </c>
      <c r="J6">
        <f>ROW(FALLSunday)</f>
        <v>5</v>
      </c>
    </row>
    <row r="7" spans="1:10" x14ac:dyDescent="0.2">
      <c r="A7" t="s">
        <v>156</v>
      </c>
      <c r="C7" s="220">
        <f>FindHourlyRows("DAT Friday",DATFriday)</f>
        <v>7</v>
      </c>
      <c r="D7" s="220">
        <f>FindHourlyCols("DAT Friday",DATFriday)</f>
        <v>16</v>
      </c>
      <c r="F7" t="s">
        <v>323</v>
      </c>
      <c r="H7" t="str">
        <f>DATFriday</f>
        <v>Friday 01/19/2024</v>
      </c>
      <c r="J7">
        <f>ROW(DATFriday)</f>
        <v>5</v>
      </c>
    </row>
    <row r="8" spans="1:10" x14ac:dyDescent="0.2">
      <c r="A8" t="s">
        <v>157</v>
      </c>
      <c r="C8" s="220">
        <f>FindHourlyRows("DAT Saturday",DATSaturday)</f>
        <v>24</v>
      </c>
      <c r="D8" s="220">
        <f>FindHourlyCols("DAT Saturday",DATSaturday)</f>
        <v>12</v>
      </c>
      <c r="F8" t="s">
        <v>324</v>
      </c>
      <c r="H8" t="str">
        <f>DATSaturday</f>
        <v>Saturday 01/20/2024</v>
      </c>
      <c r="J8">
        <f>ROW(DATSaturday)</f>
        <v>5</v>
      </c>
    </row>
    <row r="9" spans="1:10" x14ac:dyDescent="0.2">
      <c r="A9" t="s">
        <v>158</v>
      </c>
      <c r="C9" s="220">
        <f>FindHourlyRows("DAT Sunday",DATSunday)</f>
        <v>18</v>
      </c>
      <c r="D9" s="220">
        <f>FindHourlyCols("DAT Sunday",DATSunday)</f>
        <v>11</v>
      </c>
      <c r="F9" t="s">
        <v>325</v>
      </c>
      <c r="H9" t="str">
        <f>DATSunday</f>
        <v>Sunday 01/21/2024</v>
      </c>
      <c r="J9">
        <f>ROW(DATSunday)</f>
        <v>5</v>
      </c>
    </row>
    <row r="12" spans="1:10" x14ac:dyDescent="0.2">
      <c r="D12" s="220">
        <v>1</v>
      </c>
    </row>
    <row r="13" spans="1:10" x14ac:dyDescent="0.2">
      <c r="D13" s="220">
        <v>0</v>
      </c>
      <c r="F13" t="s">
        <v>253</v>
      </c>
      <c r="I13" s="220">
        <v>0</v>
      </c>
    </row>
    <row r="15" spans="1:10" x14ac:dyDescent="0.2">
      <c r="C15" t="s">
        <v>232</v>
      </c>
      <c r="D15" t="s">
        <v>231</v>
      </c>
    </row>
    <row r="16" spans="1:10" x14ac:dyDescent="0.2">
      <c r="A16" t="s">
        <v>228</v>
      </c>
      <c r="C16" s="220">
        <v>1</v>
      </c>
      <c r="D16" s="220">
        <v>28</v>
      </c>
    </row>
    <row r="17" spans="1:4" x14ac:dyDescent="0.2">
      <c r="A17" s="17" t="s">
        <v>334</v>
      </c>
      <c r="C17" s="220">
        <v>4</v>
      </c>
      <c r="D17" s="220">
        <v>40</v>
      </c>
    </row>
    <row r="18" spans="1:4" x14ac:dyDescent="0.2">
      <c r="A18" s="17" t="s">
        <v>335</v>
      </c>
      <c r="C18" s="220">
        <v>44</v>
      </c>
      <c r="D18" s="220">
        <v>85</v>
      </c>
    </row>
    <row r="19" spans="1:4" x14ac:dyDescent="0.2">
      <c r="A19" t="s">
        <v>229</v>
      </c>
      <c r="C19" s="220">
        <v>89</v>
      </c>
      <c r="D19" s="220">
        <v>124</v>
      </c>
    </row>
    <row r="20" spans="1:4" x14ac:dyDescent="0.2">
      <c r="A20" t="s">
        <v>230</v>
      </c>
      <c r="C20" s="220">
        <v>128</v>
      </c>
      <c r="D20" s="220">
        <v>178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79"/>
  <sheetViews>
    <sheetView topLeftCell="A157" workbookViewId="0">
      <pane xSplit="13305" ySplit="12090" topLeftCell="I28"/>
      <selection activeCell="G125" sqref="G125"/>
      <selection pane="topRight" activeCell="J20" sqref="J20"/>
      <selection pane="bottomLeft" activeCell="D109" sqref="D109"/>
      <selection pane="bottomRight" activeCell="I101" sqref="I101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style="294" bestFit="1" customWidth="1"/>
  </cols>
  <sheetData>
    <row r="1" spans="1:8" ht="18" x14ac:dyDescent="0.25">
      <c r="A1" s="266" t="s">
        <v>281</v>
      </c>
      <c r="B1" s="219"/>
      <c r="C1" s="219"/>
      <c r="D1" s="281"/>
    </row>
    <row r="2" spans="1:8" x14ac:dyDescent="0.2">
      <c r="A2" s="1"/>
      <c r="B2" s="155" t="str">
        <f>Issue</f>
        <v>2024 Show Season V1 7/22/2024</v>
      </c>
      <c r="C2" s="2"/>
      <c r="D2" s="282"/>
    </row>
    <row r="3" spans="1:8" ht="15.75" x14ac:dyDescent="0.25">
      <c r="A3" s="3"/>
      <c r="B3" s="222" t="str">
        <f>Season</f>
        <v>2022/2023</v>
      </c>
      <c r="C3" s="2"/>
      <c r="D3" s="283"/>
    </row>
    <row r="4" spans="1:8" x14ac:dyDescent="0.2">
      <c r="A4" s="4"/>
      <c r="C4" s="5" t="s">
        <v>0</v>
      </c>
      <c r="D4" s="283" t="s">
        <v>1</v>
      </c>
    </row>
    <row r="5" spans="1:8" x14ac:dyDescent="0.2">
      <c r="A5" s="6" t="s">
        <v>2</v>
      </c>
      <c r="B5" s="7" t="s">
        <v>3</v>
      </c>
      <c r="C5" s="8" t="s">
        <v>4</v>
      </c>
      <c r="D5" s="284" t="s">
        <v>5</v>
      </c>
    </row>
    <row r="6" spans="1:8" x14ac:dyDescent="0.2">
      <c r="A6" s="106" t="s">
        <v>6</v>
      </c>
      <c r="B6" s="226" t="s">
        <v>350</v>
      </c>
      <c r="C6" s="24">
        <v>4</v>
      </c>
      <c r="D6" s="285" t="s">
        <v>165</v>
      </c>
      <c r="F6" s="10"/>
      <c r="H6" s="2"/>
    </row>
    <row r="7" spans="1:8" x14ac:dyDescent="0.2">
      <c r="A7" s="106" t="s">
        <v>8</v>
      </c>
      <c r="B7" s="226" t="s">
        <v>351</v>
      </c>
      <c r="C7" s="24">
        <v>2</v>
      </c>
      <c r="D7" s="285" t="s">
        <v>165</v>
      </c>
      <c r="F7" s="10"/>
      <c r="H7" s="2"/>
    </row>
    <row r="8" spans="1:8" x14ac:dyDescent="0.2">
      <c r="A8" s="106"/>
      <c r="B8" s="226" t="s">
        <v>352</v>
      </c>
      <c r="C8" s="24">
        <v>2</v>
      </c>
      <c r="D8" s="285" t="s">
        <v>165</v>
      </c>
      <c r="F8" s="10"/>
      <c r="H8" s="2"/>
    </row>
    <row r="9" spans="1:8" x14ac:dyDescent="0.2">
      <c r="A9" s="106" t="s">
        <v>9</v>
      </c>
      <c r="B9" s="226" t="s">
        <v>364</v>
      </c>
      <c r="C9" s="24">
        <v>9</v>
      </c>
      <c r="D9" s="285" t="s">
        <v>315</v>
      </c>
      <c r="F9" s="10"/>
      <c r="H9" s="2"/>
    </row>
    <row r="10" spans="1:8" x14ac:dyDescent="0.2">
      <c r="A10" s="106" t="s">
        <v>10</v>
      </c>
      <c r="B10" s="226" t="s">
        <v>353</v>
      </c>
      <c r="C10" s="24">
        <v>2</v>
      </c>
      <c r="D10" s="285" t="s">
        <v>91</v>
      </c>
      <c r="F10" s="10"/>
      <c r="H10" s="2"/>
    </row>
    <row r="11" spans="1:8" x14ac:dyDescent="0.2">
      <c r="A11" s="106"/>
      <c r="B11" s="226" t="s">
        <v>374</v>
      </c>
      <c r="C11" s="24"/>
      <c r="D11" s="285" t="s">
        <v>165</v>
      </c>
      <c r="F11" s="10"/>
      <c r="H11" s="2"/>
    </row>
    <row r="12" spans="1:8" x14ac:dyDescent="0.2">
      <c r="A12" s="106" t="s">
        <v>11</v>
      </c>
      <c r="B12" s="227" t="s">
        <v>354</v>
      </c>
      <c r="C12" s="24"/>
      <c r="D12" s="285" t="s">
        <v>12</v>
      </c>
      <c r="F12" s="10"/>
      <c r="H12" s="2"/>
    </row>
    <row r="13" spans="1:8" x14ac:dyDescent="0.2">
      <c r="A13" s="106" t="s">
        <v>13</v>
      </c>
      <c r="B13" s="182" t="s">
        <v>355</v>
      </c>
      <c r="C13" s="24">
        <v>6</v>
      </c>
      <c r="D13" s="285"/>
      <c r="F13" s="10"/>
      <c r="H13" s="2"/>
    </row>
    <row r="14" spans="1:8" x14ac:dyDescent="0.2">
      <c r="A14" s="106" t="s">
        <v>14</v>
      </c>
      <c r="B14" s="227" t="s">
        <v>15</v>
      </c>
      <c r="C14" s="24"/>
      <c r="D14" s="285" t="s">
        <v>18</v>
      </c>
      <c r="F14" s="10"/>
      <c r="H14" s="2"/>
    </row>
    <row r="15" spans="1:8" x14ac:dyDescent="0.2">
      <c r="A15" s="106" t="s">
        <v>16</v>
      </c>
      <c r="B15" s="227" t="s">
        <v>17</v>
      </c>
      <c r="C15" s="24"/>
      <c r="D15" s="285" t="s">
        <v>18</v>
      </c>
      <c r="F15" s="10"/>
      <c r="H15" s="2"/>
    </row>
    <row r="16" spans="1:8" x14ac:dyDescent="0.2">
      <c r="A16" s="106" t="s">
        <v>255</v>
      </c>
      <c r="B16" s="228" t="s">
        <v>256</v>
      </c>
      <c r="C16" s="24">
        <v>8</v>
      </c>
      <c r="D16" s="285" t="s">
        <v>18</v>
      </c>
      <c r="F16" s="10"/>
      <c r="H16" s="2"/>
    </row>
    <row r="17" spans="1:8" x14ac:dyDescent="0.2">
      <c r="A17" s="106" t="s">
        <v>19</v>
      </c>
      <c r="B17" s="17" t="s">
        <v>375</v>
      </c>
      <c r="C17" s="295">
        <v>10</v>
      </c>
      <c r="D17" s="286" t="s">
        <v>39</v>
      </c>
      <c r="F17" s="204"/>
      <c r="H17" s="2"/>
    </row>
    <row r="18" spans="1:8" x14ac:dyDescent="0.2">
      <c r="A18" s="106" t="s">
        <v>21</v>
      </c>
      <c r="B18" s="227" t="s">
        <v>22</v>
      </c>
      <c r="C18" s="24"/>
      <c r="D18" s="285" t="s">
        <v>23</v>
      </c>
      <c r="F18" s="10"/>
      <c r="H18" s="2"/>
    </row>
    <row r="19" spans="1:8" x14ac:dyDescent="0.2">
      <c r="A19" s="106" t="s">
        <v>24</v>
      </c>
      <c r="B19" s="227" t="s">
        <v>25</v>
      </c>
      <c r="C19" s="24"/>
      <c r="D19" s="285" t="s">
        <v>30</v>
      </c>
      <c r="F19" s="10"/>
      <c r="H19" s="2"/>
    </row>
    <row r="20" spans="1:8" x14ac:dyDescent="0.2">
      <c r="A20" s="106" t="s">
        <v>26</v>
      </c>
      <c r="B20" s="228" t="s">
        <v>27</v>
      </c>
      <c r="C20" s="24">
        <v>12</v>
      </c>
      <c r="D20" s="285" t="s">
        <v>30</v>
      </c>
      <c r="F20" s="10"/>
      <c r="H20" s="2"/>
    </row>
    <row r="21" spans="1:8" x14ac:dyDescent="0.2">
      <c r="A21" s="106" t="s">
        <v>28</v>
      </c>
      <c r="B21" s="226" t="s">
        <v>356</v>
      </c>
      <c r="C21" s="24">
        <v>4</v>
      </c>
      <c r="D21" s="286" t="s">
        <v>41</v>
      </c>
      <c r="F21" s="204"/>
      <c r="H21" s="2"/>
    </row>
    <row r="22" spans="1:8" x14ac:dyDescent="0.2">
      <c r="A22" s="106" t="s">
        <v>31</v>
      </c>
      <c r="B22" s="228" t="s">
        <v>32</v>
      </c>
      <c r="C22" s="24">
        <v>12</v>
      </c>
      <c r="D22" s="285" t="s">
        <v>7</v>
      </c>
      <c r="F22" s="10"/>
      <c r="H22" s="2"/>
    </row>
    <row r="23" spans="1:8" x14ac:dyDescent="0.2">
      <c r="A23" s="106" t="s">
        <v>33</v>
      </c>
      <c r="B23" s="227" t="s">
        <v>34</v>
      </c>
      <c r="C23" s="24"/>
      <c r="D23" s="285" t="s">
        <v>23</v>
      </c>
      <c r="F23" s="10"/>
      <c r="H23" s="2"/>
    </row>
    <row r="24" spans="1:8" x14ac:dyDescent="0.2">
      <c r="A24" s="106" t="s">
        <v>35</v>
      </c>
      <c r="B24" s="227" t="s">
        <v>36</v>
      </c>
      <c r="C24" s="24"/>
      <c r="D24" s="285" t="s">
        <v>23</v>
      </c>
      <c r="F24" s="10"/>
      <c r="H24" s="2"/>
    </row>
    <row r="25" spans="1:8" x14ac:dyDescent="0.2">
      <c r="A25" s="106" t="s">
        <v>37</v>
      </c>
      <c r="B25" s="228" t="s">
        <v>38</v>
      </c>
      <c r="C25" s="24">
        <v>21</v>
      </c>
      <c r="D25" s="286" t="s">
        <v>267</v>
      </c>
      <c r="F25" s="10"/>
      <c r="H25" s="2"/>
    </row>
    <row r="26" spans="1:8" x14ac:dyDescent="0.2">
      <c r="A26" s="181" t="s">
        <v>40</v>
      </c>
      <c r="B26" s="226" t="s">
        <v>357</v>
      </c>
      <c r="C26" s="24">
        <v>6</v>
      </c>
      <c r="D26" s="285" t="s">
        <v>7</v>
      </c>
      <c r="F26" s="10"/>
      <c r="H26" s="2"/>
    </row>
    <row r="27" spans="1:8" x14ac:dyDescent="0.2">
      <c r="A27" s="106" t="s">
        <v>42</v>
      </c>
      <c r="B27" s="228" t="s">
        <v>43</v>
      </c>
      <c r="C27" s="24">
        <v>4</v>
      </c>
      <c r="D27" s="285" t="s">
        <v>92</v>
      </c>
      <c r="F27" s="10"/>
      <c r="H27" s="2"/>
    </row>
    <row r="28" spans="1:8" x14ac:dyDescent="0.2">
      <c r="A28" s="106" t="s">
        <v>45</v>
      </c>
      <c r="B28" s="227" t="s">
        <v>254</v>
      </c>
      <c r="C28" s="24"/>
      <c r="D28" s="285" t="s">
        <v>92</v>
      </c>
      <c r="F28" s="10"/>
      <c r="H28" s="2"/>
    </row>
    <row r="29" spans="1:8" x14ac:dyDescent="0.2">
      <c r="A29" s="181" t="s">
        <v>258</v>
      </c>
      <c r="B29" t="s">
        <v>376</v>
      </c>
      <c r="C29" s="24">
        <v>5</v>
      </c>
      <c r="D29" s="286" t="s">
        <v>39</v>
      </c>
      <c r="F29" s="204"/>
      <c r="H29" s="2"/>
    </row>
    <row r="30" spans="1:8" x14ac:dyDescent="0.2">
      <c r="A30" s="181"/>
      <c r="B30" t="s">
        <v>377</v>
      </c>
      <c r="C30" s="24">
        <v>1</v>
      </c>
      <c r="D30" s="286" t="s">
        <v>39</v>
      </c>
      <c r="F30" s="204"/>
      <c r="H30" s="2"/>
    </row>
    <row r="31" spans="1:8" x14ac:dyDescent="0.2">
      <c r="A31" s="106" t="s">
        <v>46</v>
      </c>
      <c r="B31" s="228" t="s">
        <v>47</v>
      </c>
      <c r="C31" s="24">
        <v>1</v>
      </c>
      <c r="D31" s="285" t="s">
        <v>48</v>
      </c>
      <c r="F31" s="10"/>
      <c r="H31" s="2"/>
    </row>
    <row r="32" spans="1:8" x14ac:dyDescent="0.2">
      <c r="A32" s="106" t="s">
        <v>49</v>
      </c>
      <c r="B32" s="228" t="s">
        <v>50</v>
      </c>
      <c r="C32" s="24">
        <v>12</v>
      </c>
      <c r="D32" s="285" t="s">
        <v>92</v>
      </c>
      <c r="F32" s="204"/>
      <c r="H32" s="2"/>
    </row>
    <row r="33" spans="1:8" x14ac:dyDescent="0.2">
      <c r="A33" s="106" t="s">
        <v>51</v>
      </c>
      <c r="B33" s="228" t="s">
        <v>358</v>
      </c>
      <c r="C33" s="24">
        <v>1</v>
      </c>
      <c r="D33" s="286" t="s">
        <v>20</v>
      </c>
      <c r="F33" s="204"/>
      <c r="H33" s="2"/>
    </row>
    <row r="34" spans="1:8" x14ac:dyDescent="0.2">
      <c r="A34" s="106" t="s">
        <v>52</v>
      </c>
      <c r="B34" s="228" t="s">
        <v>53</v>
      </c>
      <c r="C34" s="24">
        <v>2</v>
      </c>
      <c r="D34" s="286" t="s">
        <v>260</v>
      </c>
      <c r="F34" s="204"/>
      <c r="H34" s="2"/>
    </row>
    <row r="35" spans="1:8" x14ac:dyDescent="0.2">
      <c r="A35" s="106" t="s">
        <v>54</v>
      </c>
      <c r="B35" s="182" t="s">
        <v>359</v>
      </c>
      <c r="C35" s="24">
        <v>2</v>
      </c>
      <c r="D35" s="285" t="s">
        <v>96</v>
      </c>
      <c r="F35" s="10"/>
      <c r="H35" s="2"/>
    </row>
    <row r="36" spans="1:8" x14ac:dyDescent="0.2">
      <c r="A36" s="106" t="s">
        <v>55</v>
      </c>
      <c r="B36" s="182" t="s">
        <v>373</v>
      </c>
      <c r="C36" s="24">
        <v>2</v>
      </c>
      <c r="D36" s="286" t="s">
        <v>260</v>
      </c>
      <c r="F36" s="10"/>
      <c r="H36" s="2"/>
    </row>
    <row r="37" spans="1:8" x14ac:dyDescent="0.2">
      <c r="A37" s="106" t="s">
        <v>59</v>
      </c>
      <c r="B37" s="226" t="s">
        <v>360</v>
      </c>
      <c r="C37" s="24">
        <v>11</v>
      </c>
      <c r="D37" s="285" t="s">
        <v>30</v>
      </c>
      <c r="F37" s="10"/>
      <c r="H37" s="2"/>
    </row>
    <row r="38" spans="1:8" x14ac:dyDescent="0.2">
      <c r="A38" s="106" t="s">
        <v>79</v>
      </c>
      <c r="B38" s="227" t="s">
        <v>215</v>
      </c>
      <c r="C38" s="24"/>
      <c r="D38" s="285" t="s">
        <v>39</v>
      </c>
      <c r="F38" s="10"/>
      <c r="H38" s="2"/>
    </row>
    <row r="39" spans="1:8" x14ac:dyDescent="0.2">
      <c r="A39" s="106" t="s">
        <v>237</v>
      </c>
      <c r="B39" s="226" t="s">
        <v>238</v>
      </c>
      <c r="C39" s="24">
        <v>1</v>
      </c>
      <c r="D39" s="285" t="s">
        <v>95</v>
      </c>
      <c r="F39" s="10"/>
      <c r="H39" s="2"/>
    </row>
    <row r="40" spans="1:8" x14ac:dyDescent="0.2">
      <c r="A40" s="106" t="s">
        <v>239</v>
      </c>
      <c r="B40" s="228" t="s">
        <v>240</v>
      </c>
      <c r="C40" s="24">
        <v>1</v>
      </c>
      <c r="D40" s="285" t="s">
        <v>267</v>
      </c>
      <c r="F40" s="10"/>
      <c r="H40" s="2"/>
    </row>
    <row r="41" spans="1:8" x14ac:dyDescent="0.2">
      <c r="A41" s="4"/>
      <c r="C41" s="2"/>
      <c r="D41" s="282"/>
    </row>
    <row r="42" spans="1:8" ht="13.5" thickBot="1" x14ac:dyDescent="0.25">
      <c r="A42" s="107"/>
      <c r="B42" s="265" t="s">
        <v>370</v>
      </c>
      <c r="C42" s="160">
        <f>SUM(C5:C41)</f>
        <v>141</v>
      </c>
      <c r="D42" s="287"/>
      <c r="E42">
        <v>144</v>
      </c>
    </row>
    <row r="43" spans="1:8" x14ac:dyDescent="0.2">
      <c r="C43" s="2"/>
      <c r="D43" s="288"/>
    </row>
    <row r="44" spans="1:8" ht="13.5" thickBot="1" x14ac:dyDescent="0.25">
      <c r="C44" s="2"/>
      <c r="D44" s="288"/>
    </row>
    <row r="45" spans="1:8" ht="18" x14ac:dyDescent="0.25">
      <c r="A45" s="266" t="s">
        <v>282</v>
      </c>
      <c r="B45" s="219"/>
      <c r="C45" s="219"/>
      <c r="D45" s="281"/>
    </row>
    <row r="46" spans="1:8" x14ac:dyDescent="0.2">
      <c r="A46" s="4"/>
      <c r="B46" s="155" t="str">
        <f>Issue</f>
        <v>2024 Show Season V1 7/22/2024</v>
      </c>
      <c r="C46" s="2"/>
      <c r="D46" s="282"/>
    </row>
    <row r="47" spans="1:8" ht="15.75" x14ac:dyDescent="0.25">
      <c r="A47" s="4"/>
      <c r="B47" s="98" t="str">
        <f>Season</f>
        <v>2022/2023</v>
      </c>
      <c r="C47" s="2" t="s">
        <v>60</v>
      </c>
      <c r="D47" s="289" t="s">
        <v>183</v>
      </c>
    </row>
    <row r="48" spans="1:8" x14ac:dyDescent="0.2">
      <c r="A48" s="6" t="s">
        <v>2</v>
      </c>
      <c r="B48" s="7" t="s">
        <v>3</v>
      </c>
      <c r="C48" s="11" t="s">
        <v>4</v>
      </c>
      <c r="D48" s="290" t="s">
        <v>184</v>
      </c>
    </row>
    <row r="49" spans="1:8" x14ac:dyDescent="0.2">
      <c r="A49" s="106" t="s">
        <v>56</v>
      </c>
      <c r="B49" s="23" t="s">
        <v>105</v>
      </c>
      <c r="C49" s="221">
        <v>0</v>
      </c>
      <c r="D49" s="184">
        <v>0</v>
      </c>
      <c r="H49" s="2"/>
    </row>
    <row r="50" spans="1:8" x14ac:dyDescent="0.2">
      <c r="A50" s="106" t="s">
        <v>57</v>
      </c>
      <c r="B50" s="23" t="s">
        <v>186</v>
      </c>
      <c r="C50" s="221">
        <v>0</v>
      </c>
      <c r="D50" s="184">
        <v>0</v>
      </c>
      <c r="H50" s="2"/>
    </row>
    <row r="51" spans="1:8" x14ac:dyDescent="0.2">
      <c r="A51" s="106" t="s">
        <v>58</v>
      </c>
      <c r="B51" s="23" t="s">
        <v>179</v>
      </c>
      <c r="C51" s="24">
        <v>5</v>
      </c>
      <c r="D51" s="224">
        <v>10</v>
      </c>
      <c r="H51" s="2"/>
    </row>
    <row r="52" spans="1:8" x14ac:dyDescent="0.2">
      <c r="A52" s="106" t="s">
        <v>61</v>
      </c>
      <c r="B52" s="23" t="s">
        <v>189</v>
      </c>
      <c r="C52" s="24">
        <v>6</v>
      </c>
      <c r="D52" s="224">
        <v>0</v>
      </c>
    </row>
    <row r="53" spans="1:8" x14ac:dyDescent="0.2">
      <c r="A53" s="106" t="s">
        <v>287</v>
      </c>
      <c r="B53" s="23" t="s">
        <v>288</v>
      </c>
      <c r="C53" s="24">
        <v>18</v>
      </c>
      <c r="D53" s="224">
        <v>0</v>
      </c>
    </row>
    <row r="54" spans="1:8" x14ac:dyDescent="0.2">
      <c r="A54" s="106" t="s">
        <v>120</v>
      </c>
      <c r="B54" s="23" t="s">
        <v>198</v>
      </c>
      <c r="C54" s="24">
        <v>3</v>
      </c>
      <c r="D54" s="184">
        <v>3</v>
      </c>
    </row>
    <row r="55" spans="1:8" x14ac:dyDescent="0.2">
      <c r="A55" s="106" t="s">
        <v>119</v>
      </c>
      <c r="B55" s="23" t="s">
        <v>199</v>
      </c>
      <c r="C55" s="24">
        <v>1</v>
      </c>
      <c r="D55" s="184">
        <v>1</v>
      </c>
    </row>
    <row r="56" spans="1:8" x14ac:dyDescent="0.2">
      <c r="A56" s="106" t="s">
        <v>121</v>
      </c>
      <c r="B56" s="23" t="s">
        <v>200</v>
      </c>
      <c r="C56" s="24">
        <v>3</v>
      </c>
      <c r="D56" s="184">
        <v>3</v>
      </c>
    </row>
    <row r="57" spans="1:8" x14ac:dyDescent="0.2">
      <c r="A57" s="106" t="s">
        <v>122</v>
      </c>
      <c r="B57" s="182" t="s">
        <v>201</v>
      </c>
      <c r="C57" s="24">
        <v>1</v>
      </c>
      <c r="D57" s="184">
        <v>1</v>
      </c>
    </row>
    <row r="58" spans="1:8" x14ac:dyDescent="0.2">
      <c r="A58" s="106" t="s">
        <v>149</v>
      </c>
      <c r="B58" s="23" t="s">
        <v>270</v>
      </c>
      <c r="C58" s="24">
        <v>7</v>
      </c>
      <c r="D58" s="184">
        <v>7</v>
      </c>
    </row>
    <row r="59" spans="1:8" x14ac:dyDescent="0.2">
      <c r="A59" s="106" t="s">
        <v>150</v>
      </c>
      <c r="B59" s="182" t="s">
        <v>278</v>
      </c>
      <c r="C59" s="24">
        <v>6</v>
      </c>
      <c r="D59" s="184">
        <v>6</v>
      </c>
    </row>
    <row r="60" spans="1:8" x14ac:dyDescent="0.2">
      <c r="A60" s="106" t="s">
        <v>62</v>
      </c>
      <c r="B60" s="23" t="s">
        <v>104</v>
      </c>
      <c r="C60" s="24">
        <v>7</v>
      </c>
      <c r="D60" s="184">
        <v>7</v>
      </c>
    </row>
    <row r="61" spans="1:8" x14ac:dyDescent="0.2">
      <c r="A61" s="106" t="s">
        <v>63</v>
      </c>
      <c r="B61" s="23" t="s">
        <v>116</v>
      </c>
      <c r="C61" s="24">
        <v>10</v>
      </c>
      <c r="D61" s="184">
        <v>10</v>
      </c>
    </row>
    <row r="62" spans="1:8" x14ac:dyDescent="0.2">
      <c r="A62" s="106" t="s">
        <v>64</v>
      </c>
      <c r="B62" s="23" t="s">
        <v>127</v>
      </c>
      <c r="C62" s="24">
        <v>7</v>
      </c>
      <c r="D62" s="224">
        <v>0</v>
      </c>
    </row>
    <row r="63" spans="1:8" x14ac:dyDescent="0.2">
      <c r="A63" s="106" t="s">
        <v>65</v>
      </c>
      <c r="B63" s="23" t="s">
        <v>185</v>
      </c>
      <c r="C63" s="24">
        <v>9</v>
      </c>
      <c r="D63" s="184">
        <v>9</v>
      </c>
    </row>
    <row r="64" spans="1:8" x14ac:dyDescent="0.2">
      <c r="A64" s="106" t="s">
        <v>66</v>
      </c>
      <c r="B64" s="23" t="s">
        <v>187</v>
      </c>
      <c r="C64" s="24">
        <v>10</v>
      </c>
      <c r="D64" s="184">
        <v>10</v>
      </c>
    </row>
    <row r="65" spans="1:4" x14ac:dyDescent="0.2">
      <c r="A65" s="106" t="s">
        <v>67</v>
      </c>
      <c r="B65" s="23" t="s">
        <v>188</v>
      </c>
      <c r="C65" s="24">
        <v>7</v>
      </c>
      <c r="D65" s="224">
        <v>0</v>
      </c>
    </row>
    <row r="66" spans="1:4" x14ac:dyDescent="0.2">
      <c r="A66" s="106" t="s">
        <v>68</v>
      </c>
      <c r="B66" s="23" t="s">
        <v>271</v>
      </c>
      <c r="C66" s="24">
        <v>22</v>
      </c>
      <c r="D66" s="184">
        <v>22</v>
      </c>
    </row>
    <row r="67" spans="1:4" x14ac:dyDescent="0.2">
      <c r="A67" s="106" t="s">
        <v>68</v>
      </c>
      <c r="B67" s="23" t="s">
        <v>272</v>
      </c>
      <c r="C67" s="24">
        <v>14</v>
      </c>
      <c r="D67" s="184">
        <v>14</v>
      </c>
    </row>
    <row r="68" spans="1:4" x14ac:dyDescent="0.2">
      <c r="A68" s="106" t="s">
        <v>275</v>
      </c>
      <c r="B68" s="23" t="s">
        <v>273</v>
      </c>
      <c r="C68" s="24">
        <v>22</v>
      </c>
      <c r="D68" s="184">
        <v>22</v>
      </c>
    </row>
    <row r="69" spans="1:4" x14ac:dyDescent="0.2">
      <c r="A69" s="106" t="s">
        <v>275</v>
      </c>
      <c r="B69" s="23" t="s">
        <v>274</v>
      </c>
      <c r="C69" s="24">
        <v>14</v>
      </c>
      <c r="D69" s="184">
        <v>14</v>
      </c>
    </row>
    <row r="70" spans="1:4" x14ac:dyDescent="0.2">
      <c r="A70" s="106" t="s">
        <v>69</v>
      </c>
      <c r="B70" s="23" t="s">
        <v>192</v>
      </c>
      <c r="C70" s="24">
        <v>7</v>
      </c>
      <c r="D70" s="184">
        <v>7</v>
      </c>
    </row>
    <row r="71" spans="1:4" x14ac:dyDescent="0.2">
      <c r="A71" s="106" t="s">
        <v>69</v>
      </c>
      <c r="B71" s="23" t="s">
        <v>193</v>
      </c>
      <c r="C71" s="24">
        <v>6</v>
      </c>
      <c r="D71" s="224">
        <v>0</v>
      </c>
    </row>
    <row r="72" spans="1:4" x14ac:dyDescent="0.2">
      <c r="A72" s="27" t="s">
        <v>213</v>
      </c>
      <c r="B72" s="182" t="s">
        <v>343</v>
      </c>
      <c r="C72" s="24">
        <v>7</v>
      </c>
      <c r="D72" s="224">
        <v>0</v>
      </c>
    </row>
    <row r="73" spans="1:4" x14ac:dyDescent="0.2">
      <c r="A73" s="27"/>
      <c r="B73" s="23"/>
      <c r="C73" s="221">
        <v>0</v>
      </c>
      <c r="D73" s="184">
        <v>0</v>
      </c>
    </row>
    <row r="74" spans="1:4" x14ac:dyDescent="0.2">
      <c r="A74" s="27" t="s">
        <v>138</v>
      </c>
      <c r="B74" s="23" t="s">
        <v>210</v>
      </c>
      <c r="C74" s="24">
        <v>5</v>
      </c>
      <c r="D74" s="224">
        <v>0</v>
      </c>
    </row>
    <row r="75" spans="1:4" x14ac:dyDescent="0.2">
      <c r="A75" s="27"/>
      <c r="B75" s="23"/>
      <c r="C75" s="221">
        <v>0</v>
      </c>
      <c r="D75" s="184">
        <v>0</v>
      </c>
    </row>
    <row r="76" spans="1:4" x14ac:dyDescent="0.2">
      <c r="A76" s="106" t="s">
        <v>70</v>
      </c>
      <c r="B76" s="23" t="s">
        <v>197</v>
      </c>
      <c r="C76" s="24">
        <v>7</v>
      </c>
      <c r="D76" s="184">
        <v>7</v>
      </c>
    </row>
    <row r="77" spans="1:4" x14ac:dyDescent="0.2">
      <c r="A77" s="106" t="s">
        <v>70</v>
      </c>
      <c r="B77" s="23" t="s">
        <v>196</v>
      </c>
      <c r="C77" s="24">
        <v>6</v>
      </c>
      <c r="D77" s="224">
        <v>0</v>
      </c>
    </row>
    <row r="78" spans="1:4" x14ac:dyDescent="0.2">
      <c r="A78" s="106" t="s">
        <v>302</v>
      </c>
      <c r="B78" s="23" t="s">
        <v>304</v>
      </c>
      <c r="C78" s="24">
        <v>7</v>
      </c>
      <c r="D78" s="184">
        <v>7</v>
      </c>
    </row>
    <row r="79" spans="1:4" x14ac:dyDescent="0.2">
      <c r="A79" s="106" t="s">
        <v>303</v>
      </c>
      <c r="B79" s="23" t="s">
        <v>305</v>
      </c>
      <c r="C79" s="24">
        <v>6</v>
      </c>
      <c r="D79" s="224">
        <v>0</v>
      </c>
    </row>
    <row r="80" spans="1:4" x14ac:dyDescent="0.2">
      <c r="A80" s="106" t="s">
        <v>124</v>
      </c>
      <c r="B80" s="23" t="s">
        <v>194</v>
      </c>
      <c r="C80" s="24">
        <v>3</v>
      </c>
      <c r="D80" s="184">
        <v>3</v>
      </c>
    </row>
    <row r="81" spans="1:7" x14ac:dyDescent="0.2">
      <c r="A81" s="106" t="s">
        <v>125</v>
      </c>
      <c r="B81" s="23" t="s">
        <v>195</v>
      </c>
      <c r="C81" s="24">
        <v>1</v>
      </c>
      <c r="D81" s="184">
        <v>1</v>
      </c>
    </row>
    <row r="82" spans="1:7" x14ac:dyDescent="0.2">
      <c r="A82" s="106" t="s">
        <v>289</v>
      </c>
      <c r="B82" s="23" t="s">
        <v>290</v>
      </c>
      <c r="C82" s="24">
        <v>9</v>
      </c>
      <c r="D82" s="184">
        <v>9</v>
      </c>
      <c r="G82" s="10"/>
    </row>
    <row r="83" spans="1:7" x14ac:dyDescent="0.2">
      <c r="A83" s="106" t="s">
        <v>276</v>
      </c>
      <c r="B83" s="23" t="s">
        <v>78</v>
      </c>
      <c r="C83" s="24">
        <v>2</v>
      </c>
      <c r="D83" s="184">
        <v>2</v>
      </c>
    </row>
    <row r="84" spans="1:7" x14ac:dyDescent="0.2">
      <c r="A84" s="106" t="s">
        <v>277</v>
      </c>
      <c r="B84" s="182" t="s">
        <v>212</v>
      </c>
      <c r="C84" s="24">
        <v>6</v>
      </c>
      <c r="D84" s="224">
        <v>0</v>
      </c>
    </row>
    <row r="85" spans="1:7" x14ac:dyDescent="0.2">
      <c r="A85" s="9"/>
      <c r="C85" s="24"/>
      <c r="D85" s="289" t="s">
        <v>180</v>
      </c>
    </row>
    <row r="86" spans="1:7" x14ac:dyDescent="0.2">
      <c r="A86" s="106"/>
      <c r="B86" s="20" t="s">
        <v>72</v>
      </c>
      <c r="C86" s="159">
        <f>SUM(C48:C85)</f>
        <v>244</v>
      </c>
      <c r="D86" s="291">
        <f>SUM(D48:D85)</f>
        <v>175</v>
      </c>
    </row>
    <row r="87" spans="1:7" x14ac:dyDescent="0.2">
      <c r="A87" s="9"/>
      <c r="C87" s="28"/>
      <c r="D87" s="289"/>
    </row>
    <row r="88" spans="1:7" ht="13.5" thickBot="1" x14ac:dyDescent="0.25">
      <c r="A88" s="107"/>
      <c r="B88" s="265" t="s">
        <v>369</v>
      </c>
      <c r="C88" s="160">
        <f>C42+C86</f>
        <v>385</v>
      </c>
      <c r="D88" s="292"/>
    </row>
    <row r="89" spans="1:7" x14ac:dyDescent="0.2">
      <c r="C89" s="2"/>
      <c r="D89" s="288"/>
    </row>
    <row r="90" spans="1:7" x14ac:dyDescent="0.2">
      <c r="C90" s="2"/>
      <c r="D90" s="288"/>
    </row>
    <row r="91" spans="1:7" x14ac:dyDescent="0.2">
      <c r="C91" s="2"/>
      <c r="D91" s="288"/>
    </row>
    <row r="92" spans="1:7" ht="13.5" thickBot="1" x14ac:dyDescent="0.25">
      <c r="C92" s="2"/>
      <c r="D92" s="288"/>
    </row>
    <row r="93" spans="1:7" ht="18" x14ac:dyDescent="0.25">
      <c r="A93" s="266" t="s">
        <v>283</v>
      </c>
      <c r="B93" s="267"/>
      <c r="C93" s="219"/>
      <c r="D93" s="281"/>
    </row>
    <row r="94" spans="1:7" ht="18" x14ac:dyDescent="0.25">
      <c r="A94" s="99"/>
      <c r="B94" s="155" t="str">
        <f>Issue</f>
        <v>2024 Show Season V1 7/22/2024</v>
      </c>
      <c r="C94" s="100"/>
      <c r="D94" s="282"/>
    </row>
    <row r="95" spans="1:7" ht="15.75" x14ac:dyDescent="0.25">
      <c r="A95" s="4"/>
      <c r="B95" s="98" t="str">
        <f>Season</f>
        <v>2022/2023</v>
      </c>
      <c r="C95" s="5" t="str">
        <f>C4</f>
        <v>Current</v>
      </c>
      <c r="D95" s="283" t="str">
        <f>D4</f>
        <v>RESPONSIBLE</v>
      </c>
    </row>
    <row r="96" spans="1:7" x14ac:dyDescent="0.2">
      <c r="A96" s="6" t="s">
        <v>2</v>
      </c>
      <c r="B96" s="7" t="s">
        <v>3</v>
      </c>
      <c r="C96" s="8" t="s">
        <v>4</v>
      </c>
      <c r="D96" s="284" t="s">
        <v>5</v>
      </c>
    </row>
    <row r="97" spans="1:4" x14ac:dyDescent="0.2">
      <c r="A97" s="106" t="s">
        <v>6</v>
      </c>
      <c r="B97" s="226" t="s">
        <v>350</v>
      </c>
      <c r="C97" s="24">
        <v>4</v>
      </c>
      <c r="D97" s="285" t="s">
        <v>165</v>
      </c>
    </row>
    <row r="98" spans="1:4" x14ac:dyDescent="0.2">
      <c r="A98" s="106" t="s">
        <v>8</v>
      </c>
      <c r="B98" s="226" t="s">
        <v>351</v>
      </c>
      <c r="C98" s="24">
        <v>2</v>
      </c>
      <c r="D98" s="286" t="s">
        <v>165</v>
      </c>
    </row>
    <row r="99" spans="1:4" x14ac:dyDescent="0.2">
      <c r="A99" s="106"/>
      <c r="B99" s="226" t="s">
        <v>352</v>
      </c>
      <c r="C99" s="24">
        <v>2</v>
      </c>
      <c r="D99" s="286" t="s">
        <v>165</v>
      </c>
    </row>
    <row r="100" spans="1:4" x14ac:dyDescent="0.2">
      <c r="A100" s="106" t="s">
        <v>9</v>
      </c>
      <c r="B100" s="226" t="s">
        <v>364</v>
      </c>
      <c r="C100" s="24">
        <v>9</v>
      </c>
      <c r="D100" s="285" t="s">
        <v>315</v>
      </c>
    </row>
    <row r="101" spans="1:4" x14ac:dyDescent="0.2">
      <c r="A101" s="106" t="s">
        <v>10</v>
      </c>
      <c r="B101" s="226" t="s">
        <v>353</v>
      </c>
      <c r="C101" s="24">
        <v>2</v>
      </c>
      <c r="D101" s="285" t="s">
        <v>91</v>
      </c>
    </row>
    <row r="102" spans="1:4" x14ac:dyDescent="0.2">
      <c r="A102" s="106" t="s">
        <v>11</v>
      </c>
      <c r="B102" s="227"/>
      <c r="C102" s="24"/>
      <c r="D102" s="285" t="s">
        <v>12</v>
      </c>
    </row>
    <row r="103" spans="1:4" x14ac:dyDescent="0.2">
      <c r="A103" s="106" t="s">
        <v>13</v>
      </c>
      <c r="B103" s="182" t="s">
        <v>355</v>
      </c>
      <c r="C103" s="24">
        <v>6</v>
      </c>
      <c r="D103" s="285" t="s">
        <v>12</v>
      </c>
    </row>
    <row r="104" spans="1:4" x14ac:dyDescent="0.2">
      <c r="A104" s="106" t="s">
        <v>14</v>
      </c>
      <c r="B104" s="23"/>
      <c r="C104" s="24"/>
      <c r="D104" s="286" t="s">
        <v>18</v>
      </c>
    </row>
    <row r="105" spans="1:4" x14ac:dyDescent="0.2">
      <c r="A105" s="106" t="s">
        <v>16</v>
      </c>
      <c r="B105" s="23"/>
      <c r="C105" s="24"/>
      <c r="D105" s="285" t="s">
        <v>18</v>
      </c>
    </row>
    <row r="106" spans="1:4" x14ac:dyDescent="0.2">
      <c r="A106" s="106" t="s">
        <v>255</v>
      </c>
      <c r="B106" s="182" t="s">
        <v>256</v>
      </c>
      <c r="C106" s="24">
        <v>8</v>
      </c>
      <c r="D106" s="285" t="s">
        <v>18</v>
      </c>
    </row>
    <row r="107" spans="1:4" x14ac:dyDescent="0.2">
      <c r="A107" s="106" t="s">
        <v>19</v>
      </c>
      <c r="B107" s="17" t="s">
        <v>375</v>
      </c>
      <c r="C107" s="295">
        <v>10</v>
      </c>
      <c r="D107" s="286" t="s">
        <v>39</v>
      </c>
    </row>
    <row r="108" spans="1:4" x14ac:dyDescent="0.2">
      <c r="A108" s="106" t="s">
        <v>24</v>
      </c>
      <c r="B108" s="23"/>
      <c r="C108" s="24"/>
      <c r="D108" s="285" t="s">
        <v>30</v>
      </c>
    </row>
    <row r="109" spans="1:4" x14ac:dyDescent="0.2">
      <c r="A109" s="106" t="s">
        <v>26</v>
      </c>
      <c r="B109" s="228" t="s">
        <v>27</v>
      </c>
      <c r="C109" s="24">
        <v>12</v>
      </c>
      <c r="D109" s="285" t="s">
        <v>30</v>
      </c>
    </row>
    <row r="110" spans="1:4" x14ac:dyDescent="0.2">
      <c r="A110" s="106" t="s">
        <v>28</v>
      </c>
      <c r="B110" s="23" t="s">
        <v>29</v>
      </c>
      <c r="C110" s="24">
        <v>4</v>
      </c>
      <c r="D110" s="286" t="s">
        <v>41</v>
      </c>
    </row>
    <row r="111" spans="1:4" x14ac:dyDescent="0.2">
      <c r="A111" s="106" t="s">
        <v>31</v>
      </c>
      <c r="B111" s="23" t="s">
        <v>32</v>
      </c>
      <c r="C111" s="24">
        <v>12</v>
      </c>
      <c r="D111" s="286" t="s">
        <v>41</v>
      </c>
    </row>
    <row r="112" spans="1:4" x14ac:dyDescent="0.2">
      <c r="A112" s="106" t="s">
        <v>33</v>
      </c>
      <c r="B112" s="23" t="s">
        <v>145</v>
      </c>
      <c r="C112" s="24"/>
      <c r="D112" s="286" t="s">
        <v>41</v>
      </c>
    </row>
    <row r="113" spans="1:7" x14ac:dyDescent="0.2">
      <c r="A113" s="106" t="s">
        <v>35</v>
      </c>
      <c r="B113" s="23" t="s">
        <v>146</v>
      </c>
      <c r="C113" s="24"/>
      <c r="D113" s="286" t="s">
        <v>23</v>
      </c>
    </row>
    <row r="114" spans="1:7" x14ac:dyDescent="0.2">
      <c r="A114" s="106" t="s">
        <v>37</v>
      </c>
      <c r="B114" s="23" t="s">
        <v>73</v>
      </c>
      <c r="C114" s="24">
        <v>3</v>
      </c>
      <c r="D114" s="286" t="s">
        <v>267</v>
      </c>
    </row>
    <row r="115" spans="1:7" x14ac:dyDescent="0.2">
      <c r="A115" s="106" t="s">
        <v>40</v>
      </c>
      <c r="B115" s="226" t="s">
        <v>357</v>
      </c>
      <c r="C115" s="24">
        <v>6</v>
      </c>
      <c r="D115" s="286" t="s">
        <v>30</v>
      </c>
    </row>
    <row r="116" spans="1:7" x14ac:dyDescent="0.2">
      <c r="A116" s="106" t="s">
        <v>42</v>
      </c>
      <c r="B116" s="23" t="s">
        <v>43</v>
      </c>
      <c r="C116" s="24">
        <v>4</v>
      </c>
      <c r="D116" s="286" t="s">
        <v>92</v>
      </c>
    </row>
    <row r="117" spans="1:7" x14ac:dyDescent="0.2">
      <c r="A117" s="106" t="s">
        <v>45</v>
      </c>
      <c r="B117" t="s">
        <v>377</v>
      </c>
      <c r="C117" s="24">
        <v>1</v>
      </c>
      <c r="D117" s="286" t="s">
        <v>39</v>
      </c>
    </row>
    <row r="118" spans="1:7" x14ac:dyDescent="0.2">
      <c r="A118" s="181" t="s">
        <v>258</v>
      </c>
      <c r="B118" t="s">
        <v>376</v>
      </c>
      <c r="C118" s="24">
        <v>5</v>
      </c>
      <c r="D118" s="286" t="s">
        <v>39</v>
      </c>
    </row>
    <row r="119" spans="1:7" x14ac:dyDescent="0.2">
      <c r="A119" s="106" t="s">
        <v>46</v>
      </c>
      <c r="B119" s="23" t="s">
        <v>47</v>
      </c>
      <c r="C119" s="24">
        <v>1</v>
      </c>
      <c r="D119" s="286" t="s">
        <v>48</v>
      </c>
      <c r="F119" s="24"/>
      <c r="G119" s="286"/>
    </row>
    <row r="120" spans="1:7" x14ac:dyDescent="0.2">
      <c r="A120" s="106" t="s">
        <v>49</v>
      </c>
      <c r="B120" s="23" t="s">
        <v>74</v>
      </c>
      <c r="C120" s="24">
        <v>12</v>
      </c>
      <c r="D120" s="286" t="s">
        <v>92</v>
      </c>
    </row>
    <row r="121" spans="1:7" x14ac:dyDescent="0.2">
      <c r="A121" s="106" t="s">
        <v>51</v>
      </c>
      <c r="B121" s="228" t="s">
        <v>358</v>
      </c>
      <c r="C121" s="24">
        <v>1</v>
      </c>
      <c r="D121" s="286" t="s">
        <v>20</v>
      </c>
    </row>
    <row r="122" spans="1:7" x14ac:dyDescent="0.2">
      <c r="A122" s="106" t="s">
        <v>52</v>
      </c>
      <c r="B122" s="23" t="s">
        <v>53</v>
      </c>
      <c r="C122" s="24">
        <v>2</v>
      </c>
      <c r="D122" s="286" t="s">
        <v>260</v>
      </c>
    </row>
    <row r="123" spans="1:7" x14ac:dyDescent="0.2">
      <c r="A123" s="106" t="s">
        <v>54</v>
      </c>
      <c r="B123" s="182" t="s">
        <v>359</v>
      </c>
      <c r="C123" s="24">
        <v>2</v>
      </c>
      <c r="D123" s="285" t="s">
        <v>96</v>
      </c>
    </row>
    <row r="124" spans="1:7" x14ac:dyDescent="0.2">
      <c r="A124" s="106" t="s">
        <v>55</v>
      </c>
      <c r="B124" s="23"/>
      <c r="C124" s="24"/>
      <c r="D124" s="285" t="s">
        <v>30</v>
      </c>
    </row>
    <row r="125" spans="1:7" x14ac:dyDescent="0.2">
      <c r="A125" s="106" t="s">
        <v>59</v>
      </c>
      <c r="B125" s="226" t="s">
        <v>360</v>
      </c>
      <c r="C125" s="24">
        <v>11</v>
      </c>
      <c r="D125" s="285" t="s">
        <v>30</v>
      </c>
    </row>
    <row r="126" spans="1:7" x14ac:dyDescent="0.2">
      <c r="A126" s="106" t="s">
        <v>79</v>
      </c>
      <c r="B126" s="23"/>
      <c r="C126" s="29">
        <v>5</v>
      </c>
      <c r="D126" s="285" t="s">
        <v>39</v>
      </c>
    </row>
    <row r="127" spans="1:7" x14ac:dyDescent="0.2">
      <c r="A127" s="106" t="s">
        <v>237</v>
      </c>
      <c r="B127" s="23" t="s">
        <v>238</v>
      </c>
      <c r="C127" s="24">
        <v>1</v>
      </c>
      <c r="D127" s="285" t="s">
        <v>95</v>
      </c>
    </row>
    <row r="128" spans="1:7" x14ac:dyDescent="0.2">
      <c r="A128" s="106" t="s">
        <v>239</v>
      </c>
      <c r="B128" s="23" t="s">
        <v>240</v>
      </c>
      <c r="C128" s="24">
        <v>1</v>
      </c>
      <c r="D128" s="285" t="s">
        <v>267</v>
      </c>
    </row>
    <row r="129" spans="1:4" x14ac:dyDescent="0.2">
      <c r="A129" s="180"/>
      <c r="C129" s="2"/>
      <c r="D129" s="282"/>
    </row>
    <row r="130" spans="1:4" ht="13.5" thickBot="1" x14ac:dyDescent="0.25">
      <c r="A130" s="109"/>
      <c r="B130" s="108" t="s">
        <v>75</v>
      </c>
      <c r="C130" s="160">
        <f>SUM(C96:C129)</f>
        <v>126</v>
      </c>
      <c r="D130" s="287"/>
    </row>
    <row r="131" spans="1:4" x14ac:dyDescent="0.2">
      <c r="A131" s="2"/>
      <c r="C131" s="2"/>
      <c r="D131" s="288"/>
    </row>
    <row r="132" spans="1:4" ht="13.5" thickBot="1" x14ac:dyDescent="0.25">
      <c r="A132" s="2"/>
      <c r="C132" s="2"/>
      <c r="D132" s="288"/>
    </row>
    <row r="133" spans="1:4" ht="18" x14ac:dyDescent="0.25">
      <c r="A133" s="266" t="s">
        <v>284</v>
      </c>
      <c r="B133" s="219"/>
      <c r="C133" s="219"/>
      <c r="D133" s="281"/>
    </row>
    <row r="134" spans="1:4" x14ac:dyDescent="0.2">
      <c r="A134" s="9"/>
      <c r="B134" s="155" t="str">
        <f>Issue</f>
        <v>2024 Show Season V1 7/22/2024</v>
      </c>
      <c r="C134" s="2"/>
      <c r="D134" s="282"/>
    </row>
    <row r="135" spans="1:4" ht="15.75" x14ac:dyDescent="0.25">
      <c r="A135" s="13"/>
      <c r="B135" s="98" t="str">
        <f>Season</f>
        <v>2022/2023</v>
      </c>
      <c r="C135" s="2"/>
      <c r="D135" s="282"/>
    </row>
    <row r="136" spans="1:4" x14ac:dyDescent="0.2">
      <c r="A136" s="13"/>
      <c r="C136" s="2" t="s">
        <v>60</v>
      </c>
      <c r="D136" s="289" t="s">
        <v>183</v>
      </c>
    </row>
    <row r="137" spans="1:4" x14ac:dyDescent="0.2">
      <c r="A137" s="6" t="s">
        <v>2</v>
      </c>
      <c r="B137" s="7" t="s">
        <v>3</v>
      </c>
      <c r="C137" s="11" t="s">
        <v>4</v>
      </c>
      <c r="D137" s="290" t="s">
        <v>184</v>
      </c>
    </row>
    <row r="138" spans="1:4" x14ac:dyDescent="0.2">
      <c r="A138" s="203" t="s">
        <v>58</v>
      </c>
      <c r="B138" s="23" t="s">
        <v>179</v>
      </c>
      <c r="C138" s="24">
        <v>5</v>
      </c>
      <c r="D138" s="224">
        <v>10</v>
      </c>
    </row>
    <row r="139" spans="1:4" x14ac:dyDescent="0.2">
      <c r="A139" s="27" t="s">
        <v>61</v>
      </c>
      <c r="B139" s="23" t="s">
        <v>189</v>
      </c>
      <c r="C139" s="24">
        <v>6</v>
      </c>
      <c r="D139" s="224">
        <v>0</v>
      </c>
    </row>
    <row r="140" spans="1:4" x14ac:dyDescent="0.2">
      <c r="A140" s="27" t="s">
        <v>287</v>
      </c>
      <c r="B140" s="182" t="s">
        <v>288</v>
      </c>
      <c r="C140" s="24">
        <v>18</v>
      </c>
      <c r="D140" s="224">
        <v>0</v>
      </c>
    </row>
    <row r="141" spans="1:4" x14ac:dyDescent="0.2">
      <c r="A141" s="27" t="s">
        <v>120</v>
      </c>
      <c r="B141" s="23" t="s">
        <v>198</v>
      </c>
      <c r="C141" s="24">
        <v>3</v>
      </c>
      <c r="D141" s="184">
        <v>3</v>
      </c>
    </row>
    <row r="142" spans="1:4" x14ac:dyDescent="0.2">
      <c r="A142" s="27" t="s">
        <v>119</v>
      </c>
      <c r="B142" s="23" t="s">
        <v>199</v>
      </c>
      <c r="C142" s="24">
        <v>1</v>
      </c>
      <c r="D142" s="184">
        <v>1</v>
      </c>
    </row>
    <row r="143" spans="1:4" x14ac:dyDescent="0.2">
      <c r="A143" s="27" t="s">
        <v>121</v>
      </c>
      <c r="B143" s="23" t="s">
        <v>200</v>
      </c>
      <c r="C143" s="24">
        <v>3</v>
      </c>
      <c r="D143" s="184">
        <v>3</v>
      </c>
    </row>
    <row r="144" spans="1:4" x14ac:dyDescent="0.2">
      <c r="A144" s="27" t="s">
        <v>122</v>
      </c>
      <c r="B144" s="23" t="s">
        <v>201</v>
      </c>
      <c r="C144" s="24">
        <v>1</v>
      </c>
      <c r="D144" s="184">
        <v>1</v>
      </c>
    </row>
    <row r="145" spans="1:4" x14ac:dyDescent="0.2">
      <c r="A145" s="27" t="s">
        <v>149</v>
      </c>
      <c r="B145" s="23" t="s">
        <v>202</v>
      </c>
      <c r="C145" s="24">
        <v>7</v>
      </c>
      <c r="D145" s="184">
        <v>7</v>
      </c>
    </row>
    <row r="146" spans="1:4" x14ac:dyDescent="0.2">
      <c r="A146" s="27" t="s">
        <v>150</v>
      </c>
      <c r="B146" s="23" t="s">
        <v>203</v>
      </c>
      <c r="C146" s="24">
        <v>6</v>
      </c>
      <c r="D146" s="184">
        <v>6</v>
      </c>
    </row>
    <row r="147" spans="1:4" x14ac:dyDescent="0.2">
      <c r="A147" s="27" t="s">
        <v>62</v>
      </c>
      <c r="B147" s="23" t="s">
        <v>104</v>
      </c>
      <c r="C147" s="24">
        <v>7</v>
      </c>
      <c r="D147" s="184">
        <v>7</v>
      </c>
    </row>
    <row r="148" spans="1:4" x14ac:dyDescent="0.2">
      <c r="A148" s="27" t="s">
        <v>63</v>
      </c>
      <c r="B148" s="23" t="s">
        <v>116</v>
      </c>
      <c r="C148" s="24">
        <v>10</v>
      </c>
      <c r="D148" s="184">
        <v>10</v>
      </c>
    </row>
    <row r="149" spans="1:4" x14ac:dyDescent="0.2">
      <c r="A149" s="27" t="s">
        <v>64</v>
      </c>
      <c r="B149" s="23" t="s">
        <v>127</v>
      </c>
      <c r="C149" s="24">
        <v>7</v>
      </c>
      <c r="D149" s="184">
        <v>7</v>
      </c>
    </row>
    <row r="150" spans="1:4" x14ac:dyDescent="0.2">
      <c r="A150" s="27" t="s">
        <v>117</v>
      </c>
      <c r="B150" s="23" t="s">
        <v>190</v>
      </c>
      <c r="C150" s="24">
        <v>4</v>
      </c>
      <c r="D150" s="224">
        <v>0</v>
      </c>
    </row>
    <row r="151" spans="1:4" x14ac:dyDescent="0.2">
      <c r="A151" s="27" t="s">
        <v>123</v>
      </c>
      <c r="B151" s="23" t="s">
        <v>191</v>
      </c>
      <c r="C151" s="24">
        <v>3</v>
      </c>
      <c r="D151" s="224">
        <v>0</v>
      </c>
    </row>
    <row r="152" spans="1:4" x14ac:dyDescent="0.2">
      <c r="A152" s="27" t="s">
        <v>65</v>
      </c>
      <c r="B152" s="23" t="s">
        <v>185</v>
      </c>
      <c r="C152" s="24">
        <v>9</v>
      </c>
      <c r="D152" s="184">
        <v>9</v>
      </c>
    </row>
    <row r="153" spans="1:4" x14ac:dyDescent="0.2">
      <c r="A153" s="27" t="s">
        <v>66</v>
      </c>
      <c r="B153" s="23" t="s">
        <v>187</v>
      </c>
      <c r="C153" s="24">
        <v>10</v>
      </c>
      <c r="D153" s="184">
        <v>10</v>
      </c>
    </row>
    <row r="154" spans="1:4" x14ac:dyDescent="0.2">
      <c r="A154" s="27" t="s">
        <v>67</v>
      </c>
      <c r="B154" s="23" t="s">
        <v>188</v>
      </c>
      <c r="C154" s="24">
        <v>7</v>
      </c>
      <c r="D154" s="184">
        <v>7</v>
      </c>
    </row>
    <row r="155" spans="1:4" x14ac:dyDescent="0.2">
      <c r="A155" s="27" t="s">
        <v>76</v>
      </c>
      <c r="B155" s="23" t="s">
        <v>204</v>
      </c>
      <c r="C155" s="24">
        <v>22</v>
      </c>
      <c r="D155" s="184">
        <v>22</v>
      </c>
    </row>
    <row r="156" spans="1:4" x14ac:dyDescent="0.2">
      <c r="A156" s="27" t="s">
        <v>76</v>
      </c>
      <c r="B156" s="23" t="s">
        <v>205</v>
      </c>
      <c r="C156" s="24">
        <v>14</v>
      </c>
      <c r="D156" s="184">
        <v>14</v>
      </c>
    </row>
    <row r="157" spans="1:4" x14ac:dyDescent="0.2">
      <c r="A157" s="27" t="s">
        <v>77</v>
      </c>
      <c r="B157" s="23" t="s">
        <v>206</v>
      </c>
      <c r="C157" s="24">
        <v>22</v>
      </c>
      <c r="D157" s="184">
        <v>22</v>
      </c>
    </row>
    <row r="158" spans="1:4" x14ac:dyDescent="0.2">
      <c r="A158" s="27" t="s">
        <v>77</v>
      </c>
      <c r="B158" s="23" t="s">
        <v>207</v>
      </c>
      <c r="C158" s="24">
        <v>14</v>
      </c>
      <c r="D158" s="184">
        <v>14</v>
      </c>
    </row>
    <row r="159" spans="1:4" x14ac:dyDescent="0.2">
      <c r="A159" s="27" t="s">
        <v>135</v>
      </c>
      <c r="B159" s="23" t="s">
        <v>192</v>
      </c>
      <c r="C159" s="24">
        <v>7</v>
      </c>
      <c r="D159" s="224">
        <v>0</v>
      </c>
    </row>
    <row r="160" spans="1:4" x14ac:dyDescent="0.2">
      <c r="A160" s="27" t="s">
        <v>136</v>
      </c>
      <c r="B160" s="23" t="s">
        <v>193</v>
      </c>
      <c r="C160" s="24">
        <v>6</v>
      </c>
      <c r="D160" s="184">
        <v>6</v>
      </c>
    </row>
    <row r="161" spans="1:4" x14ac:dyDescent="0.2">
      <c r="A161" s="27" t="s">
        <v>213</v>
      </c>
      <c r="B161" s="23" t="s">
        <v>208</v>
      </c>
      <c r="C161" s="24">
        <v>7</v>
      </c>
      <c r="D161" s="224">
        <v>0</v>
      </c>
    </row>
    <row r="162" spans="1:4" x14ac:dyDescent="0.2">
      <c r="A162" s="27" t="s">
        <v>214</v>
      </c>
      <c r="B162" s="23" t="s">
        <v>209</v>
      </c>
      <c r="C162" s="221">
        <v>0</v>
      </c>
      <c r="D162" s="184">
        <v>0</v>
      </c>
    </row>
    <row r="163" spans="1:4" x14ac:dyDescent="0.2">
      <c r="A163" s="27" t="s">
        <v>138</v>
      </c>
      <c r="B163" s="23" t="s">
        <v>210</v>
      </c>
      <c r="C163" s="24">
        <v>5</v>
      </c>
      <c r="D163" s="224">
        <v>0</v>
      </c>
    </row>
    <row r="164" spans="1:4" x14ac:dyDescent="0.2">
      <c r="A164" s="27" t="s">
        <v>139</v>
      </c>
      <c r="B164" s="23" t="s">
        <v>211</v>
      </c>
      <c r="C164" s="221">
        <v>0</v>
      </c>
      <c r="D164" s="184">
        <v>0</v>
      </c>
    </row>
    <row r="165" spans="1:4" x14ac:dyDescent="0.2">
      <c r="A165" s="27" t="s">
        <v>70</v>
      </c>
      <c r="B165" s="23" t="s">
        <v>197</v>
      </c>
      <c r="C165" s="24">
        <v>7</v>
      </c>
      <c r="D165" s="184">
        <v>7</v>
      </c>
    </row>
    <row r="166" spans="1:4" x14ac:dyDescent="0.2">
      <c r="A166" s="27" t="s">
        <v>70</v>
      </c>
      <c r="B166" s="23" t="s">
        <v>196</v>
      </c>
      <c r="C166" s="24">
        <v>6</v>
      </c>
      <c r="D166" s="184">
        <v>6</v>
      </c>
    </row>
    <row r="167" spans="1:4" x14ac:dyDescent="0.2">
      <c r="A167" s="27" t="s">
        <v>302</v>
      </c>
      <c r="B167" s="23" t="s">
        <v>304</v>
      </c>
      <c r="C167" s="24">
        <v>7</v>
      </c>
      <c r="D167" s="224">
        <v>0</v>
      </c>
    </row>
    <row r="168" spans="1:4" x14ac:dyDescent="0.2">
      <c r="A168" s="27" t="s">
        <v>303</v>
      </c>
      <c r="B168" s="182" t="s">
        <v>305</v>
      </c>
      <c r="C168" s="24">
        <v>6</v>
      </c>
      <c r="D168" s="184">
        <v>6</v>
      </c>
    </row>
    <row r="169" spans="1:4" x14ac:dyDescent="0.2">
      <c r="A169" s="27" t="s">
        <v>140</v>
      </c>
      <c r="B169" s="23" t="s">
        <v>194</v>
      </c>
      <c r="C169" s="24">
        <v>3</v>
      </c>
      <c r="D169" s="184">
        <v>3</v>
      </c>
    </row>
    <row r="170" spans="1:4" x14ac:dyDescent="0.2">
      <c r="A170" s="27" t="s">
        <v>141</v>
      </c>
      <c r="B170" s="23" t="s">
        <v>195</v>
      </c>
      <c r="C170" s="24">
        <v>1</v>
      </c>
      <c r="D170" s="184">
        <v>1</v>
      </c>
    </row>
    <row r="171" spans="1:4" x14ac:dyDescent="0.2">
      <c r="A171" s="27" t="s">
        <v>289</v>
      </c>
      <c r="B171" s="23" t="s">
        <v>290</v>
      </c>
      <c r="C171" s="24">
        <v>9</v>
      </c>
      <c r="D171" s="184">
        <v>9</v>
      </c>
    </row>
    <row r="172" spans="1:4" x14ac:dyDescent="0.2">
      <c r="A172" s="27" t="s">
        <v>71</v>
      </c>
      <c r="B172" s="23" t="s">
        <v>78</v>
      </c>
      <c r="C172" s="24">
        <v>2</v>
      </c>
      <c r="D172" s="184">
        <v>2</v>
      </c>
    </row>
    <row r="173" spans="1:4" x14ac:dyDescent="0.2">
      <c r="A173" s="27" t="s">
        <v>95</v>
      </c>
      <c r="B173" s="23" t="s">
        <v>212</v>
      </c>
      <c r="C173" s="24">
        <v>6</v>
      </c>
      <c r="D173" s="184">
        <v>6</v>
      </c>
    </row>
    <row r="174" spans="1:4" x14ac:dyDescent="0.2">
      <c r="A174" s="110"/>
      <c r="C174" s="2"/>
      <c r="D174" s="293" t="s">
        <v>180</v>
      </c>
    </row>
    <row r="175" spans="1:4" x14ac:dyDescent="0.2">
      <c r="A175" s="106"/>
      <c r="B175" s="20" t="s">
        <v>72</v>
      </c>
      <c r="C175" s="159">
        <f>SUM(C137:C174)</f>
        <v>251</v>
      </c>
      <c r="D175" s="291">
        <f>SUM(D137:D174)</f>
        <v>199</v>
      </c>
    </row>
    <row r="176" spans="1:4" x14ac:dyDescent="0.2">
      <c r="A176" s="4"/>
      <c r="C176" s="2"/>
      <c r="D176" s="289"/>
    </row>
    <row r="177" spans="1:4" x14ac:dyDescent="0.2">
      <c r="A177" s="27"/>
      <c r="B177" s="30" t="s">
        <v>80</v>
      </c>
      <c r="C177" s="159">
        <f>C130+C175</f>
        <v>377</v>
      </c>
      <c r="D177" s="291"/>
    </row>
    <row r="178" spans="1:4" x14ac:dyDescent="0.2">
      <c r="A178" s="4"/>
      <c r="C178" s="2"/>
      <c r="D178" s="289"/>
    </row>
    <row r="179" spans="1:4" ht="13.5" thickBot="1" x14ac:dyDescent="0.25">
      <c r="A179" s="107"/>
      <c r="B179" s="111" t="s">
        <v>137</v>
      </c>
      <c r="C179" s="160">
        <f>C88+C177</f>
        <v>762</v>
      </c>
      <c r="D179" s="292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4" max="16383" man="1"/>
    <brk id="132" max="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2"/>
  <sheetViews>
    <sheetView workbookViewId="0">
      <selection activeCell="J9" sqref="J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65" t="s">
        <v>279</v>
      </c>
      <c r="B1" s="65"/>
      <c r="C1" s="65"/>
      <c r="D1" s="65"/>
      <c r="E1" s="65"/>
      <c r="F1" s="65"/>
      <c r="G1" s="66"/>
      <c r="H1" s="67"/>
      <c r="I1" s="67"/>
      <c r="J1" s="67"/>
      <c r="K1" s="67"/>
      <c r="L1" s="67"/>
      <c r="M1" s="67" t="s">
        <v>233</v>
      </c>
      <c r="N1" s="64" t="str">
        <f>Issue</f>
        <v>2024 Show Season V1 7/22/2024</v>
      </c>
      <c r="O1" s="64"/>
      <c r="P1" s="64"/>
      <c r="Q1" s="64"/>
      <c r="R1" s="66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</row>
    <row r="2" spans="1:51" ht="15.75" x14ac:dyDescent="0.25">
      <c r="A2" s="65" t="s">
        <v>280</v>
      </c>
      <c r="B2" s="65"/>
      <c r="C2" s="65"/>
      <c r="D2" s="65"/>
      <c r="E2" s="65"/>
      <c r="F2" s="65"/>
      <c r="G2" s="66"/>
      <c r="H2" s="68"/>
      <c r="I2" s="69"/>
      <c r="J2" s="68"/>
      <c r="K2" s="68"/>
      <c r="L2" s="68"/>
      <c r="M2" s="68"/>
      <c r="N2" s="64"/>
      <c r="O2" s="64"/>
      <c r="P2" s="64"/>
      <c r="Q2" s="64"/>
      <c r="R2" s="66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10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72" t="s">
        <v>308</v>
      </c>
      <c r="B3" s="200"/>
      <c r="C3" s="200"/>
      <c r="D3" s="200"/>
      <c r="E3" s="200"/>
      <c r="F3" s="200"/>
      <c r="G3" s="66"/>
      <c r="H3" s="68"/>
      <c r="I3" s="69"/>
      <c r="J3" s="157" t="s">
        <v>142</v>
      </c>
      <c r="K3" s="71"/>
      <c r="L3" s="70"/>
      <c r="M3" s="70"/>
      <c r="N3" s="64"/>
      <c r="O3" s="64"/>
      <c r="P3" s="64"/>
      <c r="Q3" s="64"/>
      <c r="R3" s="66"/>
      <c r="S3" s="16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51" ht="15.75" x14ac:dyDescent="0.25">
      <c r="A4" s="67"/>
      <c r="B4" s="67"/>
      <c r="C4" s="67"/>
      <c r="D4" s="67"/>
      <c r="E4" s="67"/>
      <c r="F4" s="67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6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</row>
    <row r="5" spans="1:51" ht="16.5" thickBot="1" x14ac:dyDescent="0.3">
      <c r="A5" s="55" t="str">
        <f>A3</f>
        <v>Friday 9/29/2023</v>
      </c>
      <c r="B5" s="199" t="s">
        <v>106</v>
      </c>
      <c r="C5" s="199" t="s">
        <v>107</v>
      </c>
      <c r="D5" s="205" t="s">
        <v>108</v>
      </c>
      <c r="E5" s="199" t="s">
        <v>109</v>
      </c>
      <c r="F5" s="199" t="s">
        <v>110</v>
      </c>
      <c r="G5" s="56" t="s">
        <v>111</v>
      </c>
      <c r="H5" s="56" t="s">
        <v>112</v>
      </c>
      <c r="I5" s="56" t="s">
        <v>113</v>
      </c>
      <c r="J5" s="56" t="s">
        <v>114</v>
      </c>
      <c r="K5" s="56" t="s">
        <v>115</v>
      </c>
      <c r="L5" s="56" t="s">
        <v>126</v>
      </c>
      <c r="M5" s="56" t="s">
        <v>151</v>
      </c>
      <c r="N5" s="56" t="s">
        <v>106</v>
      </c>
      <c r="O5" s="56" t="s">
        <v>107</v>
      </c>
      <c r="P5" s="56" t="s">
        <v>108</v>
      </c>
      <c r="Q5" s="56" t="s">
        <v>152</v>
      </c>
      <c r="R5" s="66"/>
      <c r="S5" s="16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</row>
    <row r="6" spans="1:51" ht="15.75" x14ac:dyDescent="0.25">
      <c r="A6" s="57" t="s">
        <v>179</v>
      </c>
      <c r="B6" s="41" t="s">
        <v>41</v>
      </c>
      <c r="C6" s="41" t="s">
        <v>41</v>
      </c>
      <c r="D6" s="41" t="s">
        <v>41</v>
      </c>
      <c r="E6" s="41" t="s">
        <v>41</v>
      </c>
      <c r="F6" s="41" t="s">
        <v>41</v>
      </c>
      <c r="G6" s="41" t="s">
        <v>41</v>
      </c>
      <c r="H6" s="41" t="s">
        <v>41</v>
      </c>
      <c r="I6" s="41" t="s">
        <v>41</v>
      </c>
      <c r="J6" s="41" t="s">
        <v>41</v>
      </c>
      <c r="K6" s="41" t="s">
        <v>41</v>
      </c>
      <c r="L6" s="37"/>
      <c r="M6" s="37"/>
      <c r="N6" s="37"/>
      <c r="O6" s="37"/>
      <c r="P6" s="37"/>
      <c r="Q6" s="162"/>
      <c r="R6" s="158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</row>
    <row r="7" spans="1:51" ht="15" x14ac:dyDescent="0.2">
      <c r="A7" s="58" t="s">
        <v>290</v>
      </c>
      <c r="B7" s="58"/>
      <c r="C7" s="58"/>
      <c r="D7" s="183" t="s">
        <v>23</v>
      </c>
      <c r="E7" s="208" t="s">
        <v>23</v>
      </c>
      <c r="F7" s="208" t="s">
        <v>23</v>
      </c>
      <c r="G7" s="208" t="s">
        <v>23</v>
      </c>
      <c r="H7" s="208" t="s">
        <v>23</v>
      </c>
      <c r="I7" s="208" t="s">
        <v>23</v>
      </c>
      <c r="J7" s="208" t="s">
        <v>23</v>
      </c>
      <c r="K7" s="208" t="s">
        <v>23</v>
      </c>
      <c r="L7" s="183" t="s">
        <v>23</v>
      </c>
      <c r="M7" s="183"/>
      <c r="N7" s="37"/>
      <c r="O7" s="37"/>
      <c r="P7" s="37"/>
      <c r="Q7" s="162"/>
      <c r="R7" s="66"/>
      <c r="S7" s="16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Y7" s="16"/>
    </row>
    <row r="8" spans="1:51" ht="15" x14ac:dyDescent="0.2">
      <c r="A8" s="58" t="s">
        <v>361</v>
      </c>
      <c r="B8" s="58"/>
      <c r="C8" s="58"/>
      <c r="D8" s="58"/>
      <c r="E8" s="183" t="s">
        <v>44</v>
      </c>
      <c r="F8" s="183" t="s">
        <v>44</v>
      </c>
      <c r="G8" s="208" t="s">
        <v>96</v>
      </c>
      <c r="H8" s="208" t="s">
        <v>96</v>
      </c>
      <c r="I8" s="208" t="s">
        <v>95</v>
      </c>
      <c r="J8" s="208" t="s">
        <v>94</v>
      </c>
      <c r="K8" s="208" t="s">
        <v>94</v>
      </c>
      <c r="L8" s="208" t="s">
        <v>94</v>
      </c>
      <c r="M8" s="183" t="s">
        <v>85</v>
      </c>
      <c r="N8" s="37"/>
      <c r="O8" s="37"/>
      <c r="P8" s="37"/>
      <c r="Q8" s="162"/>
      <c r="R8" s="66"/>
      <c r="S8" s="16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Y8" s="16"/>
    </row>
    <row r="9" spans="1:51" ht="15" x14ac:dyDescent="0.2">
      <c r="A9" s="58" t="s">
        <v>361</v>
      </c>
      <c r="B9" s="58"/>
      <c r="C9" s="58"/>
      <c r="D9" s="58"/>
      <c r="E9" s="259" t="s">
        <v>315</v>
      </c>
      <c r="F9" s="259" t="s">
        <v>315</v>
      </c>
      <c r="G9" s="208" t="s">
        <v>48</v>
      </c>
      <c r="H9" s="208" t="s">
        <v>48</v>
      </c>
      <c r="I9" s="268" t="s">
        <v>18</v>
      </c>
      <c r="J9" s="268" t="s">
        <v>18</v>
      </c>
      <c r="K9" s="208" t="s">
        <v>85</v>
      </c>
      <c r="L9" s="183" t="s">
        <v>20</v>
      </c>
      <c r="M9" s="223" t="s">
        <v>44</v>
      </c>
      <c r="N9" s="37"/>
      <c r="O9" s="37"/>
      <c r="P9" s="37"/>
      <c r="Q9" s="162"/>
      <c r="R9" s="66"/>
      <c r="S9" s="16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Y9" s="16"/>
    </row>
    <row r="10" spans="1:51" ht="15" x14ac:dyDescent="0.2">
      <c r="A10" s="59" t="s">
        <v>104</v>
      </c>
      <c r="B10" s="197"/>
      <c r="C10" s="197"/>
      <c r="D10" s="197"/>
      <c r="E10" s="197"/>
      <c r="F10" s="197"/>
      <c r="G10" s="35"/>
      <c r="H10" s="35"/>
      <c r="I10" s="40" t="s">
        <v>91</v>
      </c>
      <c r="J10" s="40" t="s">
        <v>91</v>
      </c>
      <c r="K10" s="40" t="s">
        <v>91</v>
      </c>
      <c r="L10" s="40" t="s">
        <v>91</v>
      </c>
      <c r="M10" s="40" t="s">
        <v>91</v>
      </c>
      <c r="N10" s="209" t="s">
        <v>91</v>
      </c>
      <c r="O10" s="209" t="s">
        <v>91</v>
      </c>
      <c r="P10" s="195"/>
      <c r="Q10" s="163"/>
      <c r="R10" s="66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10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6"/>
    </row>
    <row r="11" spans="1:51" ht="15" x14ac:dyDescent="0.2">
      <c r="A11" s="59" t="s">
        <v>185</v>
      </c>
      <c r="B11" s="197"/>
      <c r="C11" s="197"/>
      <c r="D11" s="197"/>
      <c r="E11" s="197"/>
      <c r="F11" s="197"/>
      <c r="G11" s="210" t="s">
        <v>44</v>
      </c>
      <c r="H11" s="210" t="s">
        <v>44</v>
      </c>
      <c r="I11" s="40" t="s">
        <v>44</v>
      </c>
      <c r="J11" s="40" t="s">
        <v>44</v>
      </c>
      <c r="K11" s="40" t="s">
        <v>48</v>
      </c>
      <c r="L11" s="40" t="s">
        <v>48</v>
      </c>
      <c r="M11" s="40" t="s">
        <v>48</v>
      </c>
      <c r="N11" s="41" t="s">
        <v>48</v>
      </c>
      <c r="O11" s="41" t="s">
        <v>48</v>
      </c>
      <c r="P11" s="194"/>
      <c r="Q11" s="163"/>
      <c r="R11" s="66"/>
      <c r="S11" s="16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Y11" s="16"/>
    </row>
    <row r="12" spans="1:51" ht="15" x14ac:dyDescent="0.2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Y12" s="16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G19" sqref="G19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7" bestFit="1" customWidth="1"/>
  </cols>
  <sheetData>
    <row r="1" spans="1:43" ht="15.75" x14ac:dyDescent="0.25">
      <c r="A1" s="65" t="s">
        <v>279</v>
      </c>
      <c r="B1" s="66"/>
      <c r="C1" s="65"/>
      <c r="D1" s="65"/>
      <c r="E1" s="65"/>
      <c r="F1" s="65"/>
      <c r="G1" s="65"/>
      <c r="H1" s="65" t="s">
        <v>233</v>
      </c>
      <c r="I1" s="64" t="str">
        <f>Issue</f>
        <v>2024 Show Season V1 7/22/2024</v>
      </c>
      <c r="J1" s="64"/>
      <c r="K1" s="64"/>
      <c r="L1" s="64"/>
      <c r="M1" s="66"/>
    </row>
    <row r="2" spans="1:43" ht="15.75" x14ac:dyDescent="0.25">
      <c r="A2" s="65" t="s">
        <v>280</v>
      </c>
      <c r="B2" s="68"/>
      <c r="C2" s="64"/>
      <c r="D2" s="64"/>
      <c r="E2" s="64"/>
      <c r="F2" s="64"/>
      <c r="G2" s="64"/>
      <c r="H2" s="64"/>
      <c r="I2" s="64"/>
      <c r="J2" s="64"/>
      <c r="K2" s="64"/>
      <c r="L2" s="64"/>
      <c r="M2" s="6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0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72" t="s">
        <v>309</v>
      </c>
      <c r="B3" s="64"/>
      <c r="C3" s="64"/>
      <c r="D3" s="64"/>
      <c r="E3" s="157" t="s">
        <v>143</v>
      </c>
      <c r="F3" s="70"/>
      <c r="G3" s="70"/>
      <c r="H3" s="64"/>
      <c r="I3" s="64"/>
      <c r="J3" s="64"/>
      <c r="K3" s="64"/>
      <c r="L3" s="64"/>
      <c r="M3" s="66"/>
      <c r="N3" s="16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</row>
    <row r="4" spans="1:43" ht="15.75" x14ac:dyDescent="0.25">
      <c r="A4" s="67"/>
      <c r="B4" s="64"/>
      <c r="C4" s="64"/>
      <c r="D4" s="64"/>
      <c r="E4" s="64"/>
      <c r="F4" s="64"/>
      <c r="G4" s="64"/>
      <c r="H4" s="64"/>
      <c r="I4" s="64"/>
      <c r="J4" s="64"/>
      <c r="K4" s="64"/>
      <c r="L4" s="75"/>
      <c r="M4" s="66"/>
      <c r="N4" s="16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</row>
    <row r="5" spans="1:43" ht="16.5" thickBot="1" x14ac:dyDescent="0.3">
      <c r="A5" s="55" t="str">
        <f>A3</f>
        <v>Saturday 9/30/2023</v>
      </c>
      <c r="B5" s="61" t="s">
        <v>106</v>
      </c>
      <c r="C5" s="61" t="s">
        <v>107</v>
      </c>
      <c r="D5" s="61" t="s">
        <v>108</v>
      </c>
      <c r="E5" s="56" t="s">
        <v>109</v>
      </c>
      <c r="F5" s="56" t="s">
        <v>110</v>
      </c>
      <c r="G5" s="56" t="s">
        <v>111</v>
      </c>
      <c r="H5" s="56" t="s">
        <v>112</v>
      </c>
      <c r="I5" s="56" t="s">
        <v>113</v>
      </c>
      <c r="J5" s="56" t="s">
        <v>114</v>
      </c>
      <c r="K5" s="56" t="s">
        <v>115</v>
      </c>
      <c r="L5" s="61" t="s">
        <v>126</v>
      </c>
      <c r="M5" s="66"/>
      <c r="N5" s="16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</row>
    <row r="6" spans="1:43" ht="15" x14ac:dyDescent="0.2">
      <c r="A6" s="57" t="s">
        <v>361</v>
      </c>
      <c r="B6" s="41" t="s">
        <v>90</v>
      </c>
      <c r="C6" s="41" t="s">
        <v>48</v>
      </c>
      <c r="D6" s="16" t="s">
        <v>44</v>
      </c>
      <c r="E6" s="37"/>
      <c r="F6" s="37"/>
      <c r="G6" s="37"/>
      <c r="H6" s="37"/>
      <c r="I6" s="37"/>
      <c r="J6" s="37"/>
      <c r="K6" s="37"/>
      <c r="L6" s="38"/>
      <c r="M6" s="66"/>
      <c r="N6" s="16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</row>
    <row r="7" spans="1:43" ht="15" x14ac:dyDescent="0.2">
      <c r="A7" s="58" t="s">
        <v>361</v>
      </c>
      <c r="B7" s="41" t="s">
        <v>7</v>
      </c>
      <c r="C7" s="41" t="s">
        <v>7</v>
      </c>
      <c r="D7" s="16" t="s">
        <v>44</v>
      </c>
      <c r="E7" s="37"/>
      <c r="F7" s="37"/>
      <c r="G7" s="37"/>
      <c r="H7" s="37"/>
      <c r="I7" s="37"/>
      <c r="J7" s="37"/>
      <c r="K7" s="37"/>
      <c r="L7" s="38"/>
      <c r="M7" s="66"/>
      <c r="N7" s="16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</row>
    <row r="8" spans="1:43" ht="15" x14ac:dyDescent="0.2">
      <c r="A8" s="59" t="s">
        <v>198</v>
      </c>
      <c r="B8" s="40" t="s">
        <v>101</v>
      </c>
      <c r="C8" s="40" t="s">
        <v>96</v>
      </c>
      <c r="D8" s="210" t="s">
        <v>12</v>
      </c>
      <c r="E8" s="35"/>
      <c r="F8" s="35"/>
      <c r="G8" s="35"/>
      <c r="H8" s="35"/>
      <c r="I8" s="35"/>
      <c r="J8" s="35"/>
      <c r="K8" s="35"/>
      <c r="L8" s="36"/>
      <c r="M8" s="66"/>
      <c r="N8" s="16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3" ht="15" x14ac:dyDescent="0.2">
      <c r="A9" s="58" t="s">
        <v>200</v>
      </c>
      <c r="B9" s="41" t="s">
        <v>94</v>
      </c>
      <c r="C9" s="41" t="s">
        <v>94</v>
      </c>
      <c r="D9" s="40" t="s">
        <v>94</v>
      </c>
      <c r="E9" s="35"/>
      <c r="F9" s="37"/>
      <c r="G9" s="37"/>
      <c r="H9" s="37"/>
      <c r="I9" s="37"/>
      <c r="J9" s="37"/>
      <c r="K9" s="37"/>
      <c r="L9" s="38"/>
      <c r="M9" s="66"/>
      <c r="N9" s="16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3" ht="15" x14ac:dyDescent="0.2">
      <c r="A10" s="59" t="s">
        <v>270</v>
      </c>
      <c r="B10" s="35"/>
      <c r="C10" s="35"/>
      <c r="D10" s="35"/>
      <c r="E10" s="40" t="s">
        <v>20</v>
      </c>
      <c r="F10" s="211" t="s">
        <v>96</v>
      </c>
      <c r="G10" s="40" t="s">
        <v>96</v>
      </c>
      <c r="H10" s="40" t="s">
        <v>44</v>
      </c>
      <c r="I10" s="40" t="s">
        <v>44</v>
      </c>
      <c r="J10" s="40" t="s">
        <v>91</v>
      </c>
      <c r="K10" s="40" t="s">
        <v>44</v>
      </c>
      <c r="L10" s="36"/>
      <c r="M10" s="66"/>
      <c r="N10" s="16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3" ht="15" x14ac:dyDescent="0.2">
      <c r="A11" s="59" t="s">
        <v>116</v>
      </c>
      <c r="B11" s="40" t="s">
        <v>91</v>
      </c>
      <c r="C11" s="40" t="s">
        <v>91</v>
      </c>
      <c r="D11" s="208" t="s">
        <v>91</v>
      </c>
      <c r="E11" s="260" t="s">
        <v>315</v>
      </c>
      <c r="F11" s="40" t="s">
        <v>267</v>
      </c>
      <c r="G11" s="40" t="s">
        <v>267</v>
      </c>
      <c r="H11" s="40" t="s">
        <v>95</v>
      </c>
      <c r="I11" s="40" t="s">
        <v>85</v>
      </c>
      <c r="J11" s="40" t="s">
        <v>7</v>
      </c>
      <c r="K11" s="212" t="s">
        <v>165</v>
      </c>
      <c r="L11" s="36"/>
      <c r="M11" s="66"/>
      <c r="N11" s="16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</row>
    <row r="12" spans="1:43" ht="15" x14ac:dyDescent="0.2">
      <c r="A12" s="59" t="s">
        <v>187</v>
      </c>
      <c r="B12" s="260" t="s">
        <v>315</v>
      </c>
      <c r="C12" s="260" t="s">
        <v>315</v>
      </c>
      <c r="D12" s="260" t="s">
        <v>315</v>
      </c>
      <c r="E12" s="40" t="s">
        <v>96</v>
      </c>
      <c r="F12" s="40" t="s">
        <v>101</v>
      </c>
      <c r="G12" s="40" t="s">
        <v>101</v>
      </c>
      <c r="H12" s="40" t="s">
        <v>90</v>
      </c>
      <c r="I12" s="40" t="s">
        <v>96</v>
      </c>
      <c r="J12" s="40" t="s">
        <v>95</v>
      </c>
      <c r="K12" s="40" t="s">
        <v>90</v>
      </c>
      <c r="L12" s="36"/>
      <c r="M12" s="66"/>
    </row>
    <row r="13" spans="1:43" ht="15" x14ac:dyDescent="0.2">
      <c r="A13" t="s">
        <v>371</v>
      </c>
      <c r="B13" s="260"/>
      <c r="C13" s="260"/>
      <c r="D13" s="278" t="s">
        <v>267</v>
      </c>
      <c r="E13" s="278" t="s">
        <v>267</v>
      </c>
      <c r="F13" s="40"/>
      <c r="G13" s="277"/>
      <c r="H13" s="40"/>
      <c r="I13" s="40"/>
      <c r="J13" s="40"/>
      <c r="K13" s="277"/>
      <c r="L13" s="36"/>
      <c r="M13" s="66"/>
    </row>
    <row r="14" spans="1:43" ht="15" x14ac:dyDescent="0.2">
      <c r="A14" s="59" t="s">
        <v>271</v>
      </c>
      <c r="B14" s="35"/>
      <c r="C14" s="35"/>
      <c r="D14" s="35"/>
      <c r="E14" s="40" t="s">
        <v>90</v>
      </c>
      <c r="F14" s="40" t="s">
        <v>90</v>
      </c>
      <c r="G14" s="41" t="s">
        <v>90</v>
      </c>
      <c r="H14" s="40" t="s">
        <v>20</v>
      </c>
      <c r="I14" s="40" t="s">
        <v>12</v>
      </c>
      <c r="J14" s="40" t="s">
        <v>101</v>
      </c>
      <c r="K14" s="16" t="s">
        <v>48</v>
      </c>
      <c r="L14" s="36"/>
      <c r="M14" s="66"/>
    </row>
    <row r="15" spans="1:43" ht="15" x14ac:dyDescent="0.2">
      <c r="A15" s="58" t="s">
        <v>271</v>
      </c>
      <c r="B15" s="37"/>
      <c r="C15" s="37"/>
      <c r="D15" s="37"/>
      <c r="E15" s="41" t="s">
        <v>91</v>
      </c>
      <c r="F15" s="41" t="s">
        <v>91</v>
      </c>
      <c r="G15" s="40" t="s">
        <v>165</v>
      </c>
      <c r="H15" s="41" t="s">
        <v>12</v>
      </c>
      <c r="I15" s="41" t="s">
        <v>101</v>
      </c>
      <c r="J15" s="41" t="s">
        <v>20</v>
      </c>
      <c r="K15" s="41" t="s">
        <v>91</v>
      </c>
      <c r="L15" s="38"/>
      <c r="M15" s="66"/>
    </row>
    <row r="16" spans="1:43" ht="15" x14ac:dyDescent="0.2">
      <c r="A16" s="58" t="s">
        <v>271</v>
      </c>
      <c r="B16" s="37"/>
      <c r="C16" s="37"/>
      <c r="D16" s="37"/>
      <c r="E16" s="41" t="s">
        <v>48</v>
      </c>
      <c r="F16" s="41" t="s">
        <v>48</v>
      </c>
      <c r="G16" s="41" t="s">
        <v>48</v>
      </c>
      <c r="H16" s="41" t="s">
        <v>48</v>
      </c>
      <c r="I16" s="37"/>
      <c r="J16" s="37"/>
      <c r="K16" s="37"/>
      <c r="L16" s="38"/>
      <c r="M16" s="66"/>
    </row>
    <row r="17" spans="1:13" ht="15" x14ac:dyDescent="0.2">
      <c r="A17" s="58" t="s">
        <v>271</v>
      </c>
      <c r="B17" s="37"/>
      <c r="C17" s="37"/>
      <c r="D17" s="37"/>
      <c r="E17" s="41" t="s">
        <v>94</v>
      </c>
      <c r="F17" s="41" t="s">
        <v>94</v>
      </c>
      <c r="G17" s="41" t="s">
        <v>91</v>
      </c>
      <c r="H17" s="41" t="s">
        <v>91</v>
      </c>
      <c r="I17" s="37"/>
      <c r="J17" s="37"/>
      <c r="K17" s="37"/>
      <c r="L17" s="38"/>
      <c r="M17" s="66"/>
    </row>
    <row r="18" spans="1:13" ht="15" x14ac:dyDescent="0.2">
      <c r="A18" s="59" t="s">
        <v>273</v>
      </c>
      <c r="B18" s="37"/>
      <c r="C18" s="37"/>
      <c r="D18" s="37"/>
      <c r="E18" s="41" t="s">
        <v>101</v>
      </c>
      <c r="F18" s="40" t="s">
        <v>101</v>
      </c>
      <c r="G18" s="41" t="s">
        <v>101</v>
      </c>
      <c r="H18" s="41" t="s">
        <v>101</v>
      </c>
      <c r="I18" s="41" t="s">
        <v>90</v>
      </c>
      <c r="J18" s="41" t="s">
        <v>90</v>
      </c>
      <c r="K18" s="41" t="s">
        <v>41</v>
      </c>
      <c r="L18" s="38"/>
      <c r="M18" s="66"/>
    </row>
    <row r="19" spans="1:13" ht="15" x14ac:dyDescent="0.2">
      <c r="A19" s="59" t="s">
        <v>273</v>
      </c>
      <c r="B19" s="37"/>
      <c r="C19" s="37"/>
      <c r="D19" s="37"/>
      <c r="E19" s="261" t="s">
        <v>315</v>
      </c>
      <c r="F19" s="261" t="s">
        <v>315</v>
      </c>
      <c r="G19" s="279" t="s">
        <v>96</v>
      </c>
      <c r="H19" s="279" t="s">
        <v>96</v>
      </c>
      <c r="I19" s="41" t="s">
        <v>39</v>
      </c>
      <c r="J19" s="41" t="s">
        <v>39</v>
      </c>
      <c r="K19" s="41" t="s">
        <v>48</v>
      </c>
      <c r="L19" s="38"/>
      <c r="M19" s="66"/>
    </row>
    <row r="20" spans="1:13" ht="15" x14ac:dyDescent="0.2">
      <c r="A20" s="59" t="s">
        <v>273</v>
      </c>
      <c r="B20" s="37"/>
      <c r="C20" s="37"/>
      <c r="D20" s="37"/>
      <c r="E20" s="41" t="s">
        <v>41</v>
      </c>
      <c r="F20" s="41" t="s">
        <v>39</v>
      </c>
      <c r="G20" s="41" t="s">
        <v>39</v>
      </c>
      <c r="H20" s="40" t="s">
        <v>39</v>
      </c>
      <c r="I20" s="37"/>
      <c r="J20" s="37"/>
      <c r="K20" s="37"/>
      <c r="L20" s="38"/>
      <c r="M20" s="66"/>
    </row>
    <row r="21" spans="1:13" ht="15" x14ac:dyDescent="0.2">
      <c r="A21" s="59" t="s">
        <v>273</v>
      </c>
      <c r="B21" s="37"/>
      <c r="C21" s="37"/>
      <c r="D21" s="37"/>
      <c r="E21" s="41" t="s">
        <v>44</v>
      </c>
      <c r="F21" s="41" t="s">
        <v>44</v>
      </c>
      <c r="G21" s="41" t="s">
        <v>44</v>
      </c>
      <c r="H21" s="41" t="s">
        <v>44</v>
      </c>
      <c r="I21" s="37"/>
      <c r="J21" s="37"/>
      <c r="K21" s="37"/>
      <c r="L21" s="38"/>
      <c r="M21" s="66"/>
    </row>
    <row r="22" spans="1:13" ht="15" x14ac:dyDescent="0.2">
      <c r="A22" s="59" t="s">
        <v>192</v>
      </c>
      <c r="B22" s="35"/>
      <c r="C22" s="35"/>
      <c r="D22" s="35"/>
      <c r="E22" s="40" t="s">
        <v>101</v>
      </c>
      <c r="F22" s="40" t="s">
        <v>7</v>
      </c>
      <c r="G22" s="40" t="s">
        <v>48</v>
      </c>
      <c r="H22" s="40" t="s">
        <v>260</v>
      </c>
      <c r="I22" s="40" t="s">
        <v>91</v>
      </c>
      <c r="J22" s="41" t="s">
        <v>85</v>
      </c>
      <c r="K22" s="40" t="s">
        <v>90</v>
      </c>
      <c r="L22" s="36"/>
      <c r="M22" s="66"/>
    </row>
    <row r="23" spans="1:13" ht="15" x14ac:dyDescent="0.2">
      <c r="A23" s="59" t="s">
        <v>362</v>
      </c>
      <c r="B23" s="35"/>
      <c r="C23" s="35"/>
      <c r="D23" s="35"/>
      <c r="E23" s="40" t="s">
        <v>260</v>
      </c>
      <c r="F23" s="41" t="s">
        <v>90</v>
      </c>
      <c r="G23" s="41" t="s">
        <v>44</v>
      </c>
      <c r="H23" s="40" t="s">
        <v>101</v>
      </c>
      <c r="I23" s="40" t="s">
        <v>94</v>
      </c>
      <c r="J23" s="40" t="s">
        <v>94</v>
      </c>
      <c r="K23" s="40" t="s">
        <v>101</v>
      </c>
      <c r="L23" s="36"/>
      <c r="M23" s="66"/>
    </row>
    <row r="24" spans="1:13" ht="15" x14ac:dyDescent="0.2">
      <c r="A24" s="59" t="s">
        <v>197</v>
      </c>
      <c r="B24" s="35"/>
      <c r="C24" s="35"/>
      <c r="D24" s="35"/>
      <c r="E24" s="40" t="s">
        <v>41</v>
      </c>
      <c r="F24" s="40" t="s">
        <v>41</v>
      </c>
      <c r="G24" s="40" t="s">
        <v>94</v>
      </c>
      <c r="H24" s="40" t="s">
        <v>94</v>
      </c>
      <c r="I24" s="40" t="s">
        <v>95</v>
      </c>
      <c r="J24" s="40" t="s">
        <v>48</v>
      </c>
      <c r="K24" s="40" t="s">
        <v>96</v>
      </c>
      <c r="L24" s="36"/>
      <c r="M24" s="66"/>
    </row>
    <row r="25" spans="1:13" ht="15" x14ac:dyDescent="0.2">
      <c r="A25" s="59" t="s">
        <v>304</v>
      </c>
      <c r="B25" s="35"/>
      <c r="C25" s="35"/>
      <c r="D25" s="35"/>
      <c r="E25" s="183" t="s">
        <v>39</v>
      </c>
      <c r="F25" s="183" t="s">
        <v>95</v>
      </c>
      <c r="G25" s="183" t="s">
        <v>48</v>
      </c>
      <c r="H25" s="183" t="s">
        <v>7</v>
      </c>
      <c r="I25" s="183" t="s">
        <v>96</v>
      </c>
      <c r="J25" s="183" t="s">
        <v>20</v>
      </c>
      <c r="K25" s="183" t="s">
        <v>44</v>
      </c>
      <c r="L25" s="36"/>
      <c r="M25" s="66"/>
    </row>
    <row r="26" spans="1:13" ht="15" x14ac:dyDescent="0.2">
      <c r="A26" s="59" t="s">
        <v>194</v>
      </c>
      <c r="B26" s="40" t="s">
        <v>95</v>
      </c>
      <c r="C26" s="40" t="s">
        <v>95</v>
      </c>
      <c r="D26" s="40" t="s">
        <v>90</v>
      </c>
      <c r="E26" s="35"/>
      <c r="F26" s="35"/>
      <c r="G26" s="35"/>
      <c r="H26" s="35"/>
      <c r="I26" s="35"/>
      <c r="J26" s="35"/>
      <c r="K26" s="35"/>
      <c r="L26" s="36"/>
      <c r="M26" s="66"/>
    </row>
    <row r="27" spans="1:13" ht="15" x14ac:dyDescent="0.2">
      <c r="A27" s="58" t="s">
        <v>78</v>
      </c>
      <c r="B27" s="37"/>
      <c r="C27" s="39"/>
      <c r="D27" s="39"/>
      <c r="E27" s="37"/>
      <c r="F27" s="37"/>
      <c r="G27" s="37"/>
      <c r="H27" s="37"/>
      <c r="I27" s="37"/>
      <c r="J27" s="37"/>
      <c r="K27" s="37"/>
      <c r="L27" s="183" t="s">
        <v>41</v>
      </c>
      <c r="M27" s="66"/>
    </row>
    <row r="28" spans="1:13" ht="15" x14ac:dyDescent="0.2">
      <c r="A28" s="58" t="s">
        <v>78</v>
      </c>
      <c r="B28" s="37"/>
      <c r="C28" s="39"/>
      <c r="D28" s="39"/>
      <c r="E28" s="37"/>
      <c r="F28" s="37"/>
      <c r="G28" s="37"/>
      <c r="H28" s="37"/>
      <c r="I28" s="37"/>
      <c r="J28" s="37"/>
      <c r="K28" s="37"/>
      <c r="L28" s="183" t="s">
        <v>41</v>
      </c>
      <c r="M28" s="66"/>
    </row>
    <row r="29" spans="1:13" x14ac:dyDescent="0.2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2"/>
  <sheetViews>
    <sheetView workbookViewId="0">
      <selection activeCell="J8" sqref="J8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65" t="s">
        <v>279</v>
      </c>
      <c r="B1" s="65"/>
      <c r="C1" s="65"/>
      <c r="D1" s="65"/>
      <c r="E1" s="65"/>
      <c r="F1" s="65"/>
      <c r="G1" s="66"/>
      <c r="H1" s="67" t="s">
        <v>233</v>
      </c>
      <c r="I1" s="64" t="str">
        <f>Issue</f>
        <v>2024 Show Season V1 7/22/2024</v>
      </c>
      <c r="J1" s="64"/>
      <c r="K1" s="64"/>
      <c r="L1" s="64"/>
      <c r="M1" s="66"/>
      <c r="O1" t="s">
        <v>341</v>
      </c>
    </row>
    <row r="2" spans="1:43" ht="15.75" x14ac:dyDescent="0.25">
      <c r="A2" s="65" t="s">
        <v>280</v>
      </c>
      <c r="B2" s="65"/>
      <c r="C2" s="65"/>
      <c r="D2" s="64"/>
      <c r="E2" s="64"/>
      <c r="F2" s="64"/>
      <c r="G2" s="66"/>
      <c r="H2" s="66"/>
      <c r="I2" s="66"/>
      <c r="J2" s="66"/>
      <c r="K2" s="66"/>
      <c r="L2" s="66"/>
      <c r="M2" s="66"/>
    </row>
    <row r="3" spans="1:43" ht="18.75" x14ac:dyDescent="0.3">
      <c r="A3" s="72" t="s">
        <v>310</v>
      </c>
      <c r="B3" s="200"/>
      <c r="C3" s="200"/>
      <c r="D3" s="64"/>
      <c r="E3" s="157" t="s">
        <v>144</v>
      </c>
      <c r="F3" s="70"/>
      <c r="G3" s="66"/>
      <c r="H3" s="66"/>
      <c r="I3" s="66"/>
      <c r="J3" s="66"/>
      <c r="K3" s="66"/>
      <c r="L3" s="66"/>
      <c r="M3" s="66"/>
    </row>
    <row r="4" spans="1:43" ht="15.75" x14ac:dyDescent="0.25">
      <c r="A4" s="67"/>
      <c r="B4" s="67"/>
      <c r="C4" s="67"/>
      <c r="D4" s="64"/>
      <c r="E4" s="64"/>
      <c r="F4" s="64"/>
      <c r="G4" s="66"/>
      <c r="H4" s="66"/>
      <c r="I4" s="66"/>
      <c r="J4" s="66"/>
      <c r="K4" s="66"/>
      <c r="L4" s="66"/>
      <c r="M4" s="66"/>
    </row>
    <row r="5" spans="1:43" ht="16.5" thickBot="1" x14ac:dyDescent="0.3">
      <c r="A5" s="55" t="str">
        <f>A3</f>
        <v>Sunday 10/1/2023</v>
      </c>
      <c r="B5" s="199" t="s">
        <v>106</v>
      </c>
      <c r="C5" s="199" t="s">
        <v>107</v>
      </c>
      <c r="D5" s="56" t="s">
        <v>108</v>
      </c>
      <c r="E5" s="56" t="s">
        <v>109</v>
      </c>
      <c r="F5" s="56" t="s">
        <v>110</v>
      </c>
      <c r="G5" s="56" t="s">
        <v>111</v>
      </c>
      <c r="H5" s="56" t="s">
        <v>112</v>
      </c>
      <c r="I5" s="56" t="s">
        <v>113</v>
      </c>
      <c r="J5" s="56" t="s">
        <v>114</v>
      </c>
      <c r="K5" s="56" t="s">
        <v>115</v>
      </c>
      <c r="L5" s="56" t="s">
        <v>126</v>
      </c>
      <c r="M5" s="66"/>
    </row>
    <row r="6" spans="1:43" ht="15" x14ac:dyDescent="0.2">
      <c r="A6" s="57" t="s">
        <v>199</v>
      </c>
      <c r="B6" s="64"/>
      <c r="C6" s="64"/>
      <c r="D6" s="41" t="s">
        <v>48</v>
      </c>
      <c r="E6" s="112"/>
      <c r="F6" s="112"/>
      <c r="G6" s="112"/>
      <c r="H6" s="112"/>
      <c r="I6" s="112"/>
      <c r="J6" s="112"/>
      <c r="K6" s="112"/>
      <c r="L6" s="113"/>
      <c r="M6" s="66"/>
      <c r="O6" t="s">
        <v>342</v>
      </c>
    </row>
    <row r="7" spans="1:43" ht="15" x14ac:dyDescent="0.2">
      <c r="A7" s="58" t="s">
        <v>201</v>
      </c>
      <c r="B7" s="64"/>
      <c r="C7" s="64"/>
      <c r="D7" s="41" t="s">
        <v>41</v>
      </c>
      <c r="E7" s="112"/>
      <c r="F7" s="112"/>
      <c r="G7" s="112"/>
      <c r="H7" s="112"/>
      <c r="I7" s="112"/>
      <c r="J7" s="112"/>
      <c r="K7" s="112"/>
      <c r="L7" s="113"/>
      <c r="M7" s="66"/>
      <c r="O7" t="s">
        <v>342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10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9" t="s">
        <v>278</v>
      </c>
      <c r="B8" s="197"/>
      <c r="C8" s="197"/>
      <c r="D8" s="114"/>
      <c r="E8" s="40" t="s">
        <v>90</v>
      </c>
      <c r="F8" s="40" t="s">
        <v>90</v>
      </c>
      <c r="G8" s="40" t="s">
        <v>20</v>
      </c>
      <c r="H8" s="40" t="s">
        <v>20</v>
      </c>
      <c r="I8" s="280" t="s">
        <v>23</v>
      </c>
      <c r="J8" s="280" t="s">
        <v>23</v>
      </c>
      <c r="K8" s="114"/>
      <c r="L8" s="115"/>
      <c r="M8" s="66"/>
      <c r="N8" s="16"/>
      <c r="O8" t="s">
        <v>342</v>
      </c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3" ht="15" x14ac:dyDescent="0.2">
      <c r="A9" s="59" t="s">
        <v>130</v>
      </c>
      <c r="B9" s="197"/>
      <c r="C9" s="197"/>
      <c r="D9" s="40" t="s">
        <v>7</v>
      </c>
      <c r="E9" s="40" t="s">
        <v>85</v>
      </c>
      <c r="F9" s="40" t="s">
        <v>96</v>
      </c>
      <c r="G9" s="40" t="s">
        <v>41</v>
      </c>
      <c r="H9" s="40" t="s">
        <v>12</v>
      </c>
      <c r="I9" s="211" t="s">
        <v>95</v>
      </c>
      <c r="J9" s="211" t="s">
        <v>44</v>
      </c>
      <c r="K9" s="114"/>
      <c r="L9" s="115"/>
      <c r="M9" s="66"/>
      <c r="N9" s="16"/>
      <c r="O9" s="225" t="s">
        <v>348</v>
      </c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3" ht="15" x14ac:dyDescent="0.2">
      <c r="A10" s="59" t="s">
        <v>176</v>
      </c>
      <c r="B10" s="197"/>
      <c r="C10" s="197"/>
      <c r="D10" s="40" t="s">
        <v>39</v>
      </c>
      <c r="E10" s="211" t="s">
        <v>96</v>
      </c>
      <c r="F10" s="211" t="s">
        <v>94</v>
      </c>
      <c r="G10" s="211" t="s">
        <v>20</v>
      </c>
      <c r="H10" s="40" t="s">
        <v>48</v>
      </c>
      <c r="I10" s="211" t="s">
        <v>44</v>
      </c>
      <c r="J10" s="40" t="s">
        <v>101</v>
      </c>
      <c r="K10" s="114"/>
      <c r="L10" s="115"/>
      <c r="M10" s="66"/>
      <c r="N10" s="16"/>
      <c r="O10" s="19" t="s">
        <v>347</v>
      </c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3" ht="15" x14ac:dyDescent="0.2">
      <c r="A11" s="59" t="s">
        <v>195</v>
      </c>
      <c r="B11" s="197"/>
      <c r="C11" s="197"/>
      <c r="D11" s="261" t="s">
        <v>315</v>
      </c>
      <c r="E11" s="114"/>
      <c r="F11" s="114"/>
      <c r="G11" s="114"/>
      <c r="H11" s="114"/>
      <c r="I11" s="114"/>
      <c r="J11" s="114"/>
      <c r="K11" s="114"/>
      <c r="L11" s="115"/>
      <c r="M11" s="66"/>
      <c r="O11" s="19" t="s">
        <v>344</v>
      </c>
    </row>
    <row r="12" spans="1:43" ht="15" x14ac:dyDescent="0.2">
      <c r="A12" s="59" t="s">
        <v>272</v>
      </c>
      <c r="B12" s="197"/>
      <c r="C12" s="197"/>
      <c r="D12" s="114"/>
      <c r="E12" s="211" t="s">
        <v>101</v>
      </c>
      <c r="F12" s="40" t="s">
        <v>12</v>
      </c>
      <c r="G12" s="211" t="s">
        <v>12</v>
      </c>
      <c r="H12" s="40" t="s">
        <v>96</v>
      </c>
      <c r="I12" s="40" t="s">
        <v>96</v>
      </c>
      <c r="J12" s="114"/>
      <c r="K12" s="114"/>
      <c r="L12" s="115"/>
      <c r="M12" s="66"/>
      <c r="N12" s="16"/>
      <c r="O12" s="19" t="s">
        <v>344</v>
      </c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</row>
    <row r="13" spans="1:43" ht="15" x14ac:dyDescent="0.2">
      <c r="A13" s="59" t="s">
        <v>272</v>
      </c>
      <c r="B13" s="64"/>
      <c r="C13" s="64"/>
      <c r="D13" s="112"/>
      <c r="E13" s="213" t="s">
        <v>91</v>
      </c>
      <c r="F13" s="213" t="s">
        <v>39</v>
      </c>
      <c r="G13" s="41" t="s">
        <v>101</v>
      </c>
      <c r="H13" s="41" t="s">
        <v>101</v>
      </c>
      <c r="I13" s="213" t="s">
        <v>85</v>
      </c>
      <c r="J13" s="112"/>
      <c r="K13" s="112"/>
      <c r="L13" s="113"/>
      <c r="M13" s="66"/>
      <c r="N13" s="16"/>
      <c r="O13" s="19" t="s">
        <v>344</v>
      </c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</row>
    <row r="14" spans="1:43" ht="15" x14ac:dyDescent="0.2">
      <c r="A14" s="59" t="s">
        <v>272</v>
      </c>
      <c r="B14" s="64"/>
      <c r="C14" s="64"/>
      <c r="D14" s="112"/>
      <c r="E14" s="112"/>
      <c r="F14" s="112"/>
      <c r="G14" s="213" t="s">
        <v>7</v>
      </c>
      <c r="H14" s="41" t="s">
        <v>39</v>
      </c>
      <c r="I14" s="112"/>
      <c r="J14" s="112"/>
      <c r="K14" s="112"/>
      <c r="L14" s="113"/>
      <c r="M14" s="66"/>
      <c r="N14" s="16"/>
      <c r="O14" s="19" t="s">
        <v>344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</row>
    <row r="15" spans="1:43" ht="15" x14ac:dyDescent="0.2">
      <c r="A15" s="59" t="s">
        <v>272</v>
      </c>
      <c r="B15" s="64"/>
      <c r="C15" s="64"/>
      <c r="D15" s="112"/>
      <c r="E15" s="112"/>
      <c r="F15" s="112"/>
      <c r="G15" s="279" t="s">
        <v>96</v>
      </c>
      <c r="H15" s="40" t="s">
        <v>101</v>
      </c>
      <c r="I15" s="112"/>
      <c r="J15" s="112"/>
      <c r="K15" s="112"/>
      <c r="L15" s="113"/>
      <c r="M15" s="66"/>
      <c r="N15" s="16"/>
      <c r="O15" s="19" t="s">
        <v>344</v>
      </c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</row>
    <row r="16" spans="1:43" ht="15" x14ac:dyDescent="0.2">
      <c r="A16" s="59" t="s">
        <v>274</v>
      </c>
      <c r="B16" s="64"/>
      <c r="C16" s="64"/>
      <c r="D16" s="112"/>
      <c r="E16" s="41" t="s">
        <v>41</v>
      </c>
      <c r="F16" s="41" t="s">
        <v>101</v>
      </c>
      <c r="G16" s="41" t="s">
        <v>260</v>
      </c>
      <c r="H16" s="41" t="s">
        <v>96</v>
      </c>
      <c r="I16" s="41" t="s">
        <v>94</v>
      </c>
      <c r="J16" s="112"/>
      <c r="K16" s="112"/>
      <c r="L16" s="113"/>
      <c r="M16" s="66"/>
      <c r="O16" s="19" t="s">
        <v>344</v>
      </c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</row>
    <row r="17" spans="1:42" ht="15" x14ac:dyDescent="0.2">
      <c r="A17" s="59" t="s">
        <v>274</v>
      </c>
      <c r="B17" s="64"/>
      <c r="C17" s="64"/>
      <c r="D17" s="112"/>
      <c r="E17" s="261" t="s">
        <v>315</v>
      </c>
      <c r="F17" s="261" t="s">
        <v>315</v>
      </c>
      <c r="G17" s="213" t="s">
        <v>94</v>
      </c>
      <c r="H17" s="41" t="s">
        <v>41</v>
      </c>
      <c r="I17" s="41" t="s">
        <v>41</v>
      </c>
      <c r="J17" s="112"/>
      <c r="K17" s="112"/>
      <c r="L17" s="113"/>
      <c r="M17" s="66"/>
      <c r="N17" s="16"/>
      <c r="O17" s="19" t="s">
        <v>344</v>
      </c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</row>
    <row r="18" spans="1:42" ht="15" x14ac:dyDescent="0.2">
      <c r="A18" s="59" t="s">
        <v>274</v>
      </c>
      <c r="B18" s="64"/>
      <c r="C18" s="64"/>
      <c r="D18" s="112"/>
      <c r="E18" s="112"/>
      <c r="F18" s="112"/>
      <c r="G18" s="41" t="s">
        <v>90</v>
      </c>
      <c r="H18" s="41" t="s">
        <v>90</v>
      </c>
      <c r="I18" s="112"/>
      <c r="J18" s="112"/>
      <c r="K18" s="112"/>
      <c r="L18" s="113"/>
      <c r="M18" s="66"/>
      <c r="N18" s="16"/>
      <c r="O18" s="19" t="s">
        <v>344</v>
      </c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</row>
    <row r="19" spans="1:42" ht="15" x14ac:dyDescent="0.2">
      <c r="A19" s="59" t="s">
        <v>274</v>
      </c>
      <c r="B19" s="64"/>
      <c r="C19" s="64"/>
      <c r="D19" s="112"/>
      <c r="E19" s="112"/>
      <c r="F19" s="112"/>
      <c r="G19" s="41" t="s">
        <v>48</v>
      </c>
      <c r="H19" s="41" t="s">
        <v>48</v>
      </c>
      <c r="I19" s="112"/>
      <c r="J19" s="112"/>
      <c r="K19" s="112"/>
      <c r="L19" s="113"/>
      <c r="M19" s="66"/>
      <c r="N19" s="16"/>
      <c r="O19" s="19" t="s">
        <v>344</v>
      </c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</row>
    <row r="20" spans="1:42" ht="15" x14ac:dyDescent="0.2">
      <c r="A20" s="59" t="s">
        <v>363</v>
      </c>
      <c r="B20" s="197"/>
      <c r="C20" s="197"/>
      <c r="D20" s="114"/>
      <c r="E20" s="40" t="s">
        <v>96</v>
      </c>
      <c r="F20" s="280" t="s">
        <v>23</v>
      </c>
      <c r="G20" s="211" t="s">
        <v>94</v>
      </c>
      <c r="H20" s="40" t="s">
        <v>95</v>
      </c>
      <c r="I20" s="40" t="s">
        <v>101</v>
      </c>
      <c r="J20" s="40" t="s">
        <v>48</v>
      </c>
      <c r="K20" s="114"/>
      <c r="L20" s="115"/>
      <c r="M20" s="66"/>
      <c r="N20" s="16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</row>
    <row r="21" spans="1:42" ht="15" x14ac:dyDescent="0.2">
      <c r="A21" s="59" t="s">
        <v>362</v>
      </c>
      <c r="B21" s="197"/>
      <c r="C21" s="197"/>
      <c r="D21" s="114"/>
      <c r="E21" s="211" t="s">
        <v>44</v>
      </c>
      <c r="F21" s="40" t="s">
        <v>85</v>
      </c>
      <c r="G21" s="211" t="s">
        <v>12</v>
      </c>
      <c r="H21" s="211" t="s">
        <v>7</v>
      </c>
      <c r="I21" s="41" t="s">
        <v>94</v>
      </c>
      <c r="J21" s="114"/>
      <c r="K21" s="114"/>
      <c r="L21" s="115"/>
      <c r="M21" s="66"/>
      <c r="N21" s="16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</row>
    <row r="22" spans="1:42" ht="15" x14ac:dyDescent="0.2">
      <c r="A22" s="59"/>
      <c r="B22" s="197"/>
      <c r="C22" s="197"/>
      <c r="D22" s="114"/>
      <c r="E22" s="114"/>
      <c r="F22" s="114"/>
      <c r="G22" s="114"/>
      <c r="H22" s="114"/>
      <c r="I22" s="114"/>
      <c r="J22" s="114"/>
      <c r="K22" s="114"/>
      <c r="L22" s="115"/>
      <c r="M22" s="66"/>
      <c r="N22" s="16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</row>
    <row r="23" spans="1:42" ht="15" x14ac:dyDescent="0.2">
      <c r="A23" s="59" t="s">
        <v>196</v>
      </c>
      <c r="B23" s="197"/>
      <c r="C23" s="197"/>
      <c r="D23" s="114"/>
      <c r="E23" s="260" t="s">
        <v>315</v>
      </c>
      <c r="F23" s="262" t="s">
        <v>315</v>
      </c>
      <c r="G23" s="40" t="s">
        <v>39</v>
      </c>
      <c r="H23" s="211" t="s">
        <v>48</v>
      </c>
      <c r="I23" s="40" t="s">
        <v>165</v>
      </c>
      <c r="J23" s="40" t="s">
        <v>94</v>
      </c>
      <c r="K23" s="114"/>
      <c r="L23" s="115"/>
      <c r="M23" s="66"/>
      <c r="N23" s="16"/>
      <c r="O23" s="19" t="s">
        <v>345</v>
      </c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</row>
    <row r="24" spans="1:42" ht="15" x14ac:dyDescent="0.2">
      <c r="A24" s="59" t="s">
        <v>305</v>
      </c>
      <c r="B24" s="197"/>
      <c r="C24" s="197"/>
      <c r="D24" s="114"/>
      <c r="E24" s="183" t="s">
        <v>48</v>
      </c>
      <c r="F24" s="123" t="s">
        <v>95</v>
      </c>
      <c r="G24" s="123" t="s">
        <v>48</v>
      </c>
      <c r="H24" s="123" t="s">
        <v>260</v>
      </c>
      <c r="I24" s="123" t="s">
        <v>96</v>
      </c>
      <c r="J24" s="123" t="s">
        <v>260</v>
      </c>
      <c r="K24" s="114"/>
      <c r="L24" s="115"/>
      <c r="M24" s="66"/>
      <c r="O24" s="19" t="s">
        <v>346</v>
      </c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</row>
    <row r="25" spans="1:42" ht="15" x14ac:dyDescent="0.2">
      <c r="A25" s="59" t="s">
        <v>212</v>
      </c>
      <c r="B25" s="197"/>
      <c r="C25" s="197"/>
      <c r="D25" s="114"/>
      <c r="E25" s="114"/>
      <c r="F25" s="114"/>
      <c r="G25" s="114"/>
      <c r="H25" s="114"/>
      <c r="I25" s="114"/>
      <c r="J25" s="114"/>
      <c r="K25" s="40" t="s">
        <v>23</v>
      </c>
      <c r="L25" s="115"/>
      <c r="M25" s="66"/>
      <c r="O25" t="s">
        <v>349</v>
      </c>
    </row>
    <row r="26" spans="1:42" ht="15" x14ac:dyDescent="0.2">
      <c r="A26" s="59" t="s">
        <v>212</v>
      </c>
      <c r="B26" s="197"/>
      <c r="C26" s="197"/>
      <c r="D26" s="114"/>
      <c r="E26" s="114"/>
      <c r="F26" s="114"/>
      <c r="G26" s="114"/>
      <c r="H26" s="114"/>
      <c r="I26" s="114"/>
      <c r="J26" s="114"/>
      <c r="K26" s="40" t="s">
        <v>23</v>
      </c>
      <c r="L26" s="115"/>
      <c r="M26" s="66"/>
      <c r="O26" t="s">
        <v>349</v>
      </c>
    </row>
    <row r="27" spans="1:42" ht="15" x14ac:dyDescent="0.2">
      <c r="A27" s="59" t="s">
        <v>212</v>
      </c>
      <c r="B27" s="197"/>
      <c r="C27" s="197"/>
      <c r="D27" s="114"/>
      <c r="E27" s="114"/>
      <c r="F27" s="114"/>
      <c r="G27" s="114"/>
      <c r="H27" s="114"/>
      <c r="I27" s="114"/>
      <c r="J27" s="114"/>
      <c r="K27" s="40" t="s">
        <v>23</v>
      </c>
      <c r="L27" s="115"/>
      <c r="M27" s="66"/>
      <c r="O27" t="s">
        <v>349</v>
      </c>
    </row>
    <row r="28" spans="1:42" ht="15" x14ac:dyDescent="0.2">
      <c r="A28" s="59" t="s">
        <v>212</v>
      </c>
      <c r="B28" s="197"/>
      <c r="C28" s="197"/>
      <c r="D28" s="114"/>
      <c r="E28" s="114"/>
      <c r="F28" s="114"/>
      <c r="G28" s="114"/>
      <c r="H28" s="114"/>
      <c r="I28" s="114"/>
      <c r="J28" s="114"/>
      <c r="K28" s="40" t="s">
        <v>23</v>
      </c>
      <c r="L28" s="115"/>
      <c r="M28" s="66"/>
      <c r="O28" t="s">
        <v>349</v>
      </c>
    </row>
    <row r="29" spans="1:42" ht="15" x14ac:dyDescent="0.2">
      <c r="A29" s="59" t="s">
        <v>212</v>
      </c>
      <c r="B29" s="197"/>
      <c r="C29" s="197"/>
      <c r="D29" s="114"/>
      <c r="E29" s="114"/>
      <c r="F29" s="114"/>
      <c r="G29" s="114"/>
      <c r="H29" s="114"/>
      <c r="I29" s="114"/>
      <c r="J29" s="114"/>
      <c r="K29" s="40" t="s">
        <v>23</v>
      </c>
      <c r="L29" s="115"/>
      <c r="M29" s="66"/>
      <c r="O29" t="s">
        <v>349</v>
      </c>
    </row>
    <row r="30" spans="1:42" ht="15" x14ac:dyDescent="0.2">
      <c r="A30" s="59" t="s">
        <v>212</v>
      </c>
      <c r="B30" s="197"/>
      <c r="C30" s="197"/>
      <c r="D30" s="114"/>
      <c r="E30" s="114"/>
      <c r="F30" s="114"/>
      <c r="G30" s="114"/>
      <c r="H30" s="114"/>
      <c r="I30" s="114"/>
      <c r="J30" s="114"/>
      <c r="K30" s="40" t="s">
        <v>23</v>
      </c>
      <c r="L30" s="115"/>
      <c r="M30" s="66"/>
      <c r="O30" t="s">
        <v>349</v>
      </c>
    </row>
    <row r="31" spans="1:42" x14ac:dyDescent="0.2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</row>
    <row r="32" spans="1:42" ht="15" x14ac:dyDescent="0.2">
      <c r="A32" s="16"/>
      <c r="B32" s="16"/>
      <c r="C32" s="16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4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topLeftCell="A7" workbookViewId="0">
      <selection activeCell="F9" sqref="F9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65" t="s">
        <v>131</v>
      </c>
      <c r="B1" s="65"/>
      <c r="C1" s="65"/>
      <c r="D1" s="65"/>
      <c r="E1" s="65"/>
      <c r="F1" s="65"/>
      <c r="G1" s="65"/>
      <c r="H1" s="66"/>
      <c r="I1" s="66"/>
      <c r="J1" s="66"/>
      <c r="K1" s="66"/>
      <c r="L1" s="67" t="s">
        <v>233</v>
      </c>
      <c r="M1" s="156" t="str">
        <f>Issue</f>
        <v>2024 Show Season V1 7/22/2024</v>
      </c>
      <c r="N1" s="156"/>
      <c r="O1" s="156"/>
      <c r="P1" s="156"/>
      <c r="Q1" s="66"/>
    </row>
    <row r="2" spans="1:48" ht="15.75" x14ac:dyDescent="0.25">
      <c r="A2" s="65" t="s">
        <v>129</v>
      </c>
      <c r="B2" s="65"/>
      <c r="C2" s="65"/>
      <c r="D2" s="65"/>
      <c r="E2" s="65"/>
      <c r="F2" s="65"/>
      <c r="G2" s="65"/>
      <c r="H2" s="66"/>
      <c r="I2" s="66"/>
      <c r="J2" s="66"/>
      <c r="K2" s="66"/>
      <c r="L2" s="66"/>
      <c r="M2" s="66"/>
      <c r="N2" s="66"/>
      <c r="O2" s="66"/>
      <c r="P2" s="66"/>
      <c r="Q2" s="66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10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76" t="s">
        <v>311</v>
      </c>
      <c r="B3" s="196"/>
      <c r="C3" s="196"/>
      <c r="D3" s="196"/>
      <c r="E3" s="196"/>
      <c r="F3" s="196"/>
      <c r="G3" s="65"/>
      <c r="H3" s="66"/>
      <c r="I3" s="66"/>
      <c r="J3" s="157" t="s">
        <v>142</v>
      </c>
      <c r="K3" s="70"/>
      <c r="L3" s="66"/>
      <c r="M3" s="66"/>
      <c r="N3" s="66"/>
      <c r="O3" s="66"/>
      <c r="P3" s="66"/>
      <c r="Q3" s="66"/>
      <c r="T3" s="16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</row>
    <row r="4" spans="1:48" ht="15.75" x14ac:dyDescent="0.25">
      <c r="A4" s="67"/>
      <c r="B4" s="67"/>
      <c r="C4" s="67"/>
      <c r="D4" s="67"/>
      <c r="E4" s="67"/>
      <c r="F4" s="67"/>
      <c r="G4" s="64"/>
      <c r="H4" s="64"/>
      <c r="I4" s="64"/>
      <c r="J4" s="64"/>
      <c r="K4" s="64"/>
      <c r="L4" s="64"/>
      <c r="M4" s="64"/>
      <c r="N4" s="64"/>
      <c r="O4" s="64"/>
      <c r="P4" s="64"/>
      <c r="Q4" s="66"/>
      <c r="T4" s="16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</row>
    <row r="5" spans="1:48" ht="16.5" thickBot="1" x14ac:dyDescent="0.3">
      <c r="A5" s="55" t="str">
        <f>A3</f>
        <v>Friday 01/19/2024</v>
      </c>
      <c r="B5" s="199" t="s">
        <v>106</v>
      </c>
      <c r="C5" s="199" t="s">
        <v>107</v>
      </c>
      <c r="D5" s="199" t="s">
        <v>108</v>
      </c>
      <c r="E5" s="199" t="s">
        <v>109</v>
      </c>
      <c r="F5" s="199" t="s">
        <v>110</v>
      </c>
      <c r="G5" s="56" t="s">
        <v>111</v>
      </c>
      <c r="H5" s="56" t="s">
        <v>112</v>
      </c>
      <c r="I5" s="56" t="s">
        <v>113</v>
      </c>
      <c r="J5" s="56" t="s">
        <v>114</v>
      </c>
      <c r="K5" s="56" t="s">
        <v>115</v>
      </c>
      <c r="L5" s="56" t="s">
        <v>126</v>
      </c>
      <c r="M5" s="56" t="s">
        <v>151</v>
      </c>
      <c r="N5" s="56" t="s">
        <v>106</v>
      </c>
      <c r="O5" s="56" t="s">
        <v>107</v>
      </c>
      <c r="P5" s="56" t="s">
        <v>108</v>
      </c>
      <c r="Q5" s="66"/>
      <c r="T5" s="16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</row>
    <row r="6" spans="1:48" ht="15" x14ac:dyDescent="0.2">
      <c r="A6" s="58" t="s">
        <v>179</v>
      </c>
      <c r="B6" s="41" t="s">
        <v>41</v>
      </c>
      <c r="C6" s="41" t="s">
        <v>41</v>
      </c>
      <c r="D6" s="41" t="s">
        <v>41</v>
      </c>
      <c r="E6" s="41" t="s">
        <v>41</v>
      </c>
      <c r="F6" s="41" t="s">
        <v>41</v>
      </c>
      <c r="G6" s="41" t="s">
        <v>41</v>
      </c>
      <c r="H6" s="41" t="s">
        <v>41</v>
      </c>
      <c r="I6" s="41" t="s">
        <v>41</v>
      </c>
      <c r="J6" s="41" t="s">
        <v>41</v>
      </c>
      <c r="K6" s="41" t="s">
        <v>41</v>
      </c>
      <c r="L6" s="42"/>
      <c r="M6" s="42"/>
      <c r="N6" s="42"/>
      <c r="O6" s="42"/>
      <c r="P6" s="43"/>
      <c r="Q6" s="66"/>
    </row>
    <row r="7" spans="1:48" ht="15" x14ac:dyDescent="0.2">
      <c r="A7" s="58" t="s">
        <v>361</v>
      </c>
      <c r="B7" s="64"/>
      <c r="C7" s="64"/>
      <c r="D7" s="183" t="s">
        <v>7</v>
      </c>
      <c r="E7" s="16" t="s">
        <v>44</v>
      </c>
      <c r="F7" s="16" t="s">
        <v>44</v>
      </c>
      <c r="G7" s="208" t="s">
        <v>94</v>
      </c>
      <c r="H7" s="208" t="s">
        <v>94</v>
      </c>
      <c r="I7" s="208" t="s">
        <v>12</v>
      </c>
      <c r="J7" s="208" t="s">
        <v>96</v>
      </c>
      <c r="K7" s="208" t="s">
        <v>94</v>
      </c>
      <c r="L7" s="183" t="s">
        <v>7</v>
      </c>
      <c r="M7" s="183"/>
      <c r="N7" s="42"/>
      <c r="O7" s="42"/>
      <c r="P7" s="43"/>
      <c r="Q7" s="66"/>
    </row>
    <row r="8" spans="1:48" ht="15" x14ac:dyDescent="0.2">
      <c r="A8" s="58" t="s">
        <v>368</v>
      </c>
      <c r="B8" s="64"/>
      <c r="C8" s="64"/>
      <c r="D8" s="64"/>
      <c r="E8" s="263" t="s">
        <v>315</v>
      </c>
      <c r="F8" s="16" t="s">
        <v>39</v>
      </c>
      <c r="G8" s="41" t="s">
        <v>48</v>
      </c>
      <c r="H8" s="41" t="s">
        <v>48</v>
      </c>
      <c r="I8" s="41" t="s">
        <v>90</v>
      </c>
      <c r="J8" s="41" t="s">
        <v>95</v>
      </c>
      <c r="K8" s="41" t="s">
        <v>85</v>
      </c>
      <c r="L8" s="16" t="s">
        <v>20</v>
      </c>
      <c r="M8" s="16" t="s">
        <v>48</v>
      </c>
      <c r="N8" s="42"/>
      <c r="O8" s="42"/>
      <c r="P8" s="43"/>
      <c r="Q8" s="66"/>
    </row>
    <row r="9" spans="1:48" ht="15" x14ac:dyDescent="0.2">
      <c r="A9" s="59" t="s">
        <v>104</v>
      </c>
      <c r="B9" s="197"/>
      <c r="C9" s="197"/>
      <c r="D9" s="197"/>
      <c r="E9" s="197"/>
      <c r="F9" s="197"/>
      <c r="G9" s="45"/>
      <c r="H9" s="45"/>
      <c r="I9" s="40" t="s">
        <v>91</v>
      </c>
      <c r="J9" s="40" t="s">
        <v>91</v>
      </c>
      <c r="K9" s="40" t="s">
        <v>91</v>
      </c>
      <c r="L9" s="40" t="s">
        <v>91</v>
      </c>
      <c r="M9" s="47" t="s">
        <v>91</v>
      </c>
      <c r="N9" s="16" t="s">
        <v>91</v>
      </c>
      <c r="O9" s="16" t="s">
        <v>91</v>
      </c>
      <c r="P9" s="43"/>
      <c r="Q9" s="66"/>
    </row>
    <row r="10" spans="1:48" ht="15" x14ac:dyDescent="0.2">
      <c r="A10" s="59" t="s">
        <v>185</v>
      </c>
      <c r="B10" s="197"/>
      <c r="C10" s="197"/>
      <c r="D10" s="197"/>
      <c r="E10" s="197"/>
      <c r="F10" s="197"/>
      <c r="G10" s="210" t="s">
        <v>44</v>
      </c>
      <c r="H10" s="276" t="s">
        <v>44</v>
      </c>
      <c r="I10" s="40" t="s">
        <v>44</v>
      </c>
      <c r="J10" s="40" t="s">
        <v>44</v>
      </c>
      <c r="K10" s="40" t="s">
        <v>48</v>
      </c>
      <c r="L10" s="40" t="s">
        <v>48</v>
      </c>
      <c r="M10" s="47" t="s">
        <v>48</v>
      </c>
      <c r="N10" s="16" t="s">
        <v>48</v>
      </c>
      <c r="O10" s="16" t="s">
        <v>48</v>
      </c>
      <c r="P10" s="43"/>
      <c r="Q10" s="66"/>
    </row>
    <row r="11" spans="1:48" ht="15" x14ac:dyDescent="0.2">
      <c r="A11" s="62" t="s">
        <v>290</v>
      </c>
      <c r="B11" s="62"/>
      <c r="C11" s="62"/>
      <c r="D11" s="62"/>
      <c r="E11" s="183" t="s">
        <v>165</v>
      </c>
      <c r="F11" s="183" t="s">
        <v>165</v>
      </c>
      <c r="G11" s="41" t="s">
        <v>101</v>
      </c>
      <c r="H11" s="41" t="s">
        <v>101</v>
      </c>
      <c r="I11" s="41" t="s">
        <v>101</v>
      </c>
      <c r="J11" s="41" t="s">
        <v>101</v>
      </c>
      <c r="K11" s="41" t="s">
        <v>101</v>
      </c>
      <c r="L11" s="208" t="s">
        <v>101</v>
      </c>
      <c r="M11" s="208" t="s">
        <v>101</v>
      </c>
      <c r="N11" s="198"/>
      <c r="O11" s="198"/>
      <c r="P11" s="198"/>
      <c r="Q11" s="66"/>
    </row>
    <row r="12" spans="1:48" x14ac:dyDescent="0.2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</row>
    <row r="13" spans="1:48" ht="15" x14ac:dyDescent="0.2">
      <c r="A13" s="16"/>
      <c r="B13" s="16"/>
      <c r="C13" s="16"/>
      <c r="D13" s="16"/>
      <c r="E13" s="16"/>
      <c r="F13" s="16"/>
    </row>
    <row r="16" spans="1:48" x14ac:dyDescent="0.2">
      <c r="H16" s="17" t="s">
        <v>333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I18" sqref="I18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65" t="s">
        <v>132</v>
      </c>
      <c r="B1" s="65"/>
      <c r="C1" s="64"/>
      <c r="D1" s="64"/>
      <c r="E1" s="64"/>
      <c r="F1" s="64"/>
      <c r="G1" s="64"/>
      <c r="H1" s="67" t="s">
        <v>233</v>
      </c>
      <c r="I1" s="64" t="str">
        <f>Issue</f>
        <v>2024 Show Season V1 7/22/2024</v>
      </c>
      <c r="J1" s="64"/>
      <c r="K1" s="64"/>
      <c r="L1" s="66"/>
      <c r="M1" s="66"/>
    </row>
    <row r="2" spans="1:43" ht="15.75" x14ac:dyDescent="0.25">
      <c r="A2" s="65" t="s">
        <v>129</v>
      </c>
      <c r="B2" s="65"/>
      <c r="C2" s="65"/>
      <c r="D2" s="65"/>
      <c r="E2" s="65"/>
      <c r="F2" s="65"/>
      <c r="G2" s="65"/>
      <c r="H2" s="65"/>
      <c r="I2" s="64"/>
      <c r="J2" s="64"/>
      <c r="K2" s="64"/>
      <c r="L2" s="64"/>
      <c r="M2" s="66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10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77" t="s">
        <v>312</v>
      </c>
      <c r="B3" s="65"/>
      <c r="C3" s="64"/>
      <c r="D3" s="157" t="s">
        <v>143</v>
      </c>
      <c r="E3" s="64"/>
      <c r="F3" s="64"/>
      <c r="G3" s="64"/>
      <c r="H3" s="64"/>
      <c r="I3" s="64"/>
      <c r="J3" s="64"/>
      <c r="K3" s="64"/>
      <c r="L3" s="64"/>
      <c r="M3" s="66"/>
      <c r="N3" s="16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</row>
    <row r="4" spans="1:43" ht="15.75" x14ac:dyDescent="0.25">
      <c r="A4" s="74"/>
      <c r="B4" s="68"/>
      <c r="C4" s="64"/>
      <c r="D4" s="64"/>
      <c r="E4" s="71"/>
      <c r="F4" s="70"/>
      <c r="G4" s="70"/>
      <c r="H4" s="64"/>
      <c r="I4" s="64"/>
      <c r="J4" s="64"/>
      <c r="K4" s="64"/>
      <c r="L4" s="64"/>
      <c r="M4" s="66"/>
      <c r="N4" s="16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</row>
    <row r="5" spans="1:43" ht="16.5" thickBot="1" x14ac:dyDescent="0.3">
      <c r="A5" s="63" t="str">
        <f>A3</f>
        <v>Saturday 01/20/2024</v>
      </c>
      <c r="B5" s="56" t="s">
        <v>106</v>
      </c>
      <c r="C5" s="56" t="s">
        <v>107</v>
      </c>
      <c r="D5" s="56" t="s">
        <v>108</v>
      </c>
      <c r="E5" s="56" t="s">
        <v>109</v>
      </c>
      <c r="F5" s="56" t="s">
        <v>110</v>
      </c>
      <c r="G5" s="56" t="s">
        <v>111</v>
      </c>
      <c r="H5" s="56" t="s">
        <v>112</v>
      </c>
      <c r="I5" s="56" t="s">
        <v>113</v>
      </c>
      <c r="J5" s="56" t="s">
        <v>114</v>
      </c>
      <c r="K5" s="56" t="s">
        <v>115</v>
      </c>
      <c r="L5" s="56" t="s">
        <v>126</v>
      </c>
      <c r="M5" s="66"/>
      <c r="N5" s="16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</row>
    <row r="6" spans="1:43" ht="15" x14ac:dyDescent="0.2">
      <c r="A6" s="57" t="s">
        <v>361</v>
      </c>
      <c r="B6" s="41" t="s">
        <v>39</v>
      </c>
      <c r="C6" s="41" t="s">
        <v>44</v>
      </c>
      <c r="D6" s="41" t="s">
        <v>44</v>
      </c>
      <c r="E6" s="42"/>
      <c r="F6" s="42"/>
      <c r="G6" s="42"/>
      <c r="H6" s="42"/>
      <c r="I6" s="42"/>
      <c r="J6" s="42"/>
      <c r="K6" s="42"/>
      <c r="L6" s="43"/>
      <c r="M6" s="66"/>
      <c r="N6" s="16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</row>
    <row r="7" spans="1:43" ht="15" x14ac:dyDescent="0.2">
      <c r="A7" s="58" t="s">
        <v>361</v>
      </c>
      <c r="B7" s="41" t="s">
        <v>94</v>
      </c>
      <c r="C7" s="41" t="s">
        <v>44</v>
      </c>
      <c r="D7" s="41" t="s">
        <v>44</v>
      </c>
      <c r="E7" s="42"/>
      <c r="F7" s="42"/>
      <c r="G7" s="42"/>
      <c r="H7" s="42"/>
      <c r="I7" s="42"/>
      <c r="J7" s="42"/>
      <c r="K7" s="42"/>
      <c r="L7" s="43"/>
      <c r="M7" s="66"/>
      <c r="N7" s="16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</row>
    <row r="8" spans="1:43" ht="15" x14ac:dyDescent="0.2">
      <c r="A8" s="62" t="s">
        <v>198</v>
      </c>
      <c r="B8" s="52" t="s">
        <v>90</v>
      </c>
      <c r="C8" s="264" t="s">
        <v>315</v>
      </c>
      <c r="D8" s="52" t="s">
        <v>48</v>
      </c>
      <c r="E8" s="175"/>
      <c r="F8" s="51"/>
      <c r="G8" s="51"/>
      <c r="H8" s="51"/>
      <c r="I8" s="51"/>
      <c r="J8" s="51"/>
      <c r="K8" s="51"/>
      <c r="L8" s="176"/>
      <c r="M8" s="66"/>
      <c r="N8" s="16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spans="1:43" ht="15" x14ac:dyDescent="0.2">
      <c r="A9" s="58" t="s">
        <v>200</v>
      </c>
      <c r="B9" s="41" t="s">
        <v>48</v>
      </c>
      <c r="C9" s="41" t="s">
        <v>41</v>
      </c>
      <c r="D9" s="41" t="s">
        <v>96</v>
      </c>
      <c r="E9" s="50"/>
      <c r="F9" s="42"/>
      <c r="G9" s="42"/>
      <c r="H9" s="42"/>
      <c r="I9" s="42"/>
      <c r="J9" s="42"/>
      <c r="K9" s="42"/>
      <c r="L9" s="43"/>
      <c r="M9" s="66"/>
      <c r="N9" s="16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spans="1:43" ht="15" x14ac:dyDescent="0.2">
      <c r="A10" s="59" t="s">
        <v>202</v>
      </c>
      <c r="B10" s="45"/>
      <c r="C10" s="45"/>
      <c r="D10" s="45"/>
      <c r="E10" s="40" t="s">
        <v>48</v>
      </c>
      <c r="F10" s="40" t="s">
        <v>48</v>
      </c>
      <c r="G10" s="40" t="s">
        <v>12</v>
      </c>
      <c r="H10" s="40" t="s">
        <v>39</v>
      </c>
      <c r="I10" s="40" t="s">
        <v>90</v>
      </c>
      <c r="J10" s="40" t="s">
        <v>85</v>
      </c>
      <c r="K10" s="40" t="s">
        <v>90</v>
      </c>
      <c r="L10" s="44"/>
      <c r="M10" s="66"/>
      <c r="N10" s="16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spans="1:43" ht="15" x14ac:dyDescent="0.2">
      <c r="A11" s="59" t="s">
        <v>116</v>
      </c>
      <c r="B11" s="40" t="s">
        <v>91</v>
      </c>
      <c r="C11" s="40" t="s">
        <v>91</v>
      </c>
      <c r="D11" s="40" t="s">
        <v>91</v>
      </c>
      <c r="E11" s="40" t="s">
        <v>91</v>
      </c>
      <c r="F11" s="40" t="s">
        <v>91</v>
      </c>
      <c r="G11" s="40" t="s">
        <v>91</v>
      </c>
      <c r="H11" s="40" t="s">
        <v>95</v>
      </c>
      <c r="I11" s="40" t="s">
        <v>91</v>
      </c>
      <c r="J11" s="40" t="s">
        <v>91</v>
      </c>
      <c r="K11" s="40" t="s">
        <v>91</v>
      </c>
      <c r="L11" s="44"/>
      <c r="M11" s="66"/>
      <c r="N11" s="16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</row>
    <row r="12" spans="1:43" ht="15" x14ac:dyDescent="0.2">
      <c r="A12" s="59" t="s">
        <v>187</v>
      </c>
      <c r="B12" s="40" t="s">
        <v>260</v>
      </c>
      <c r="C12" s="40" t="s">
        <v>260</v>
      </c>
      <c r="D12" s="40" t="s">
        <v>90</v>
      </c>
      <c r="E12" s="40" t="s">
        <v>90</v>
      </c>
      <c r="F12" s="40" t="s">
        <v>96</v>
      </c>
      <c r="G12" s="279" t="s">
        <v>96</v>
      </c>
      <c r="H12" s="40" t="s">
        <v>90</v>
      </c>
      <c r="I12" s="279" t="s">
        <v>96</v>
      </c>
      <c r="J12" s="40" t="s">
        <v>44</v>
      </c>
      <c r="K12" s="40" t="s">
        <v>44</v>
      </c>
      <c r="L12" s="44"/>
      <c r="M12" s="66"/>
      <c r="N12" s="16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</row>
    <row r="13" spans="1:43" ht="15" x14ac:dyDescent="0.2">
      <c r="A13" s="17" t="s">
        <v>372</v>
      </c>
      <c r="B13" s="40"/>
      <c r="C13" s="40"/>
      <c r="D13" s="278" t="s">
        <v>267</v>
      </c>
      <c r="E13" s="278" t="s">
        <v>267</v>
      </c>
      <c r="F13" s="40"/>
      <c r="G13" s="260"/>
      <c r="H13" s="40"/>
      <c r="I13" s="260"/>
      <c r="J13" s="40"/>
      <c r="K13" s="40"/>
      <c r="L13" s="44"/>
      <c r="M13" s="66"/>
      <c r="N13" s="16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</row>
    <row r="14" spans="1:43" ht="15" x14ac:dyDescent="0.2">
      <c r="A14" s="59" t="s">
        <v>204</v>
      </c>
      <c r="B14" s="45"/>
      <c r="C14" s="45"/>
      <c r="D14" s="45"/>
      <c r="E14" s="40" t="s">
        <v>48</v>
      </c>
      <c r="F14" s="40" t="s">
        <v>48</v>
      </c>
      <c r="G14" s="40" t="s">
        <v>39</v>
      </c>
      <c r="H14" s="40" t="s">
        <v>39</v>
      </c>
      <c r="I14" s="40" t="s">
        <v>39</v>
      </c>
      <c r="J14" s="40" t="s">
        <v>48</v>
      </c>
      <c r="K14" s="40" t="s">
        <v>48</v>
      </c>
      <c r="L14" s="44"/>
      <c r="M14" s="66"/>
      <c r="N14" s="16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</row>
    <row r="15" spans="1:43" ht="15" x14ac:dyDescent="0.2">
      <c r="A15" s="58" t="s">
        <v>204</v>
      </c>
      <c r="B15" s="42"/>
      <c r="C15" s="42"/>
      <c r="D15" s="42"/>
      <c r="E15" s="41" t="s">
        <v>85</v>
      </c>
      <c r="F15" s="41" t="s">
        <v>85</v>
      </c>
      <c r="G15" s="41" t="s">
        <v>48</v>
      </c>
      <c r="H15" s="41" t="s">
        <v>7</v>
      </c>
      <c r="I15" s="41" t="s">
        <v>94</v>
      </c>
      <c r="J15" s="41" t="s">
        <v>94</v>
      </c>
      <c r="K15" s="41" t="s">
        <v>85</v>
      </c>
      <c r="L15" s="43"/>
      <c r="M15" s="66"/>
      <c r="N15" s="16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</row>
    <row r="16" spans="1:43" ht="15" x14ac:dyDescent="0.2">
      <c r="A16" s="58" t="s">
        <v>204</v>
      </c>
      <c r="B16" s="42"/>
      <c r="C16" s="42"/>
      <c r="D16" s="42"/>
      <c r="E16" s="41" t="s">
        <v>94</v>
      </c>
      <c r="F16" s="41" t="s">
        <v>96</v>
      </c>
      <c r="G16" s="41" t="s">
        <v>48</v>
      </c>
      <c r="H16" s="41" t="s">
        <v>94</v>
      </c>
      <c r="I16" s="50"/>
      <c r="J16" s="50"/>
      <c r="K16" s="42"/>
      <c r="L16" s="43"/>
      <c r="M16" s="66"/>
      <c r="N16" s="16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</row>
    <row r="17" spans="1:14" ht="15" x14ac:dyDescent="0.2">
      <c r="A17" s="58" t="s">
        <v>204</v>
      </c>
      <c r="B17" s="42"/>
      <c r="C17" s="42"/>
      <c r="D17" s="42"/>
      <c r="E17" s="41" t="s">
        <v>101</v>
      </c>
      <c r="F17" s="41" t="s">
        <v>101</v>
      </c>
      <c r="G17" s="41" t="s">
        <v>94</v>
      </c>
      <c r="H17" s="41" t="s">
        <v>48</v>
      </c>
      <c r="I17" s="42"/>
      <c r="J17" s="42"/>
      <c r="K17" s="42"/>
      <c r="L17" s="43"/>
      <c r="M17" s="66"/>
    </row>
    <row r="18" spans="1:14" ht="15" x14ac:dyDescent="0.2">
      <c r="A18" s="59" t="s">
        <v>206</v>
      </c>
      <c r="B18" s="45"/>
      <c r="C18" s="45"/>
      <c r="D18" s="45"/>
      <c r="E18" s="260" t="s">
        <v>315</v>
      </c>
      <c r="F18" s="260" t="s">
        <v>315</v>
      </c>
      <c r="G18" s="279" t="s">
        <v>96</v>
      </c>
      <c r="H18" s="40" t="s">
        <v>20</v>
      </c>
      <c r="I18" s="280" t="s">
        <v>23</v>
      </c>
      <c r="J18" s="40" t="s">
        <v>7</v>
      </c>
      <c r="K18" s="40" t="s">
        <v>7</v>
      </c>
      <c r="L18" s="44"/>
      <c r="M18" s="66"/>
    </row>
    <row r="19" spans="1:14" ht="15" x14ac:dyDescent="0.2">
      <c r="A19" s="58" t="s">
        <v>206</v>
      </c>
      <c r="B19" s="42"/>
      <c r="C19" s="42"/>
      <c r="D19" s="42"/>
      <c r="E19" s="41" t="s">
        <v>96</v>
      </c>
      <c r="F19" s="41" t="s">
        <v>39</v>
      </c>
      <c r="G19" s="41" t="s">
        <v>39</v>
      </c>
      <c r="H19" s="41" t="s">
        <v>44</v>
      </c>
      <c r="I19" s="41" t="s">
        <v>44</v>
      </c>
      <c r="J19" s="41" t="s">
        <v>260</v>
      </c>
      <c r="K19" s="41" t="s">
        <v>260</v>
      </c>
      <c r="L19" s="43"/>
      <c r="M19" s="66"/>
      <c r="N19" s="16"/>
    </row>
    <row r="20" spans="1:14" ht="15" x14ac:dyDescent="0.2">
      <c r="A20" s="58" t="s">
        <v>206</v>
      </c>
      <c r="B20" s="42"/>
      <c r="C20" s="42"/>
      <c r="D20" s="42"/>
      <c r="E20" s="270" t="s">
        <v>18</v>
      </c>
      <c r="F20" s="270" t="s">
        <v>18</v>
      </c>
      <c r="G20" s="41" t="s">
        <v>101</v>
      </c>
      <c r="H20" s="41" t="s">
        <v>101</v>
      </c>
      <c r="I20" s="42"/>
      <c r="J20" s="42"/>
      <c r="K20" s="42"/>
      <c r="L20" s="43"/>
      <c r="M20" s="66"/>
    </row>
    <row r="21" spans="1:14" ht="15" x14ac:dyDescent="0.2">
      <c r="A21" s="58" t="s">
        <v>206</v>
      </c>
      <c r="B21" s="42"/>
      <c r="C21" s="42"/>
      <c r="D21" s="42"/>
      <c r="E21" s="41" t="s">
        <v>90</v>
      </c>
      <c r="F21" s="41" t="s">
        <v>90</v>
      </c>
      <c r="G21" s="41" t="s">
        <v>90</v>
      </c>
      <c r="H21" s="41" t="s">
        <v>90</v>
      </c>
      <c r="I21" s="42"/>
      <c r="J21" s="42"/>
      <c r="K21" s="42"/>
      <c r="L21" s="43"/>
      <c r="M21" s="66"/>
    </row>
    <row r="22" spans="1:14" ht="15" x14ac:dyDescent="0.2">
      <c r="A22" s="59" t="s">
        <v>363</v>
      </c>
      <c r="B22" s="45"/>
      <c r="C22" s="45"/>
      <c r="D22" s="45"/>
      <c r="E22" s="260" t="s">
        <v>315</v>
      </c>
      <c r="F22" s="260" t="s">
        <v>315</v>
      </c>
      <c r="G22" s="40" t="s">
        <v>96</v>
      </c>
      <c r="H22" s="269" t="s">
        <v>18</v>
      </c>
      <c r="I22" s="269" t="s">
        <v>18</v>
      </c>
      <c r="J22" s="40" t="s">
        <v>90</v>
      </c>
      <c r="K22" s="40" t="s">
        <v>260</v>
      </c>
      <c r="L22" s="44"/>
      <c r="M22" s="66"/>
    </row>
    <row r="23" spans="1:14" ht="15" x14ac:dyDescent="0.2">
      <c r="A23" s="59" t="s">
        <v>362</v>
      </c>
      <c r="B23" s="45"/>
      <c r="C23" s="45"/>
      <c r="D23" s="45"/>
      <c r="E23" s="40" t="s">
        <v>267</v>
      </c>
      <c r="F23" s="40" t="s">
        <v>94</v>
      </c>
      <c r="G23" s="40" t="s">
        <v>165</v>
      </c>
      <c r="H23" s="40" t="s">
        <v>85</v>
      </c>
      <c r="I23" s="40" t="s">
        <v>12</v>
      </c>
      <c r="J23" s="40" t="s">
        <v>12</v>
      </c>
      <c r="K23" s="214" t="s">
        <v>94</v>
      </c>
      <c r="L23" s="44"/>
      <c r="M23" s="66"/>
    </row>
    <row r="24" spans="1:14" ht="15" x14ac:dyDescent="0.2">
      <c r="A24" s="59" t="s">
        <v>197</v>
      </c>
      <c r="B24" s="45"/>
      <c r="C24" s="45"/>
      <c r="D24" s="45"/>
      <c r="E24" s="40" t="s">
        <v>260</v>
      </c>
      <c r="F24" s="40" t="s">
        <v>260</v>
      </c>
      <c r="G24" s="40" t="s">
        <v>95</v>
      </c>
      <c r="H24" s="40" t="s">
        <v>48</v>
      </c>
      <c r="I24" s="40" t="s">
        <v>48</v>
      </c>
      <c r="J24" s="40" t="s">
        <v>48</v>
      </c>
      <c r="K24" s="40" t="s">
        <v>101</v>
      </c>
      <c r="L24" s="44"/>
      <c r="M24" s="66"/>
    </row>
    <row r="25" spans="1:14" ht="15" x14ac:dyDescent="0.2">
      <c r="A25" s="59" t="s">
        <v>194</v>
      </c>
      <c r="B25" s="40" t="s">
        <v>95</v>
      </c>
      <c r="C25" s="40" t="s">
        <v>95</v>
      </c>
      <c r="D25" s="40" t="s">
        <v>85</v>
      </c>
      <c r="E25" s="45"/>
      <c r="F25" s="45"/>
      <c r="G25" s="45"/>
      <c r="H25" s="45"/>
      <c r="I25" s="45"/>
      <c r="J25" s="45"/>
      <c r="K25" s="45"/>
      <c r="L25" s="44"/>
      <c r="M25" s="66"/>
    </row>
    <row r="26" spans="1:14" ht="15" x14ac:dyDescent="0.2">
      <c r="A26" s="59" t="s">
        <v>78</v>
      </c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7" t="s">
        <v>39</v>
      </c>
      <c r="M26" s="66"/>
    </row>
    <row r="27" spans="1:14" ht="15" x14ac:dyDescent="0.2">
      <c r="A27" s="60" t="s">
        <v>78</v>
      </c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49" t="s">
        <v>39</v>
      </c>
      <c r="M27" s="66"/>
    </row>
    <row r="28" spans="1:14" ht="15" x14ac:dyDescent="0.2">
      <c r="A28" s="64" t="s">
        <v>304</v>
      </c>
      <c r="B28" s="42"/>
      <c r="C28" s="42"/>
      <c r="D28" s="42"/>
      <c r="E28" s="183" t="s">
        <v>12</v>
      </c>
      <c r="F28" s="183" t="s">
        <v>12</v>
      </c>
      <c r="G28" s="183" t="s">
        <v>39</v>
      </c>
      <c r="H28" s="183" t="s">
        <v>96</v>
      </c>
      <c r="I28" s="183" t="s">
        <v>7</v>
      </c>
      <c r="J28" s="183" t="s">
        <v>39</v>
      </c>
      <c r="K28" s="183" t="s">
        <v>39</v>
      </c>
      <c r="L28" s="45"/>
      <c r="M28" s="66"/>
    </row>
    <row r="29" spans="1:14" x14ac:dyDescent="0.2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</row>
    <row r="30" spans="1:14" ht="15" x14ac:dyDescent="0.2">
      <c r="A30" s="16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4"/>
  <sheetViews>
    <sheetView topLeftCell="A7" workbookViewId="0">
      <selection activeCell="A23" sqref="A23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65" t="s">
        <v>133</v>
      </c>
      <c r="B1" s="65"/>
      <c r="C1" s="65"/>
      <c r="D1" s="65"/>
      <c r="E1" s="65"/>
      <c r="F1" s="65"/>
      <c r="G1" s="65" t="s">
        <v>233</v>
      </c>
      <c r="H1" s="68" t="str">
        <f>Issue</f>
        <v>2024 Show Season V1 7/22/2024</v>
      </c>
      <c r="I1" s="64"/>
      <c r="J1" s="64"/>
      <c r="K1" s="64"/>
      <c r="L1" s="66"/>
    </row>
    <row r="2" spans="1:42" ht="15.75" x14ac:dyDescent="0.25">
      <c r="A2" s="73" t="s">
        <v>134</v>
      </c>
      <c r="B2" s="73"/>
      <c r="C2" s="73"/>
      <c r="D2" s="65"/>
      <c r="E2" s="64"/>
      <c r="F2" s="64"/>
      <c r="G2" s="64"/>
      <c r="H2" s="64"/>
      <c r="I2" s="64"/>
      <c r="J2" s="64"/>
      <c r="K2" s="64"/>
      <c r="L2" s="66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10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72" t="s">
        <v>313</v>
      </c>
      <c r="B3" s="200"/>
      <c r="C3" s="200"/>
      <c r="D3" s="65"/>
      <c r="E3" s="66"/>
      <c r="F3" s="157" t="s">
        <v>144</v>
      </c>
      <c r="G3" s="64"/>
      <c r="H3" s="64"/>
      <c r="I3" s="64"/>
      <c r="J3" s="64"/>
      <c r="K3" s="64"/>
      <c r="L3" s="66"/>
      <c r="M3" s="16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</row>
    <row r="4" spans="1:42" ht="15.75" x14ac:dyDescent="0.25">
      <c r="A4" s="65"/>
      <c r="B4" s="65"/>
      <c r="C4" s="65"/>
      <c r="D4" s="64"/>
      <c r="E4" s="71"/>
      <c r="F4" s="70"/>
      <c r="G4" s="70"/>
      <c r="H4" s="64"/>
      <c r="I4" s="64"/>
      <c r="J4" s="64"/>
      <c r="K4" s="64"/>
      <c r="L4" s="66"/>
      <c r="M4" s="16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</row>
    <row r="5" spans="1:42" ht="15.75" x14ac:dyDescent="0.25">
      <c r="A5" s="65" t="str">
        <f>A3</f>
        <v>Sunday 01/21/2024</v>
      </c>
      <c r="B5" s="73" t="s">
        <v>106</v>
      </c>
      <c r="C5" s="73" t="s">
        <v>107</v>
      </c>
      <c r="D5" s="177" t="s">
        <v>108</v>
      </c>
      <c r="E5" s="177" t="s">
        <v>109</v>
      </c>
      <c r="F5" s="177" t="s">
        <v>110</v>
      </c>
      <c r="G5" s="177" t="s">
        <v>111</v>
      </c>
      <c r="H5" s="177" t="s">
        <v>112</v>
      </c>
      <c r="I5" s="177" t="s">
        <v>113</v>
      </c>
      <c r="J5" s="177" t="s">
        <v>114</v>
      </c>
      <c r="K5" s="177" t="s">
        <v>115</v>
      </c>
      <c r="L5" s="64"/>
      <c r="M5" s="16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</row>
    <row r="6" spans="1:42" ht="15" x14ac:dyDescent="0.2">
      <c r="A6" s="62" t="s">
        <v>199</v>
      </c>
      <c r="B6" s="206"/>
      <c r="C6" s="206"/>
      <c r="D6" s="52" t="s">
        <v>41</v>
      </c>
      <c r="E6" s="175"/>
      <c r="F6" s="51"/>
      <c r="G6" s="51"/>
      <c r="H6" s="51"/>
      <c r="I6" s="51"/>
      <c r="J6" s="51"/>
      <c r="K6" s="176"/>
      <c r="L6" s="75"/>
      <c r="M6" s="16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</row>
    <row r="7" spans="1:42" ht="15" x14ac:dyDescent="0.2">
      <c r="A7" s="58" t="s">
        <v>201</v>
      </c>
      <c r="B7" s="64"/>
      <c r="C7" s="64"/>
      <c r="D7" s="41" t="s">
        <v>94</v>
      </c>
      <c r="E7" s="50"/>
      <c r="F7" s="42"/>
      <c r="G7" s="42"/>
      <c r="H7" s="42"/>
      <c r="I7" s="42"/>
      <c r="J7" s="42"/>
      <c r="K7" s="43"/>
      <c r="L7" s="66"/>
      <c r="M7" s="16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</row>
    <row r="8" spans="1:42" ht="15" x14ac:dyDescent="0.2">
      <c r="A8" s="59" t="s">
        <v>203</v>
      </c>
      <c r="B8" s="197"/>
      <c r="C8" s="197"/>
      <c r="D8" s="45"/>
      <c r="E8" s="40" t="s">
        <v>20</v>
      </c>
      <c r="F8" s="40" t="s">
        <v>48</v>
      </c>
      <c r="G8" s="40" t="s">
        <v>48</v>
      </c>
      <c r="H8" s="40" t="s">
        <v>20</v>
      </c>
      <c r="I8" s="40" t="s">
        <v>94</v>
      </c>
      <c r="J8" s="40" t="s">
        <v>90</v>
      </c>
      <c r="K8" s="44"/>
      <c r="L8" s="66"/>
      <c r="M8" s="16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</row>
    <row r="9" spans="1:42" ht="15" x14ac:dyDescent="0.2">
      <c r="A9" s="59" t="s">
        <v>127</v>
      </c>
      <c r="B9" s="197"/>
      <c r="C9" s="197"/>
      <c r="D9" s="40" t="s">
        <v>7</v>
      </c>
      <c r="E9" s="40" t="s">
        <v>85</v>
      </c>
      <c r="F9" s="40" t="s">
        <v>41</v>
      </c>
      <c r="G9" s="40" t="s">
        <v>41</v>
      </c>
      <c r="H9" s="40" t="s">
        <v>12</v>
      </c>
      <c r="I9" s="40" t="s">
        <v>90</v>
      </c>
      <c r="J9" s="40" t="s">
        <v>44</v>
      </c>
      <c r="K9" s="44"/>
      <c r="L9" s="66"/>
      <c r="M9" s="16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</row>
    <row r="10" spans="1:42" ht="15" x14ac:dyDescent="0.2">
      <c r="A10" s="59" t="s">
        <v>188</v>
      </c>
      <c r="B10" s="197"/>
      <c r="C10" s="197"/>
      <c r="D10" s="40" t="s">
        <v>267</v>
      </c>
      <c r="E10" s="40" t="s">
        <v>96</v>
      </c>
      <c r="F10" s="40" t="s">
        <v>94</v>
      </c>
      <c r="G10" s="40" t="s">
        <v>23</v>
      </c>
      <c r="H10" s="40" t="s">
        <v>90</v>
      </c>
      <c r="I10" s="40" t="s">
        <v>44</v>
      </c>
      <c r="J10" s="40" t="s">
        <v>101</v>
      </c>
      <c r="K10" s="44"/>
      <c r="L10" s="66"/>
      <c r="M10" s="16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</row>
    <row r="11" spans="1:42" ht="15" x14ac:dyDescent="0.2">
      <c r="A11" s="59" t="s">
        <v>205</v>
      </c>
      <c r="B11" s="197"/>
      <c r="C11" s="197"/>
      <c r="D11" s="45"/>
      <c r="E11" s="260" t="s">
        <v>315</v>
      </c>
      <c r="F11" s="260" t="s">
        <v>315</v>
      </c>
      <c r="G11" s="40" t="s">
        <v>12</v>
      </c>
      <c r="H11" s="40" t="s">
        <v>12</v>
      </c>
      <c r="I11" s="40" t="s">
        <v>96</v>
      </c>
      <c r="J11" s="44"/>
      <c r="K11" s="44"/>
      <c r="L11" s="66"/>
      <c r="M11" s="16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</row>
    <row r="12" spans="1:42" ht="15" x14ac:dyDescent="0.2">
      <c r="A12" s="58" t="s">
        <v>205</v>
      </c>
      <c r="B12" s="64"/>
      <c r="C12" s="64"/>
      <c r="D12" s="42"/>
      <c r="E12" s="41" t="s">
        <v>90</v>
      </c>
      <c r="F12" s="41" t="s">
        <v>90</v>
      </c>
      <c r="G12" s="41" t="s">
        <v>90</v>
      </c>
      <c r="H12" s="41" t="s">
        <v>90</v>
      </c>
      <c r="I12" s="41" t="s">
        <v>85</v>
      </c>
      <c r="J12" s="43"/>
      <c r="K12" s="43"/>
      <c r="L12" s="66"/>
      <c r="M12" s="16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</row>
    <row r="13" spans="1:42" ht="15" x14ac:dyDescent="0.2">
      <c r="A13" s="58" t="s">
        <v>205</v>
      </c>
      <c r="B13" s="64"/>
      <c r="C13" s="64"/>
      <c r="D13" s="42"/>
      <c r="E13" s="42"/>
      <c r="F13" s="42"/>
      <c r="G13" s="40" t="s">
        <v>39</v>
      </c>
      <c r="H13" s="41" t="s">
        <v>39</v>
      </c>
      <c r="I13" s="42"/>
      <c r="J13" s="42"/>
      <c r="K13" s="43"/>
      <c r="L13" s="66"/>
      <c r="M13" s="16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</row>
    <row r="14" spans="1:42" ht="15" x14ac:dyDescent="0.2">
      <c r="A14" s="58" t="s">
        <v>205</v>
      </c>
      <c r="B14" s="64"/>
      <c r="C14" s="64"/>
      <c r="D14" s="42"/>
      <c r="E14" s="42"/>
      <c r="F14" s="42"/>
      <c r="G14" s="41" t="s">
        <v>165</v>
      </c>
      <c r="H14" s="41" t="s">
        <v>94</v>
      </c>
      <c r="I14" s="42"/>
      <c r="J14" s="42"/>
      <c r="K14" s="43"/>
      <c r="L14" s="66"/>
      <c r="M14" s="16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</row>
    <row r="15" spans="1:42" ht="15" x14ac:dyDescent="0.2">
      <c r="A15" s="59" t="s">
        <v>207</v>
      </c>
      <c r="B15" s="197"/>
      <c r="C15" s="197"/>
      <c r="D15" s="45"/>
      <c r="E15" s="40" t="s">
        <v>96</v>
      </c>
      <c r="F15" s="40" t="s">
        <v>96</v>
      </c>
      <c r="G15" s="40" t="s">
        <v>96</v>
      </c>
      <c r="H15" s="40" t="s">
        <v>48</v>
      </c>
      <c r="I15" s="40" t="s">
        <v>48</v>
      </c>
      <c r="J15" s="44"/>
      <c r="K15" s="44"/>
      <c r="L15" s="66"/>
    </row>
    <row r="16" spans="1:42" ht="15" x14ac:dyDescent="0.2">
      <c r="A16" s="58" t="s">
        <v>207</v>
      </c>
      <c r="B16" s="64"/>
      <c r="C16" s="64"/>
      <c r="D16" s="42"/>
      <c r="E16" s="41" t="s">
        <v>101</v>
      </c>
      <c r="F16" s="41" t="s">
        <v>101</v>
      </c>
      <c r="G16" s="41" t="s">
        <v>48</v>
      </c>
      <c r="H16" s="41" t="s">
        <v>101</v>
      </c>
      <c r="I16" s="41" t="s">
        <v>7</v>
      </c>
      <c r="J16" s="43"/>
      <c r="K16" s="43"/>
      <c r="L16" s="66"/>
      <c r="N16" s="19"/>
    </row>
    <row r="17" spans="1:12" ht="15" x14ac:dyDescent="0.2">
      <c r="A17" s="58" t="s">
        <v>207</v>
      </c>
      <c r="B17" s="64"/>
      <c r="C17" s="64"/>
      <c r="D17" s="42"/>
      <c r="E17" s="42"/>
      <c r="F17" s="42"/>
      <c r="G17" s="41" t="s">
        <v>41</v>
      </c>
      <c r="H17" s="41" t="s">
        <v>41</v>
      </c>
      <c r="I17" s="42"/>
      <c r="J17" s="42"/>
      <c r="K17" s="43"/>
      <c r="L17" s="66"/>
    </row>
    <row r="18" spans="1:12" ht="15" x14ac:dyDescent="0.2">
      <c r="A18" s="58" t="s">
        <v>207</v>
      </c>
      <c r="B18" s="64"/>
      <c r="C18" s="64"/>
      <c r="D18" s="42"/>
      <c r="E18" s="42"/>
      <c r="F18" s="42"/>
      <c r="G18" s="41" t="s">
        <v>101</v>
      </c>
      <c r="H18" s="41" t="s">
        <v>260</v>
      </c>
      <c r="I18" s="42"/>
      <c r="J18" s="42"/>
      <c r="K18" s="43"/>
      <c r="L18" s="66"/>
    </row>
    <row r="19" spans="1:12" ht="15" x14ac:dyDescent="0.2">
      <c r="A19" s="59" t="s">
        <v>193</v>
      </c>
      <c r="B19" s="197"/>
      <c r="C19" s="197"/>
      <c r="D19" s="45"/>
      <c r="E19" s="40" t="s">
        <v>39</v>
      </c>
      <c r="F19" s="40" t="s">
        <v>7</v>
      </c>
      <c r="G19" s="40" t="s">
        <v>94</v>
      </c>
      <c r="H19" s="40" t="s">
        <v>95</v>
      </c>
      <c r="I19" s="40" t="s">
        <v>101</v>
      </c>
      <c r="J19" s="40" t="s">
        <v>267</v>
      </c>
      <c r="K19" s="44"/>
      <c r="L19" s="66"/>
    </row>
    <row r="20" spans="1:12" ht="15" x14ac:dyDescent="0.2">
      <c r="A20" s="59" t="s">
        <v>362</v>
      </c>
      <c r="B20" s="197"/>
      <c r="C20" s="197"/>
      <c r="D20" s="45"/>
      <c r="E20" s="40" t="s">
        <v>12</v>
      </c>
      <c r="F20" s="40" t="s">
        <v>39</v>
      </c>
      <c r="G20" s="40" t="s">
        <v>85</v>
      </c>
      <c r="H20" s="40" t="s">
        <v>7</v>
      </c>
      <c r="I20" s="40" t="s">
        <v>90</v>
      </c>
      <c r="J20" s="44"/>
      <c r="K20" s="44"/>
      <c r="L20" s="64"/>
    </row>
    <row r="21" spans="1:12" ht="15" x14ac:dyDescent="0.2">
      <c r="A21" s="59" t="s">
        <v>196</v>
      </c>
      <c r="B21" s="197"/>
      <c r="C21" s="197"/>
      <c r="D21" s="45"/>
      <c r="E21" s="41" t="s">
        <v>7</v>
      </c>
      <c r="F21" s="40" t="s">
        <v>94</v>
      </c>
      <c r="G21" s="40" t="s">
        <v>267</v>
      </c>
      <c r="H21" s="40" t="s">
        <v>48</v>
      </c>
      <c r="I21" s="40" t="s">
        <v>48</v>
      </c>
      <c r="J21" s="40" t="s">
        <v>94</v>
      </c>
      <c r="K21" s="44"/>
      <c r="L21" s="66"/>
    </row>
    <row r="22" spans="1:12" ht="15" x14ac:dyDescent="0.2">
      <c r="A22" s="59" t="s">
        <v>305</v>
      </c>
      <c r="B22" s="197"/>
      <c r="C22" s="197"/>
      <c r="D22" s="45"/>
      <c r="E22" s="40" t="s">
        <v>90</v>
      </c>
      <c r="F22" s="40" t="s">
        <v>90</v>
      </c>
      <c r="G22" s="40" t="s">
        <v>260</v>
      </c>
      <c r="H22" s="40" t="s">
        <v>94</v>
      </c>
      <c r="I22" s="40" t="s">
        <v>94</v>
      </c>
      <c r="J22" s="40" t="s">
        <v>94</v>
      </c>
      <c r="K22" s="44"/>
      <c r="L22" s="66"/>
    </row>
    <row r="23" spans="1:12" ht="15" x14ac:dyDescent="0.2">
      <c r="A23" s="59"/>
      <c r="B23" s="197"/>
      <c r="C23" s="197"/>
      <c r="D23" s="45"/>
      <c r="E23" s="40"/>
      <c r="F23" s="40"/>
      <c r="G23" s="40"/>
      <c r="H23" s="40"/>
      <c r="I23" s="40"/>
      <c r="J23" s="40"/>
      <c r="K23" s="44"/>
      <c r="L23" s="66"/>
    </row>
    <row r="24" spans="1:12" ht="15" x14ac:dyDescent="0.2">
      <c r="A24" s="59" t="s">
        <v>195</v>
      </c>
      <c r="B24" s="197"/>
      <c r="C24" s="197"/>
      <c r="D24" s="40" t="s">
        <v>96</v>
      </c>
      <c r="E24" s="45"/>
      <c r="F24" s="45"/>
      <c r="G24" s="45"/>
      <c r="H24" s="45"/>
      <c r="I24" s="45"/>
      <c r="J24" s="45"/>
      <c r="K24" s="44"/>
      <c r="L24" s="66"/>
    </row>
    <row r="25" spans="1:12" ht="15" x14ac:dyDescent="0.2">
      <c r="A25" s="59" t="s">
        <v>212</v>
      </c>
      <c r="B25" s="197"/>
      <c r="C25" s="197"/>
      <c r="D25" s="45"/>
      <c r="E25" s="45"/>
      <c r="F25" s="45"/>
      <c r="G25" s="45"/>
      <c r="H25" s="45"/>
      <c r="I25" s="45"/>
      <c r="J25" s="45"/>
      <c r="K25" s="47" t="s">
        <v>23</v>
      </c>
      <c r="L25" s="66"/>
    </row>
    <row r="26" spans="1:12" ht="15" x14ac:dyDescent="0.2">
      <c r="A26" s="58" t="s">
        <v>212</v>
      </c>
      <c r="B26" s="64"/>
      <c r="C26" s="64"/>
      <c r="D26" s="42"/>
      <c r="E26" s="42"/>
      <c r="F26" s="42"/>
      <c r="I26" s="42"/>
      <c r="J26" s="42"/>
      <c r="K26" s="48" t="s">
        <v>23</v>
      </c>
      <c r="L26" s="66"/>
    </row>
    <row r="27" spans="1:12" ht="15" x14ac:dyDescent="0.2">
      <c r="A27" s="58" t="s">
        <v>212</v>
      </c>
      <c r="B27" s="64"/>
      <c r="C27" s="64"/>
      <c r="D27" s="50"/>
      <c r="E27" s="50"/>
      <c r="F27" s="50"/>
      <c r="G27" s="50"/>
      <c r="H27" s="50"/>
      <c r="I27" s="50"/>
      <c r="J27" s="50"/>
      <c r="K27" s="48" t="s">
        <v>23</v>
      </c>
      <c r="L27" s="66"/>
    </row>
    <row r="28" spans="1:12" ht="15" x14ac:dyDescent="0.2">
      <c r="A28" s="58" t="s">
        <v>212</v>
      </c>
      <c r="B28" s="64"/>
      <c r="C28" s="64"/>
      <c r="D28" s="50"/>
      <c r="E28" s="50"/>
      <c r="F28" s="50"/>
      <c r="G28" s="50"/>
      <c r="H28" s="50"/>
      <c r="I28" s="50"/>
      <c r="J28" s="50"/>
      <c r="K28" s="48" t="s">
        <v>23</v>
      </c>
      <c r="L28" s="66"/>
    </row>
    <row r="29" spans="1:12" ht="15" x14ac:dyDescent="0.2">
      <c r="A29" s="58" t="s">
        <v>212</v>
      </c>
      <c r="B29" s="64"/>
      <c r="C29" s="64"/>
      <c r="D29" s="50"/>
      <c r="E29" s="50"/>
      <c r="F29" s="50"/>
      <c r="G29" s="50"/>
      <c r="H29" s="50"/>
      <c r="I29" s="50"/>
      <c r="J29" s="50"/>
      <c r="K29" s="48" t="s">
        <v>23</v>
      </c>
      <c r="L29" s="66"/>
    </row>
    <row r="30" spans="1:12" ht="15" x14ac:dyDescent="0.2">
      <c r="A30" s="60" t="s">
        <v>212</v>
      </c>
      <c r="B30" s="201"/>
      <c r="C30" s="201"/>
      <c r="D30" s="46"/>
      <c r="E30" s="46"/>
      <c r="F30" s="46"/>
      <c r="G30" s="46"/>
      <c r="H30" s="46"/>
      <c r="I30" s="46"/>
      <c r="J30" s="46"/>
      <c r="K30" s="49" t="s">
        <v>23</v>
      </c>
      <c r="L30" s="66"/>
    </row>
    <row r="31" spans="1:12" x14ac:dyDescent="0.2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</row>
    <row r="32" spans="1:12" ht="15" x14ac:dyDescent="0.2">
      <c r="A32" s="16"/>
      <c r="B32" s="16"/>
      <c r="C32" s="16"/>
    </row>
    <row r="34" spans="12:12" ht="15" x14ac:dyDescent="0.2">
      <c r="L34" s="16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>
      <selection activeCell="C2" sqref="C2"/>
    </sheetView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7" t="s">
        <v>307</v>
      </c>
    </row>
    <row r="2" spans="1:26" ht="15.75" x14ac:dyDescent="0.25">
      <c r="A2" s="27" t="s">
        <v>153</v>
      </c>
      <c r="B2" s="21"/>
      <c r="C2" s="82" t="s">
        <v>315</v>
      </c>
      <c r="D2" s="22"/>
    </row>
    <row r="3" spans="1:26" x14ac:dyDescent="0.2">
      <c r="A3" s="27" t="s">
        <v>128</v>
      </c>
      <c r="B3" s="21"/>
      <c r="C3" s="54" t="str">
        <f>VLOOKUP(ClubSumSymbol,ClubList,2,FALSE)</f>
        <v>North Texas Railroad Modelers</v>
      </c>
      <c r="D3" s="22"/>
    </row>
    <row r="4" spans="1:26" x14ac:dyDescent="0.2">
      <c r="A4" t="s">
        <v>251</v>
      </c>
      <c r="C4" s="2" t="str">
        <f>VLOOKUP(ClubSumSymbol,ClubList,7,FALSE)</f>
        <v>Brian Lingle</v>
      </c>
    </row>
    <row r="5" spans="1:26" x14ac:dyDescent="0.2">
      <c r="A5" t="s">
        <v>252</v>
      </c>
      <c r="B5" s="78" t="str">
        <f>VLOOKUP(ClubSumSymbol,ClubList,8,FALSE)</f>
        <v>Assign times in mornong to allow meeting open house hours, manages magazine adds.</v>
      </c>
      <c r="C5" s="2"/>
    </row>
    <row r="6" spans="1:26" ht="15.75" x14ac:dyDescent="0.25">
      <c r="H6" s="83" t="s">
        <v>233</v>
      </c>
      <c r="I6" s="174" t="str">
        <f>Issue</f>
        <v>2024 Show Season V1 7/22/2024</v>
      </c>
    </row>
    <row r="7" spans="1:26" x14ac:dyDescent="0.2">
      <c r="B7" s="81" t="s">
        <v>161</v>
      </c>
      <c r="C7" s="81" t="s">
        <v>234</v>
      </c>
      <c r="D7" s="81" t="s">
        <v>162</v>
      </c>
      <c r="E7" s="81" t="s">
        <v>235</v>
      </c>
      <c r="F7" s="81" t="s">
        <v>118</v>
      </c>
    </row>
    <row r="8" spans="1:26" x14ac:dyDescent="0.2">
      <c r="A8" s="78" t="s">
        <v>160</v>
      </c>
      <c r="B8" s="79">
        <f>SUMIF(HTSPreshowTaskClubs,C2,HTSPreshowTaskHours)</f>
        <v>9</v>
      </c>
      <c r="C8" s="79" t="e">
        <f>COUNTIF(#REF!,"BNRR")</f>
        <v>#REF!</v>
      </c>
      <c r="D8" s="79">
        <f>SUMIF(DATPreshowTaskClubs,C2,DATPreshowTaskHours)</f>
        <v>9</v>
      </c>
      <c r="E8" s="79" t="e">
        <f>COUNTIF(#REF!,"BNRR")</f>
        <v>#REF!</v>
      </c>
      <c r="F8" s="79" t="e">
        <f>SUM(B8:E8)</f>
        <v>#REF!</v>
      </c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spans="1:26" x14ac:dyDescent="0.2">
      <c r="A9" s="78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spans="1:26" x14ac:dyDescent="0.2">
      <c r="A10" s="78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601" spans="1:26" x14ac:dyDescent="0.2">
      <c r="A601" s="80"/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</row>
    <row r="602" spans="1:26" x14ac:dyDescent="0.2">
      <c r="A602" s="80"/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topLeftCell="A44" workbookViewId="0">
      <selection activeCell="C50" sqref="C50"/>
    </sheetView>
  </sheetViews>
  <sheetFormatPr defaultColWidth="9.140625" defaultRowHeight="15.75" x14ac:dyDescent="0.25"/>
  <cols>
    <col min="1" max="1" width="7.42578125" style="83" customWidth="1"/>
    <col min="2" max="2" width="7.85546875" style="83" customWidth="1"/>
    <col min="3" max="3" width="35.7109375" style="86" customWidth="1"/>
    <col min="4" max="4" width="4.28515625" style="83" customWidth="1"/>
    <col min="5" max="6" width="11.42578125" style="83" customWidth="1"/>
    <col min="7" max="7" width="20" style="83" customWidth="1"/>
    <col min="8" max="8" width="11.42578125" style="83" customWidth="1"/>
    <col min="9" max="9" width="4.28515625" style="83" customWidth="1"/>
    <col min="10" max="16384" width="9.140625" style="83"/>
  </cols>
  <sheetData>
    <row r="1" spans="1:26" s="16" customFormat="1" ht="15" x14ac:dyDescent="0.2">
      <c r="A1" s="16" t="s">
        <v>233</v>
      </c>
      <c r="B1" s="16" t="str">
        <f>Issue</f>
        <v>2024 Show Season V1 7/22/2024</v>
      </c>
      <c r="C1" s="87"/>
    </row>
    <row r="2" spans="1:26" x14ac:dyDescent="0.25">
      <c r="H2" s="164"/>
      <c r="I2"/>
    </row>
    <row r="3" spans="1:26" ht="19.5" customHeight="1" x14ac:dyDescent="0.4">
      <c r="B3" s="193"/>
      <c r="C3" s="191" t="s">
        <v>286</v>
      </c>
      <c r="D3" s="192"/>
      <c r="E3" s="91" t="e">
        <f>VLOOKUP(SelShowDay,ShowDates,3,FALSE)</f>
        <v>#N/A</v>
      </c>
      <c r="F3" s="90"/>
      <c r="G3" s="90"/>
      <c r="H3" s="185" t="s">
        <v>106</v>
      </c>
      <c r="I3" s="92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61"/>
      <c r="C5" s="87" t="s">
        <v>163</v>
      </c>
      <c r="F5" s="16" t="s">
        <v>164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89">
        <v>114</v>
      </c>
      <c r="B6" s="78" t="s">
        <v>106</v>
      </c>
      <c r="C6" s="78" t="s">
        <v>107</v>
      </c>
      <c r="D6" s="78" t="s">
        <v>108</v>
      </c>
      <c r="E6" s="78" t="s">
        <v>109</v>
      </c>
      <c r="F6" s="78" t="s">
        <v>110</v>
      </c>
      <c r="G6" s="78" t="s">
        <v>111</v>
      </c>
      <c r="H6" s="78" t="s">
        <v>112</v>
      </c>
      <c r="I6" s="78" t="s">
        <v>113</v>
      </c>
      <c r="J6" s="78" t="s">
        <v>114</v>
      </c>
      <c r="K6" s="78" t="s">
        <v>115</v>
      </c>
      <c r="L6" s="78" t="s">
        <v>126</v>
      </c>
      <c r="M6" s="78" t="s">
        <v>151</v>
      </c>
      <c r="N6" s="78" t="s">
        <v>106</v>
      </c>
      <c r="O6" s="78" t="s">
        <v>107</v>
      </c>
      <c r="P6" s="78" t="s">
        <v>108</v>
      </c>
      <c r="Q6" s="78" t="s">
        <v>152</v>
      </c>
      <c r="R6" s="78"/>
      <c r="S6" s="78"/>
      <c r="T6" s="78"/>
      <c r="U6" s="78"/>
      <c r="V6" s="78"/>
      <c r="W6" s="78"/>
      <c r="X6" s="78"/>
      <c r="Y6" s="78"/>
      <c r="Z6" s="78"/>
    </row>
    <row r="7" spans="1:26" x14ac:dyDescent="0.25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</row>
    <row r="8" spans="1:26" x14ac:dyDescent="0.25">
      <c r="A8" s="84" t="s">
        <v>179</v>
      </c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</row>
    <row r="9" spans="1:26" x14ac:dyDescent="0.25">
      <c r="A9" s="84"/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</row>
    <row r="10" spans="1:26" ht="16.5" thickBot="1" x14ac:dyDescent="0.3">
      <c r="A10" s="84"/>
      <c r="B10" s="84" t="s">
        <v>111</v>
      </c>
      <c r="C10" s="88" t="s">
        <v>41</v>
      </c>
      <c r="D10" s="85"/>
      <c r="E10" s="85"/>
      <c r="F10" s="85"/>
      <c r="G10" s="85"/>
      <c r="H10" s="85"/>
      <c r="I10" s="85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 spans="1:26" x14ac:dyDescent="0.25">
      <c r="A11" s="84"/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</row>
    <row r="12" spans="1:26" ht="16.5" thickBot="1" x14ac:dyDescent="0.3">
      <c r="A12" s="84"/>
      <c r="B12" s="84" t="s">
        <v>112</v>
      </c>
      <c r="C12" s="88" t="s">
        <v>41</v>
      </c>
      <c r="D12" s="85"/>
      <c r="E12" s="85"/>
      <c r="F12" s="85"/>
      <c r="G12" s="85"/>
      <c r="H12" s="85"/>
      <c r="I12" s="85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1:26" x14ac:dyDescent="0.25">
      <c r="A13" s="84"/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</row>
    <row r="14" spans="1:26" ht="16.5" thickBot="1" x14ac:dyDescent="0.3">
      <c r="A14" s="84"/>
      <c r="B14" s="84" t="s">
        <v>113</v>
      </c>
      <c r="C14" s="88" t="s">
        <v>41</v>
      </c>
      <c r="D14" s="85"/>
      <c r="E14" s="85"/>
      <c r="F14" s="85"/>
      <c r="G14" s="85"/>
      <c r="H14" s="85"/>
      <c r="I14" s="85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</row>
    <row r="15" spans="1:26" x14ac:dyDescent="0.25">
      <c r="A15" s="84"/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</row>
    <row r="16" spans="1:26" ht="16.5" thickBot="1" x14ac:dyDescent="0.3">
      <c r="A16" s="84"/>
      <c r="B16" s="84" t="s">
        <v>114</v>
      </c>
      <c r="C16" s="88" t="s">
        <v>41</v>
      </c>
      <c r="D16" s="85"/>
      <c r="E16" s="85"/>
      <c r="F16" s="85"/>
      <c r="G16" s="85"/>
      <c r="H16" s="85"/>
      <c r="I16" s="85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</row>
    <row r="17" spans="1:26" x14ac:dyDescent="0.25">
      <c r="A17" s="84"/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</row>
    <row r="18" spans="1:26" ht="16.5" thickBot="1" x14ac:dyDescent="0.3">
      <c r="A18" s="84"/>
      <c r="B18" s="84" t="s">
        <v>115</v>
      </c>
      <c r="C18" s="88" t="s">
        <v>41</v>
      </c>
      <c r="D18" s="85"/>
      <c r="E18" s="85"/>
      <c r="F18" s="85"/>
      <c r="G18" s="85"/>
      <c r="H18" s="85"/>
      <c r="I18" s="85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</row>
    <row r="19" spans="1:26" x14ac:dyDescent="0.25">
      <c r="A19" s="84"/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</row>
    <row r="20" spans="1:26" x14ac:dyDescent="0.25">
      <c r="A20" s="84" t="s">
        <v>290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</row>
    <row r="21" spans="1:26" x14ac:dyDescent="0.25">
      <c r="A21" s="84"/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</row>
    <row r="22" spans="1:26" ht="16.5" thickBot="1" x14ac:dyDescent="0.3">
      <c r="A22" s="84"/>
      <c r="B22" s="84" t="s">
        <v>109</v>
      </c>
      <c r="C22" s="88" t="s">
        <v>267</v>
      </c>
      <c r="D22" s="85"/>
      <c r="E22" s="85"/>
      <c r="F22" s="85"/>
      <c r="G22" s="85"/>
      <c r="H22" s="85"/>
      <c r="I22" s="85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</row>
    <row r="23" spans="1:26" x14ac:dyDescent="0.25">
      <c r="A23" s="84"/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</row>
    <row r="24" spans="1:26" ht="16.5" thickBot="1" x14ac:dyDescent="0.3">
      <c r="A24" s="84"/>
      <c r="B24" s="84" t="s">
        <v>110</v>
      </c>
      <c r="C24" s="88" t="s">
        <v>267</v>
      </c>
      <c r="D24" s="85"/>
      <c r="E24" s="85"/>
      <c r="F24" s="85"/>
      <c r="G24" s="85"/>
      <c r="H24" s="85"/>
      <c r="I24" s="85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</row>
    <row r="25" spans="1:26" x14ac:dyDescent="0.25">
      <c r="A25" s="84"/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</row>
    <row r="26" spans="1:26" ht="16.5" thickBot="1" x14ac:dyDescent="0.3">
      <c r="A26" s="84"/>
      <c r="B26" s="84" t="s">
        <v>111</v>
      </c>
      <c r="C26" s="88" t="s">
        <v>23</v>
      </c>
      <c r="D26" s="85"/>
      <c r="E26" s="85"/>
      <c r="F26" s="85"/>
      <c r="G26" s="85"/>
      <c r="H26" s="85"/>
      <c r="I26" s="85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</row>
    <row r="27" spans="1:26" x14ac:dyDescent="0.25">
      <c r="A27" s="84"/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</row>
    <row r="28" spans="1:26" ht="16.5" thickBot="1" x14ac:dyDescent="0.3">
      <c r="A28" s="84"/>
      <c r="B28" s="84" t="s">
        <v>112</v>
      </c>
      <c r="C28" s="88" t="s">
        <v>23</v>
      </c>
      <c r="D28" s="85"/>
      <c r="E28" s="85"/>
      <c r="F28" s="85"/>
      <c r="G28" s="85"/>
      <c r="H28" s="85"/>
      <c r="I28" s="85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</row>
    <row r="29" spans="1:26" x14ac:dyDescent="0.25">
      <c r="A29" s="84"/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</row>
    <row r="30" spans="1:26" ht="16.5" thickBot="1" x14ac:dyDescent="0.3">
      <c r="A30" s="84"/>
      <c r="B30" s="84" t="s">
        <v>113</v>
      </c>
      <c r="C30" s="88" t="s">
        <v>23</v>
      </c>
      <c r="D30" s="85"/>
      <c r="E30" s="85"/>
      <c r="F30" s="85"/>
      <c r="G30" s="85"/>
      <c r="H30" s="85"/>
      <c r="I30" s="85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</row>
    <row r="31" spans="1:26" x14ac:dyDescent="0.25">
      <c r="A31" s="84"/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</row>
    <row r="32" spans="1:26" ht="16.5" thickBot="1" x14ac:dyDescent="0.3">
      <c r="A32" s="84"/>
      <c r="B32" s="84" t="s">
        <v>114</v>
      </c>
      <c r="C32" s="88" t="s">
        <v>23</v>
      </c>
      <c r="D32" s="85"/>
      <c r="E32" s="85"/>
      <c r="F32" s="85"/>
      <c r="G32" s="85"/>
      <c r="H32" s="85"/>
      <c r="I32" s="85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</row>
    <row r="33" spans="1:26" x14ac:dyDescent="0.25">
      <c r="A33" s="84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</row>
    <row r="34" spans="1:26" ht="16.5" thickBot="1" x14ac:dyDescent="0.3">
      <c r="A34" s="84"/>
      <c r="B34" s="84" t="s">
        <v>115</v>
      </c>
      <c r="C34" s="88" t="s">
        <v>23</v>
      </c>
      <c r="D34" s="85"/>
      <c r="E34" s="85"/>
      <c r="F34" s="85"/>
      <c r="G34" s="85"/>
      <c r="H34" s="85"/>
      <c r="I34" s="85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</row>
    <row r="35" spans="1:26" x14ac:dyDescent="0.25">
      <c r="A35" s="84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</row>
    <row r="36" spans="1:26" ht="16.5" thickBot="1" x14ac:dyDescent="0.3">
      <c r="A36" s="84"/>
      <c r="B36" s="84" t="s">
        <v>126</v>
      </c>
      <c r="C36" s="88" t="s">
        <v>23</v>
      </c>
      <c r="D36" s="85"/>
      <c r="E36" s="85"/>
      <c r="F36" s="85"/>
      <c r="G36" s="85"/>
      <c r="H36" s="85"/>
      <c r="I36" s="85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</row>
    <row r="37" spans="1:26" x14ac:dyDescent="0.25">
      <c r="A37" s="84"/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</row>
    <row r="38" spans="1:26" ht="16.5" thickBot="1" x14ac:dyDescent="0.3">
      <c r="A38" s="84"/>
      <c r="B38" s="84" t="s">
        <v>151</v>
      </c>
      <c r="C38" s="88" t="s">
        <v>23</v>
      </c>
      <c r="D38" s="85"/>
      <c r="E38" s="85"/>
      <c r="F38" s="85"/>
      <c r="G38" s="85"/>
      <c r="H38" s="85"/>
      <c r="I38" s="85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</row>
    <row r="39" spans="1:26" x14ac:dyDescent="0.25">
      <c r="A39" s="84"/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</row>
    <row r="40" spans="1:26" x14ac:dyDescent="0.25">
      <c r="A40" s="84" t="s">
        <v>288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</row>
    <row r="41" spans="1:26" x14ac:dyDescent="0.25">
      <c r="A41" s="84"/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</row>
    <row r="42" spans="1:26" ht="16.5" thickBot="1" x14ac:dyDescent="0.3">
      <c r="A42" s="84"/>
      <c r="B42" s="84" t="s">
        <v>109</v>
      </c>
      <c r="C42" s="88" t="s">
        <v>44</v>
      </c>
      <c r="D42" s="85"/>
      <c r="E42" s="85"/>
      <c r="F42" s="85"/>
      <c r="G42" s="85"/>
      <c r="H42" s="85"/>
      <c r="I42" s="85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</row>
    <row r="43" spans="1:26" x14ac:dyDescent="0.25">
      <c r="A43" s="84"/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</row>
    <row r="44" spans="1:26" ht="16.5" thickBot="1" x14ac:dyDescent="0.3">
      <c r="A44" s="84"/>
      <c r="B44" s="84" t="s">
        <v>110</v>
      </c>
      <c r="C44" s="88" t="s">
        <v>44</v>
      </c>
      <c r="D44" s="85"/>
      <c r="E44" s="85"/>
      <c r="F44" s="85"/>
      <c r="G44" s="85"/>
      <c r="H44" s="85"/>
      <c r="I44" s="85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</row>
    <row r="45" spans="1:26" x14ac:dyDescent="0.25">
      <c r="A45" s="84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</row>
    <row r="46" spans="1:26" ht="16.5" thickBot="1" x14ac:dyDescent="0.3">
      <c r="A46" s="84"/>
      <c r="B46" s="84" t="s">
        <v>111</v>
      </c>
      <c r="C46" s="88" t="s">
        <v>96</v>
      </c>
      <c r="D46" s="85"/>
      <c r="E46" s="85"/>
      <c r="F46" s="85"/>
      <c r="G46" s="85"/>
      <c r="H46" s="85"/>
      <c r="I46" s="85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</row>
    <row r="47" spans="1:26" x14ac:dyDescent="0.25">
      <c r="A47" s="84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</row>
    <row r="48" spans="1:26" ht="16.5" thickBot="1" x14ac:dyDescent="0.3">
      <c r="A48" s="84"/>
      <c r="B48" s="84" t="s">
        <v>112</v>
      </c>
      <c r="C48" s="88" t="s">
        <v>94</v>
      </c>
      <c r="D48" s="85"/>
      <c r="E48" s="85"/>
      <c r="F48" s="85"/>
      <c r="G48" s="85"/>
      <c r="H48" s="85"/>
      <c r="I48" s="85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</row>
    <row r="49" spans="1:26" x14ac:dyDescent="0.25">
      <c r="A49" s="84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</row>
    <row r="50" spans="1:26" ht="16.5" thickBot="1" x14ac:dyDescent="0.3">
      <c r="A50" s="84"/>
      <c r="B50" s="84" t="s">
        <v>113</v>
      </c>
      <c r="C50" s="88" t="s">
        <v>18</v>
      </c>
      <c r="D50" s="85"/>
      <c r="E50" s="85"/>
      <c r="F50" s="85"/>
      <c r="G50" s="85"/>
      <c r="H50" s="85"/>
      <c r="I50" s="85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</row>
    <row r="51" spans="1:26" x14ac:dyDescent="0.25">
      <c r="A51" s="84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</row>
    <row r="52" spans="1:26" ht="16.5" thickBot="1" x14ac:dyDescent="0.3">
      <c r="A52" s="84"/>
      <c r="B52" s="84" t="s">
        <v>114</v>
      </c>
      <c r="C52" s="88" t="s">
        <v>96</v>
      </c>
      <c r="D52" s="85"/>
      <c r="E52" s="85"/>
      <c r="F52" s="85"/>
      <c r="G52" s="85"/>
      <c r="H52" s="85"/>
      <c r="I52" s="85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</row>
    <row r="53" spans="1:26" x14ac:dyDescent="0.25">
      <c r="A53" s="84"/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</row>
    <row r="54" spans="1:26" ht="16.5" thickBot="1" x14ac:dyDescent="0.3">
      <c r="A54" s="84"/>
      <c r="B54" s="84" t="s">
        <v>115</v>
      </c>
      <c r="C54" s="88" t="s">
        <v>94</v>
      </c>
      <c r="D54" s="85"/>
      <c r="E54" s="85"/>
      <c r="F54" s="85"/>
      <c r="G54" s="85"/>
      <c r="H54" s="85"/>
      <c r="I54" s="85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</row>
    <row r="55" spans="1:26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</row>
    <row r="56" spans="1:26" ht="16.5" thickBot="1" x14ac:dyDescent="0.3">
      <c r="A56" s="84"/>
      <c r="B56" s="84" t="s">
        <v>126</v>
      </c>
      <c r="C56" s="88" t="s">
        <v>85</v>
      </c>
      <c r="D56" s="85"/>
      <c r="E56" s="85"/>
      <c r="F56" s="85"/>
      <c r="G56" s="85"/>
      <c r="H56" s="85"/>
      <c r="I56" s="85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</row>
    <row r="57" spans="1:26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</row>
    <row r="58" spans="1:26" ht="16.5" thickBot="1" x14ac:dyDescent="0.3">
      <c r="A58" s="84"/>
      <c r="B58" s="84" t="s">
        <v>151</v>
      </c>
      <c r="C58" s="88" t="s">
        <v>94</v>
      </c>
      <c r="D58" s="85"/>
      <c r="E58" s="85"/>
      <c r="F58" s="85"/>
      <c r="G58" s="85"/>
      <c r="H58" s="85"/>
      <c r="I58" s="85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</row>
    <row r="59" spans="1:26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</row>
    <row r="60" spans="1:26" ht="16.5" thickBot="1" x14ac:dyDescent="0.3">
      <c r="A60" s="84"/>
      <c r="B60" s="84" t="s">
        <v>109</v>
      </c>
      <c r="C60" s="88" t="s">
        <v>315</v>
      </c>
      <c r="D60" s="85"/>
      <c r="E60" s="85"/>
      <c r="F60" s="85"/>
      <c r="G60" s="85"/>
      <c r="H60" s="85"/>
      <c r="I60" s="85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</row>
    <row r="61" spans="1:26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</row>
    <row r="62" spans="1:26" ht="16.5" thickBot="1" x14ac:dyDescent="0.3">
      <c r="A62" s="84"/>
      <c r="B62" s="84" t="s">
        <v>110</v>
      </c>
      <c r="C62" s="88" t="s">
        <v>315</v>
      </c>
      <c r="D62" s="85"/>
      <c r="E62" s="85"/>
      <c r="F62" s="85"/>
      <c r="G62" s="85"/>
      <c r="H62" s="85"/>
      <c r="I62" s="85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</row>
    <row r="63" spans="1:26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</row>
    <row r="64" spans="1:26" ht="16.5" thickBot="1" x14ac:dyDescent="0.3">
      <c r="A64" s="84"/>
      <c r="B64" s="84" t="s">
        <v>111</v>
      </c>
      <c r="C64" s="88" t="s">
        <v>48</v>
      </c>
      <c r="D64" s="85"/>
      <c r="E64" s="85"/>
      <c r="F64" s="85"/>
      <c r="G64" s="85"/>
      <c r="H64" s="85"/>
      <c r="I64" s="85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</row>
    <row r="65" spans="1:26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</row>
    <row r="66" spans="1:26" ht="16.5" thickBot="1" x14ac:dyDescent="0.3">
      <c r="A66" s="84"/>
      <c r="B66" s="84" t="s">
        <v>112</v>
      </c>
      <c r="C66" s="88" t="s">
        <v>48</v>
      </c>
      <c r="D66" s="85"/>
      <c r="E66" s="85"/>
      <c r="F66" s="85"/>
      <c r="G66" s="85"/>
      <c r="H66" s="85"/>
      <c r="I66" s="85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</row>
    <row r="67" spans="1:26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</row>
    <row r="68" spans="1:26" ht="16.5" thickBot="1" x14ac:dyDescent="0.3">
      <c r="A68" s="84"/>
      <c r="B68" s="84" t="s">
        <v>113</v>
      </c>
      <c r="C68" s="88" t="s">
        <v>95</v>
      </c>
      <c r="D68" s="85"/>
      <c r="E68" s="85"/>
      <c r="F68" s="85"/>
      <c r="G68" s="85"/>
      <c r="H68" s="85"/>
      <c r="I68" s="85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</row>
    <row r="69" spans="1:26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</row>
    <row r="70" spans="1:26" ht="16.5" thickBot="1" x14ac:dyDescent="0.3">
      <c r="A70" s="84"/>
      <c r="B70" s="84" t="s">
        <v>114</v>
      </c>
      <c r="C70" s="88" t="s">
        <v>18</v>
      </c>
      <c r="D70" s="85"/>
      <c r="E70" s="85"/>
      <c r="F70" s="85"/>
      <c r="G70" s="85"/>
      <c r="H70" s="85"/>
      <c r="I70" s="85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</row>
    <row r="71" spans="1:26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</row>
    <row r="72" spans="1:26" ht="16.5" thickBot="1" x14ac:dyDescent="0.3">
      <c r="A72" s="84"/>
      <c r="B72" s="84" t="s">
        <v>115</v>
      </c>
      <c r="C72" s="88" t="s">
        <v>85</v>
      </c>
      <c r="D72" s="85"/>
      <c r="E72" s="85"/>
      <c r="F72" s="85"/>
      <c r="G72" s="85"/>
      <c r="H72" s="85"/>
      <c r="I72" s="85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</row>
    <row r="73" spans="1:26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</row>
    <row r="74" spans="1:26" ht="16.5" thickBot="1" x14ac:dyDescent="0.3">
      <c r="A74" s="84"/>
      <c r="B74" s="84" t="s">
        <v>126</v>
      </c>
      <c r="C74" s="88" t="s">
        <v>20</v>
      </c>
      <c r="D74" s="85"/>
      <c r="E74" s="85"/>
      <c r="F74" s="85"/>
      <c r="G74" s="85"/>
      <c r="H74" s="85"/>
      <c r="I74" s="85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</row>
    <row r="75" spans="1:26" x14ac:dyDescent="0.25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</row>
    <row r="76" spans="1:26" ht="16.5" thickBot="1" x14ac:dyDescent="0.3">
      <c r="A76" s="84"/>
      <c r="B76" s="84" t="s">
        <v>151</v>
      </c>
      <c r="C76" s="88" t="s">
        <v>85</v>
      </c>
      <c r="D76" s="85"/>
      <c r="E76" s="85"/>
      <c r="F76" s="85"/>
      <c r="G76" s="85"/>
      <c r="H76" s="85"/>
      <c r="I76" s="85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</row>
    <row r="77" spans="1:26" x14ac:dyDescent="0.25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</row>
    <row r="78" spans="1:26" x14ac:dyDescent="0.25">
      <c r="A78" s="84" t="s">
        <v>104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</row>
    <row r="79" spans="1:26" x14ac:dyDescent="0.25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</row>
    <row r="80" spans="1:26" ht="16.5" thickBot="1" x14ac:dyDescent="0.3">
      <c r="A80" s="84"/>
      <c r="B80" s="84" t="s">
        <v>113</v>
      </c>
      <c r="C80" s="88" t="s">
        <v>91</v>
      </c>
      <c r="D80" s="85"/>
      <c r="E80" s="85"/>
      <c r="F80" s="85"/>
      <c r="G80" s="85"/>
      <c r="H80" s="85"/>
      <c r="I80" s="85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</row>
    <row r="81" spans="1:26" x14ac:dyDescent="0.25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</row>
    <row r="82" spans="1:26" ht="16.5" thickBot="1" x14ac:dyDescent="0.3">
      <c r="A82" s="84"/>
      <c r="B82" s="84" t="s">
        <v>114</v>
      </c>
      <c r="C82" s="88" t="s">
        <v>91</v>
      </c>
      <c r="D82" s="85"/>
      <c r="E82" s="85"/>
      <c r="F82" s="85"/>
      <c r="G82" s="85"/>
      <c r="H82" s="85"/>
      <c r="I82" s="85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</row>
    <row r="83" spans="1:26" x14ac:dyDescent="0.25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</row>
    <row r="84" spans="1:26" ht="16.5" thickBot="1" x14ac:dyDescent="0.3">
      <c r="A84" s="84"/>
      <c r="B84" s="84" t="s">
        <v>115</v>
      </c>
      <c r="C84" s="88" t="s">
        <v>91</v>
      </c>
      <c r="D84" s="85"/>
      <c r="E84" s="85"/>
      <c r="F84" s="85"/>
      <c r="G84" s="85"/>
      <c r="H84" s="85"/>
      <c r="I84" s="85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</row>
    <row r="85" spans="1:26" x14ac:dyDescent="0.25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</row>
    <row r="86" spans="1:26" ht="16.5" thickBot="1" x14ac:dyDescent="0.3">
      <c r="A86" s="84"/>
      <c r="B86" s="84" t="s">
        <v>126</v>
      </c>
      <c r="C86" s="88" t="s">
        <v>91</v>
      </c>
      <c r="D86" s="85"/>
      <c r="E86" s="85"/>
      <c r="F86" s="85"/>
      <c r="G86" s="85"/>
      <c r="H86" s="85"/>
      <c r="I86" s="85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</row>
    <row r="87" spans="1:26" x14ac:dyDescent="0.25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</row>
    <row r="88" spans="1:26" ht="16.5" thickBot="1" x14ac:dyDescent="0.3">
      <c r="A88" s="84"/>
      <c r="B88" s="84" t="s">
        <v>151</v>
      </c>
      <c r="C88" s="88" t="s">
        <v>91</v>
      </c>
      <c r="D88" s="85"/>
      <c r="E88" s="85"/>
      <c r="F88" s="85"/>
      <c r="G88" s="85"/>
      <c r="H88" s="85"/>
      <c r="I88" s="85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</row>
    <row r="89" spans="1:26" x14ac:dyDescent="0.25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</row>
    <row r="90" spans="1:26" ht="16.5" thickBot="1" x14ac:dyDescent="0.3">
      <c r="A90" s="84"/>
      <c r="B90" s="84" t="s">
        <v>106</v>
      </c>
      <c r="C90" s="88" t="s">
        <v>91</v>
      </c>
      <c r="D90" s="85"/>
      <c r="E90" s="85"/>
      <c r="F90" s="85"/>
      <c r="G90" s="85"/>
      <c r="H90" s="85"/>
      <c r="I90" s="85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</row>
    <row r="91" spans="1:26" x14ac:dyDescent="0.25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</row>
    <row r="92" spans="1:26" ht="16.5" thickBot="1" x14ac:dyDescent="0.3">
      <c r="A92" s="84"/>
      <c r="B92" s="84" t="s">
        <v>107</v>
      </c>
      <c r="C92" s="88" t="s">
        <v>91</v>
      </c>
      <c r="D92" s="85"/>
      <c r="E92" s="85"/>
      <c r="F92" s="85"/>
      <c r="G92" s="85"/>
      <c r="H92" s="85"/>
      <c r="I92" s="85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</row>
    <row r="93" spans="1:26" x14ac:dyDescent="0.25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</row>
    <row r="94" spans="1:26" x14ac:dyDescent="0.25">
      <c r="A94" s="84" t="s">
        <v>185</v>
      </c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</row>
    <row r="95" spans="1:26" x14ac:dyDescent="0.25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</row>
    <row r="96" spans="1:26" ht="16.5" thickBot="1" x14ac:dyDescent="0.3">
      <c r="A96" s="84"/>
      <c r="B96" s="84" t="s">
        <v>111</v>
      </c>
      <c r="C96" s="88" t="s">
        <v>44</v>
      </c>
      <c r="D96" s="85"/>
      <c r="E96" s="85"/>
      <c r="F96" s="85"/>
      <c r="G96" s="85"/>
      <c r="H96" s="85"/>
      <c r="I96" s="85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</row>
    <row r="97" spans="1:26" x14ac:dyDescent="0.25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</row>
    <row r="98" spans="1:26" ht="16.5" thickBot="1" x14ac:dyDescent="0.3">
      <c r="A98" s="84"/>
      <c r="B98" s="84" t="s">
        <v>112</v>
      </c>
      <c r="C98" s="88" t="s">
        <v>44</v>
      </c>
      <c r="D98" s="85"/>
      <c r="E98" s="85"/>
      <c r="F98" s="85"/>
      <c r="G98" s="85"/>
      <c r="H98" s="85"/>
      <c r="I98" s="85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</row>
    <row r="99" spans="1:26" x14ac:dyDescent="0.25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</row>
    <row r="100" spans="1:26" ht="16.5" thickBot="1" x14ac:dyDescent="0.3">
      <c r="A100" s="84"/>
      <c r="B100" s="84" t="s">
        <v>113</v>
      </c>
      <c r="C100" s="88" t="s">
        <v>44</v>
      </c>
      <c r="D100" s="85"/>
      <c r="E100" s="85"/>
      <c r="F100" s="85"/>
      <c r="G100" s="85"/>
      <c r="H100" s="85"/>
      <c r="I100" s="85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</row>
    <row r="101" spans="1:26" x14ac:dyDescent="0.25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</row>
    <row r="102" spans="1:26" ht="16.5" thickBot="1" x14ac:dyDescent="0.3">
      <c r="A102" s="84"/>
      <c r="B102" s="84" t="s">
        <v>114</v>
      </c>
      <c r="C102" s="88" t="s">
        <v>44</v>
      </c>
      <c r="D102" s="85"/>
      <c r="E102" s="85"/>
      <c r="F102" s="85"/>
      <c r="G102" s="85"/>
      <c r="H102" s="85"/>
      <c r="I102" s="85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</row>
    <row r="103" spans="1:26" x14ac:dyDescent="0.25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</row>
    <row r="104" spans="1:26" ht="16.5" thickBot="1" x14ac:dyDescent="0.3">
      <c r="A104" s="84"/>
      <c r="B104" s="84" t="s">
        <v>115</v>
      </c>
      <c r="C104" s="88" t="s">
        <v>48</v>
      </c>
      <c r="D104" s="85"/>
      <c r="E104" s="85"/>
      <c r="F104" s="85"/>
      <c r="G104" s="85"/>
      <c r="H104" s="85"/>
      <c r="I104" s="85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</row>
    <row r="105" spans="1:26" x14ac:dyDescent="0.25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</row>
    <row r="106" spans="1:26" ht="16.5" thickBot="1" x14ac:dyDescent="0.3">
      <c r="A106" s="84"/>
      <c r="B106" s="84" t="s">
        <v>126</v>
      </c>
      <c r="C106" s="88" t="s">
        <v>48</v>
      </c>
      <c r="D106" s="85"/>
      <c r="E106" s="85"/>
      <c r="F106" s="85"/>
      <c r="G106" s="85"/>
      <c r="H106" s="85"/>
      <c r="I106" s="85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</row>
    <row r="107" spans="1:26" x14ac:dyDescent="0.25">
      <c r="A107" s="84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</row>
    <row r="108" spans="1:26" ht="16.5" thickBot="1" x14ac:dyDescent="0.3">
      <c r="A108" s="84"/>
      <c r="B108" s="84" t="s">
        <v>151</v>
      </c>
      <c r="C108" s="88" t="s">
        <v>48</v>
      </c>
      <c r="D108" s="85"/>
      <c r="E108" s="85"/>
      <c r="F108" s="85"/>
      <c r="G108" s="85"/>
      <c r="H108" s="85"/>
      <c r="I108" s="85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</row>
    <row r="109" spans="1:26" x14ac:dyDescent="0.25">
      <c r="A109" s="84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</row>
    <row r="110" spans="1:26" ht="16.5" thickBot="1" x14ac:dyDescent="0.3">
      <c r="A110" s="84"/>
      <c r="B110" s="84" t="s">
        <v>106</v>
      </c>
      <c r="C110" s="88" t="s">
        <v>48</v>
      </c>
      <c r="D110" s="85"/>
      <c r="E110" s="85"/>
      <c r="F110" s="85"/>
      <c r="G110" s="85"/>
      <c r="H110" s="85"/>
      <c r="I110" s="85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</row>
    <row r="111" spans="1:26" x14ac:dyDescent="0.25">
      <c r="A111" s="84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</row>
    <row r="112" spans="1:26" ht="16.5" thickBot="1" x14ac:dyDescent="0.3">
      <c r="A112" s="84"/>
      <c r="B112" s="84" t="s">
        <v>107</v>
      </c>
      <c r="C112" s="88" t="s">
        <v>48</v>
      </c>
      <c r="D112" s="85"/>
      <c r="E112" s="85"/>
      <c r="F112" s="85"/>
      <c r="G112" s="85"/>
      <c r="H112" s="85"/>
      <c r="I112" s="85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</row>
    <row r="113" spans="1:26" x14ac:dyDescent="0.25">
      <c r="A113" s="84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</row>
    <row r="114" spans="1:26" x14ac:dyDescent="0.25">
      <c r="A11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</row>
    <row r="115" spans="1:26" x14ac:dyDescent="0.25">
      <c r="A115" s="84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</row>
    <row r="116" spans="1:26" x14ac:dyDescent="0.2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</row>
    <row r="117" spans="1:26" x14ac:dyDescent="0.2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</row>
    <row r="118" spans="1:26" x14ac:dyDescent="0.2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</row>
    <row r="119" spans="1:26" x14ac:dyDescent="0.2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</row>
    <row r="120" spans="1:26" x14ac:dyDescent="0.2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</row>
    <row r="121" spans="1:26" x14ac:dyDescent="0.2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</row>
    <row r="122" spans="1:26" x14ac:dyDescent="0.2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</row>
    <row r="123" spans="1:26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</row>
    <row r="124" spans="1:26" x14ac:dyDescent="0.2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</row>
    <row r="125" spans="1:26" x14ac:dyDescent="0.2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</row>
    <row r="126" spans="1:26" x14ac:dyDescent="0.2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</row>
    <row r="127" spans="1:26" x14ac:dyDescent="0.2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</row>
    <row r="128" spans="1:26" x14ac:dyDescent="0.2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</row>
    <row r="129" spans="1:26" x14ac:dyDescent="0.2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</row>
    <row r="130" spans="1:26" x14ac:dyDescent="0.2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</row>
    <row r="131" spans="1:26" x14ac:dyDescent="0.2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</row>
    <row r="132" spans="1:26" x14ac:dyDescent="0.2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</row>
    <row r="133" spans="1:26" x14ac:dyDescent="0.2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</row>
    <row r="134" spans="1:26" x14ac:dyDescent="0.2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</row>
    <row r="135" spans="1:26" x14ac:dyDescent="0.2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</row>
    <row r="136" spans="1:26" x14ac:dyDescent="0.2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</row>
    <row r="137" spans="1:26" x14ac:dyDescent="0.2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</row>
    <row r="138" spans="1:26" x14ac:dyDescent="0.2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</row>
    <row r="139" spans="1:26" x14ac:dyDescent="0.2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</row>
    <row r="140" spans="1:26" x14ac:dyDescent="0.2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</row>
    <row r="141" spans="1:26" x14ac:dyDescent="0.2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</row>
    <row r="142" spans="1:26" x14ac:dyDescent="0.2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</row>
    <row r="143" spans="1:26" x14ac:dyDescent="0.2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</row>
    <row r="144" spans="1:26" x14ac:dyDescent="0.2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</row>
    <row r="145" spans="1:26" x14ac:dyDescent="0.2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</row>
    <row r="146" spans="1:26" x14ac:dyDescent="0.2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</row>
    <row r="147" spans="1:26" x14ac:dyDescent="0.2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</row>
    <row r="148" spans="1:26" x14ac:dyDescent="0.25">
      <c r="A148" s="84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</row>
    <row r="149" spans="1:26" x14ac:dyDescent="0.25">
      <c r="A149" s="84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</row>
    <row r="150" spans="1:26" x14ac:dyDescent="0.25">
      <c r="A150" s="84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</row>
    <row r="151" spans="1:26" x14ac:dyDescent="0.25">
      <c r="A151" s="84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</row>
    <row r="152" spans="1:26" x14ac:dyDescent="0.25">
      <c r="A152" s="84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</row>
    <row r="153" spans="1:26" x14ac:dyDescent="0.25">
      <c r="A153" s="84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</row>
    <row r="154" spans="1:26" x14ac:dyDescent="0.25">
      <c r="A154" s="84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</row>
    <row r="155" spans="1:26" x14ac:dyDescent="0.25">
      <c r="A155" s="84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</row>
    <row r="156" spans="1:26" x14ac:dyDescent="0.25">
      <c r="A156" s="84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</row>
    <row r="157" spans="1:26" x14ac:dyDescent="0.25">
      <c r="A157" s="84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</row>
    <row r="158" spans="1:26" x14ac:dyDescent="0.25">
      <c r="A158" s="84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</row>
    <row r="159" spans="1:26" x14ac:dyDescent="0.25">
      <c r="A159" s="84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</row>
    <row r="160" spans="1:26" x14ac:dyDescent="0.25">
      <c r="A160" s="84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</row>
    <row r="161" spans="1:26" x14ac:dyDescent="0.25">
      <c r="A161" s="84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</row>
    <row r="162" spans="1:26" x14ac:dyDescent="0.25">
      <c r="A162" s="84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</row>
    <row r="163" spans="1:26" x14ac:dyDescent="0.25">
      <c r="A163" s="84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</row>
    <row r="164" spans="1:26" x14ac:dyDescent="0.25">
      <c r="A164" s="84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</row>
    <row r="165" spans="1:26" x14ac:dyDescent="0.25">
      <c r="A165" s="84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</row>
    <row r="166" spans="1:26" x14ac:dyDescent="0.25">
      <c r="A166" s="84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</row>
    <row r="167" spans="1:26" x14ac:dyDescent="0.25">
      <c r="A167" s="84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</row>
    <row r="168" spans="1:26" x14ac:dyDescent="0.25">
      <c r="A168" s="84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</row>
    <row r="169" spans="1:26" x14ac:dyDescent="0.25">
      <c r="A169" s="84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</row>
    <row r="170" spans="1:26" x14ac:dyDescent="0.25">
      <c r="A170" s="84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</row>
    <row r="171" spans="1:26" x14ac:dyDescent="0.25">
      <c r="A171" s="84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</row>
    <row r="172" spans="1:26" x14ac:dyDescent="0.25">
      <c r="A172" s="84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</row>
    <row r="173" spans="1:26" x14ac:dyDescent="0.25">
      <c r="A173" s="84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</row>
    <row r="174" spans="1:26" x14ac:dyDescent="0.25">
      <c r="A174" s="84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</row>
    <row r="175" spans="1:26" x14ac:dyDescent="0.25">
      <c r="A175" s="84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</row>
    <row r="176" spans="1:26" x14ac:dyDescent="0.25">
      <c r="A176" s="84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</row>
    <row r="177" spans="1:26" x14ac:dyDescent="0.25">
      <c r="A177" s="84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</row>
    <row r="178" spans="1:26" x14ac:dyDescent="0.25">
      <c r="A178" s="84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</row>
    <row r="179" spans="1:26" x14ac:dyDescent="0.25">
      <c r="A179" s="84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</row>
    <row r="180" spans="1:26" x14ac:dyDescent="0.25">
      <c r="A180" s="84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</row>
    <row r="181" spans="1:26" x14ac:dyDescent="0.25">
      <c r="A181" s="84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</row>
    <row r="182" spans="1:26" x14ac:dyDescent="0.25">
      <c r="A182" s="84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</row>
    <row r="183" spans="1:26" x14ac:dyDescent="0.25">
      <c r="A183" s="84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</row>
    <row r="184" spans="1:26" x14ac:dyDescent="0.25">
      <c r="A184" s="84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</row>
    <row r="185" spans="1:26" x14ac:dyDescent="0.25">
      <c r="A185" s="84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</row>
    <row r="186" spans="1:26" x14ac:dyDescent="0.25">
      <c r="A186" s="84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</row>
    <row r="187" spans="1:26" x14ac:dyDescent="0.25">
      <c r="A187" s="84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</row>
    <row r="188" spans="1:26" x14ac:dyDescent="0.25">
      <c r="A188" s="84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</row>
    <row r="189" spans="1:26" x14ac:dyDescent="0.25">
      <c r="A189" s="84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</row>
    <row r="190" spans="1:26" x14ac:dyDescent="0.25">
      <c r="A190" s="84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</row>
    <row r="191" spans="1:26" x14ac:dyDescent="0.25">
      <c r="A191" s="84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</row>
    <row r="192" spans="1:26" x14ac:dyDescent="0.25">
      <c r="A192" s="84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</row>
    <row r="193" spans="1:26" x14ac:dyDescent="0.25">
      <c r="A193" s="84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</row>
    <row r="194" spans="1:26" x14ac:dyDescent="0.25">
      <c r="A194" s="84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</row>
    <row r="195" spans="1:26" x14ac:dyDescent="0.25">
      <c r="A195" s="84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</row>
    <row r="196" spans="1:26" x14ac:dyDescent="0.25">
      <c r="A196" s="84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</row>
    <row r="197" spans="1:26" x14ac:dyDescent="0.25">
      <c r="A197" s="84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</row>
    <row r="198" spans="1:26" x14ac:dyDescent="0.25">
      <c r="A198" s="84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</row>
    <row r="199" spans="1:26" x14ac:dyDescent="0.25">
      <c r="A199" s="84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</row>
    <row r="200" spans="1:26" x14ac:dyDescent="0.25">
      <c r="A200" s="84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</row>
    <row r="201" spans="1:26" x14ac:dyDescent="0.25">
      <c r="A201" s="84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</row>
    <row r="202" spans="1:26" x14ac:dyDescent="0.25">
      <c r="A202" s="84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</row>
    <row r="203" spans="1:26" x14ac:dyDescent="0.25">
      <c r="A203" s="84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</row>
    <row r="204" spans="1:26" x14ac:dyDescent="0.25">
      <c r="A204" s="84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</row>
    <row r="205" spans="1:26" x14ac:dyDescent="0.25">
      <c r="A205" s="84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</row>
    <row r="206" spans="1:26" x14ac:dyDescent="0.25">
      <c r="A206" s="84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</row>
    <row r="207" spans="1:26" x14ac:dyDescent="0.25">
      <c r="A207" s="84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</row>
    <row r="208" spans="1:26" x14ac:dyDescent="0.25">
      <c r="A208" s="84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</row>
    <row r="209" spans="1:26" x14ac:dyDescent="0.25">
      <c r="A209" s="84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</row>
    <row r="210" spans="1:26" x14ac:dyDescent="0.25">
      <c r="A210" s="84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</row>
    <row r="211" spans="1:26" x14ac:dyDescent="0.25">
      <c r="A211" s="84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</row>
    <row r="212" spans="1:26" x14ac:dyDescent="0.25">
      <c r="A212" s="84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</row>
    <row r="213" spans="1:26" x14ac:dyDescent="0.25">
      <c r="A213" s="84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</row>
    <row r="214" spans="1:26" x14ac:dyDescent="0.25">
      <c r="A214" s="84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</row>
    <row r="215" spans="1:26" x14ac:dyDescent="0.25">
      <c r="A215" s="84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</row>
    <row r="216" spans="1:26" x14ac:dyDescent="0.25">
      <c r="A216" s="84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</row>
    <row r="217" spans="1:26" x14ac:dyDescent="0.25">
      <c r="A217" s="84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</row>
    <row r="218" spans="1:26" x14ac:dyDescent="0.25">
      <c r="A218" s="84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</row>
    <row r="219" spans="1:26" x14ac:dyDescent="0.25">
      <c r="A219" s="84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</row>
    <row r="220" spans="1:26" x14ac:dyDescent="0.25">
      <c r="A220" s="84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</row>
    <row r="221" spans="1:26" x14ac:dyDescent="0.25">
      <c r="A221" s="84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</row>
    <row r="222" spans="1:26" x14ac:dyDescent="0.25">
      <c r="A222" s="84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</row>
    <row r="223" spans="1:26" x14ac:dyDescent="0.25">
      <c r="A223" s="84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</row>
    <row r="224" spans="1:26" x14ac:dyDescent="0.25">
      <c r="A224" s="84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</row>
    <row r="225" spans="1:26" x14ac:dyDescent="0.25">
      <c r="A225" s="84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</row>
    <row r="226" spans="1:26" x14ac:dyDescent="0.25">
      <c r="A226" s="84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</row>
    <row r="227" spans="1:26" x14ac:dyDescent="0.25">
      <c r="A227" s="84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</row>
    <row r="228" spans="1:26" x14ac:dyDescent="0.25">
      <c r="A228" s="84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</row>
    <row r="229" spans="1:26" x14ac:dyDescent="0.25">
      <c r="A229" s="84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</row>
    <row r="230" spans="1:26" x14ac:dyDescent="0.25">
      <c r="A230" s="84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</row>
    <row r="231" spans="1:26" x14ac:dyDescent="0.25">
      <c r="A231" s="84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</row>
    <row r="232" spans="1:26" x14ac:dyDescent="0.25">
      <c r="A232" s="84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</row>
    <row r="233" spans="1:26" x14ac:dyDescent="0.25">
      <c r="A233" s="84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</row>
    <row r="234" spans="1:26" x14ac:dyDescent="0.25">
      <c r="A234" s="84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</row>
    <row r="235" spans="1:26" x14ac:dyDescent="0.25">
      <c r="A235" s="84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</row>
    <row r="236" spans="1:26" x14ac:dyDescent="0.25">
      <c r="A236" s="84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</row>
    <row r="237" spans="1:26" x14ac:dyDescent="0.25">
      <c r="A237" s="84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</row>
    <row r="238" spans="1:26" x14ac:dyDescent="0.25">
      <c r="A238" s="84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</row>
    <row r="239" spans="1:26" x14ac:dyDescent="0.25">
      <c r="A239" s="84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</row>
    <row r="240" spans="1:26" x14ac:dyDescent="0.25">
      <c r="A240" s="84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</row>
    <row r="241" spans="1:26" x14ac:dyDescent="0.25">
      <c r="A241" s="84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</row>
    <row r="242" spans="1:26" x14ac:dyDescent="0.25">
      <c r="A242" s="84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</row>
    <row r="243" spans="1:26" x14ac:dyDescent="0.25">
      <c r="A243" s="84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</row>
    <row r="244" spans="1:26" x14ac:dyDescent="0.25">
      <c r="A244" s="84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</row>
    <row r="245" spans="1:26" x14ac:dyDescent="0.25">
      <c r="A245" s="84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</row>
    <row r="246" spans="1:26" x14ac:dyDescent="0.25">
      <c r="A246" s="84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</row>
    <row r="247" spans="1:26" x14ac:dyDescent="0.25">
      <c r="A247" s="84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</row>
    <row r="248" spans="1:26" x14ac:dyDescent="0.25">
      <c r="A248" s="84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</row>
    <row r="249" spans="1:26" x14ac:dyDescent="0.25">
      <c r="A249" s="84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</row>
    <row r="250" spans="1:26" x14ac:dyDescent="0.25">
      <c r="A250" s="84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</row>
    <row r="251" spans="1:26" x14ac:dyDescent="0.25">
      <c r="A251" s="84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</row>
    <row r="252" spans="1:26" x14ac:dyDescent="0.25">
      <c r="A252" s="84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</row>
    <row r="253" spans="1:26" x14ac:dyDescent="0.25">
      <c r="A253" s="84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</row>
    <row r="254" spans="1:26" x14ac:dyDescent="0.25">
      <c r="A254" s="84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</row>
    <row r="255" spans="1:26" x14ac:dyDescent="0.25">
      <c r="A255" s="84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</row>
    <row r="256" spans="1:26" x14ac:dyDescent="0.25">
      <c r="A256" s="84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</row>
    <row r="257" spans="1:26" x14ac:dyDescent="0.25">
      <c r="A257" s="84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</row>
    <row r="258" spans="1:26" x14ac:dyDescent="0.25">
      <c r="A258" s="84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</row>
    <row r="259" spans="1:26" x14ac:dyDescent="0.25">
      <c r="A259" s="84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</row>
    <row r="260" spans="1:26" x14ac:dyDescent="0.25">
      <c r="A260" s="84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</row>
    <row r="261" spans="1:26" x14ac:dyDescent="0.25">
      <c r="A261" s="84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</row>
    <row r="262" spans="1:26" x14ac:dyDescent="0.25">
      <c r="A262" s="84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</row>
    <row r="263" spans="1:26" x14ac:dyDescent="0.25">
      <c r="A263" s="84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</row>
    <row r="264" spans="1:26" x14ac:dyDescent="0.25">
      <c r="A264" s="84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</row>
    <row r="265" spans="1:26" x14ac:dyDescent="0.25">
      <c r="A265" s="84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</row>
    <row r="266" spans="1:26" x14ac:dyDescent="0.25">
      <c r="A266" s="84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</row>
    <row r="267" spans="1:26" x14ac:dyDescent="0.25">
      <c r="A267" s="84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</row>
    <row r="268" spans="1:26" x14ac:dyDescent="0.25">
      <c r="A268" s="84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</row>
    <row r="269" spans="1:26" x14ac:dyDescent="0.25">
      <c r="A269" s="84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</row>
    <row r="270" spans="1:26" x14ac:dyDescent="0.25">
      <c r="A270" s="84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</row>
    <row r="271" spans="1:26" x14ac:dyDescent="0.25">
      <c r="A271" s="84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</row>
    <row r="272" spans="1:26" x14ac:dyDescent="0.25">
      <c r="A272" s="84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</row>
    <row r="273" spans="1:26" x14ac:dyDescent="0.25">
      <c r="A273" s="84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</row>
    <row r="274" spans="1:26" x14ac:dyDescent="0.25">
      <c r="A274" s="84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</row>
    <row r="275" spans="1:26" x14ac:dyDescent="0.25">
      <c r="A275" s="84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</row>
    <row r="276" spans="1:26" x14ac:dyDescent="0.25">
      <c r="A276" s="84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</row>
    <row r="277" spans="1:26" x14ac:dyDescent="0.25">
      <c r="A277" s="84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</row>
    <row r="278" spans="1:26" x14ac:dyDescent="0.25">
      <c r="A278" s="84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</row>
    <row r="279" spans="1:26" x14ac:dyDescent="0.25">
      <c r="A279" s="84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</row>
    <row r="280" spans="1:26" x14ac:dyDescent="0.25">
      <c r="A280" s="84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</row>
    <row r="281" spans="1:26" x14ac:dyDescent="0.25">
      <c r="A281" s="84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</row>
    <row r="282" spans="1:26" x14ac:dyDescent="0.25">
      <c r="A282" s="84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</row>
    <row r="283" spans="1:26" x14ac:dyDescent="0.25">
      <c r="A283" s="84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</row>
    <row r="284" spans="1:26" x14ac:dyDescent="0.25">
      <c r="A284" s="84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</row>
    <row r="285" spans="1:26" x14ac:dyDescent="0.25">
      <c r="A285" s="84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</row>
    <row r="286" spans="1:26" x14ac:dyDescent="0.25">
      <c r="A286" s="84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</row>
    <row r="287" spans="1:26" x14ac:dyDescent="0.25">
      <c r="A287" s="84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</row>
    <row r="288" spans="1:26" x14ac:dyDescent="0.25">
      <c r="A288" s="84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</row>
    <row r="289" spans="1:26" x14ac:dyDescent="0.25">
      <c r="A289" s="84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</row>
    <row r="290" spans="1:26" x14ac:dyDescent="0.25">
      <c r="A290" s="84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</row>
    <row r="291" spans="1:26" x14ac:dyDescent="0.25">
      <c r="A291" s="84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</row>
    <row r="292" spans="1:26" x14ac:dyDescent="0.25">
      <c r="A292" s="84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</row>
    <row r="293" spans="1:26" x14ac:dyDescent="0.25">
      <c r="A293" s="84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</row>
    <row r="294" spans="1:26" x14ac:dyDescent="0.25">
      <c r="A294" s="84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</row>
    <row r="295" spans="1:26" x14ac:dyDescent="0.25">
      <c r="A295" s="84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</row>
    <row r="296" spans="1:26" x14ac:dyDescent="0.25">
      <c r="A296" s="84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</row>
    <row r="297" spans="1:26" x14ac:dyDescent="0.25">
      <c r="A297" s="84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</row>
    <row r="298" spans="1:26" x14ac:dyDescent="0.25">
      <c r="A298" s="84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</row>
    <row r="299" spans="1:26" x14ac:dyDescent="0.25">
      <c r="A299" s="84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</row>
    <row r="300" spans="1:26" x14ac:dyDescent="0.25">
      <c r="A300" s="84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</row>
    <row r="301" spans="1:26" x14ac:dyDescent="0.25">
      <c r="A301" s="84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</row>
    <row r="302" spans="1:26" x14ac:dyDescent="0.25">
      <c r="A302" s="84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</row>
    <row r="303" spans="1:26" x14ac:dyDescent="0.25">
      <c r="A303" s="84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</row>
    <row r="304" spans="1:26" x14ac:dyDescent="0.25">
      <c r="A304" s="84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</row>
    <row r="305" spans="1:26" x14ac:dyDescent="0.25">
      <c r="A305" s="84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</row>
    <row r="306" spans="1:26" x14ac:dyDescent="0.25">
      <c r="A306" s="84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</row>
    <row r="307" spans="1:26" x14ac:dyDescent="0.25">
      <c r="A307" s="84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</row>
    <row r="308" spans="1:26" x14ac:dyDescent="0.25">
      <c r="A308" s="84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</row>
    <row r="309" spans="1:26" x14ac:dyDescent="0.25">
      <c r="A309" s="84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</row>
    <row r="310" spans="1:26" x14ac:dyDescent="0.25">
      <c r="A310" s="84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</row>
    <row r="311" spans="1:26" x14ac:dyDescent="0.25">
      <c r="A311" s="84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</row>
    <row r="312" spans="1:26" x14ac:dyDescent="0.25">
      <c r="A312" s="84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</row>
    <row r="313" spans="1:26" x14ac:dyDescent="0.25">
      <c r="A313" s="84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</row>
    <row r="314" spans="1:26" x14ac:dyDescent="0.25">
      <c r="A314" s="84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</row>
    <row r="315" spans="1:26" x14ac:dyDescent="0.25">
      <c r="A315" s="84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</row>
    <row r="316" spans="1:26" x14ac:dyDescent="0.25">
      <c r="A316" s="84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</row>
    <row r="317" spans="1:26" x14ac:dyDescent="0.25">
      <c r="A317" s="84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</row>
    <row r="318" spans="1:26" x14ac:dyDescent="0.25">
      <c r="A318" s="84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</row>
    <row r="319" spans="1:26" x14ac:dyDescent="0.25">
      <c r="A319" s="84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</row>
    <row r="320" spans="1:26" x14ac:dyDescent="0.25">
      <c r="A320" s="84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</row>
    <row r="321" spans="1:26" x14ac:dyDescent="0.25">
      <c r="A321" s="84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</row>
    <row r="322" spans="1:26" x14ac:dyDescent="0.25">
      <c r="A322" s="84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</row>
    <row r="323" spans="1:26" x14ac:dyDescent="0.25">
      <c r="A323" s="84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</row>
    <row r="324" spans="1:26" x14ac:dyDescent="0.25">
      <c r="A324" s="84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</row>
    <row r="325" spans="1:26" x14ac:dyDescent="0.25">
      <c r="A325" s="84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</row>
    <row r="326" spans="1:26" x14ac:dyDescent="0.25">
      <c r="A326" s="84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</row>
    <row r="327" spans="1:26" x14ac:dyDescent="0.25">
      <c r="A327" s="84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</row>
    <row r="328" spans="1:26" x14ac:dyDescent="0.25">
      <c r="A328" s="84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</row>
    <row r="329" spans="1:26" x14ac:dyDescent="0.25">
      <c r="A329" s="84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</row>
    <row r="330" spans="1:26" x14ac:dyDescent="0.25">
      <c r="A330" s="84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</row>
    <row r="331" spans="1:26" x14ac:dyDescent="0.25">
      <c r="A331" s="84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</row>
    <row r="332" spans="1:26" x14ac:dyDescent="0.25">
      <c r="A332" s="84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</row>
    <row r="333" spans="1:26" x14ac:dyDescent="0.25">
      <c r="A333" s="84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</row>
    <row r="334" spans="1:26" x14ac:dyDescent="0.25">
      <c r="A334" s="84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</row>
    <row r="335" spans="1:26" x14ac:dyDescent="0.25">
      <c r="A335" s="84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</row>
    <row r="336" spans="1:26" x14ac:dyDescent="0.25">
      <c r="A336" s="84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</row>
    <row r="337" spans="1:26" x14ac:dyDescent="0.25">
      <c r="A337" s="84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</row>
    <row r="338" spans="1:26" x14ac:dyDescent="0.25">
      <c r="A338" s="84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</row>
    <row r="339" spans="1:26" x14ac:dyDescent="0.25">
      <c r="A339" s="84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</row>
    <row r="340" spans="1:26" x14ac:dyDescent="0.25">
      <c r="A340" s="84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</row>
    <row r="341" spans="1:26" x14ac:dyDescent="0.25">
      <c r="A341" s="84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</row>
    <row r="342" spans="1:26" x14ac:dyDescent="0.25">
      <c r="A342" s="84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</row>
    <row r="343" spans="1:26" x14ac:dyDescent="0.25">
      <c r="A343" s="84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</row>
    <row r="344" spans="1:26" x14ac:dyDescent="0.25">
      <c r="A344" s="84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</row>
    <row r="345" spans="1:26" x14ac:dyDescent="0.25">
      <c r="A345" s="84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</row>
    <row r="346" spans="1:26" x14ac:dyDescent="0.25">
      <c r="A346" s="84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</row>
    <row r="347" spans="1:26" x14ac:dyDescent="0.25">
      <c r="A347" s="84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</row>
    <row r="348" spans="1:26" x14ac:dyDescent="0.25">
      <c r="A348" s="84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</row>
    <row r="349" spans="1:26" x14ac:dyDescent="0.25">
      <c r="A349" s="84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</row>
    <row r="350" spans="1:26" x14ac:dyDescent="0.25">
      <c r="A350" s="84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</row>
    <row r="351" spans="1:26" x14ac:dyDescent="0.25">
      <c r="A351" s="84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</row>
    <row r="352" spans="1:26" x14ac:dyDescent="0.25">
      <c r="A352" s="84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</row>
    <row r="353" spans="1:26" x14ac:dyDescent="0.25">
      <c r="A353" s="84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</row>
    <row r="354" spans="1:26" x14ac:dyDescent="0.25">
      <c r="A354" s="84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</row>
    <row r="355" spans="1:26" x14ac:dyDescent="0.25">
      <c r="A355" s="84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</row>
    <row r="356" spans="1:26" x14ac:dyDescent="0.25">
      <c r="A356" s="84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</row>
    <row r="357" spans="1:26" x14ac:dyDescent="0.25">
      <c r="A357" s="84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</row>
    <row r="358" spans="1:26" x14ac:dyDescent="0.25">
      <c r="A358" s="84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</row>
    <row r="359" spans="1:26" x14ac:dyDescent="0.25">
      <c r="A359" s="84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</row>
    <row r="360" spans="1:26" x14ac:dyDescent="0.25">
      <c r="A360" s="84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</row>
    <row r="361" spans="1:26" x14ac:dyDescent="0.25">
      <c r="A361" s="84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</row>
    <row r="362" spans="1:26" x14ac:dyDescent="0.25">
      <c r="A362" s="84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</row>
    <row r="363" spans="1:26" x14ac:dyDescent="0.25">
      <c r="A363" s="84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</row>
    <row r="364" spans="1:26" x14ac:dyDescent="0.25">
      <c r="A364" s="84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</row>
    <row r="365" spans="1:26" x14ac:dyDescent="0.25">
      <c r="A365" s="84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</row>
    <row r="366" spans="1:26" x14ac:dyDescent="0.25">
      <c r="A366" s="84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</row>
    <row r="367" spans="1:26" x14ac:dyDescent="0.25">
      <c r="A367" s="84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</row>
    <row r="368" spans="1:26" x14ac:dyDescent="0.25">
      <c r="A368" s="84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</row>
    <row r="369" spans="1:26" x14ac:dyDescent="0.25">
      <c r="A369" s="84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</row>
    <row r="370" spans="1:26" x14ac:dyDescent="0.25">
      <c r="A370" s="84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</row>
    <row r="371" spans="1:26" x14ac:dyDescent="0.25">
      <c r="A371" s="84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</row>
    <row r="372" spans="1:26" x14ac:dyDescent="0.25">
      <c r="A372" s="84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</row>
    <row r="373" spans="1:26" x14ac:dyDescent="0.25">
      <c r="A373" s="84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</row>
    <row r="374" spans="1:26" x14ac:dyDescent="0.25">
      <c r="A374" s="84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</row>
    <row r="375" spans="1:26" x14ac:dyDescent="0.25">
      <c r="A375" s="84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</row>
    <row r="376" spans="1:26" x14ac:dyDescent="0.25">
      <c r="A376" s="84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</row>
    <row r="377" spans="1:26" x14ac:dyDescent="0.25">
      <c r="A377" s="84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</row>
    <row r="378" spans="1:26" x14ac:dyDescent="0.25">
      <c r="A378" s="84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</row>
    <row r="379" spans="1:26" x14ac:dyDescent="0.25">
      <c r="A379" s="84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</row>
    <row r="380" spans="1:26" x14ac:dyDescent="0.25">
      <c r="A380" s="84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</row>
    <row r="381" spans="1:26" x14ac:dyDescent="0.25">
      <c r="A381" s="84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</row>
    <row r="382" spans="1:26" x14ac:dyDescent="0.25">
      <c r="A382" s="84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</row>
    <row r="383" spans="1:26" x14ac:dyDescent="0.25">
      <c r="A383" s="84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</row>
    <row r="384" spans="1:26" x14ac:dyDescent="0.25">
      <c r="A384" s="84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</row>
    <row r="385" spans="1:26" x14ac:dyDescent="0.25">
      <c r="A385" s="84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</row>
    <row r="386" spans="1:26" x14ac:dyDescent="0.25">
      <c r="A386" s="84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</row>
    <row r="387" spans="1:26" x14ac:dyDescent="0.25">
      <c r="A387" s="84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</row>
    <row r="388" spans="1:26" x14ac:dyDescent="0.25">
      <c r="A388" s="84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</row>
    <row r="389" spans="1:26" x14ac:dyDescent="0.25">
      <c r="A389" s="84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</row>
    <row r="390" spans="1:26" x14ac:dyDescent="0.25">
      <c r="A390" s="84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</row>
    <row r="391" spans="1:26" x14ac:dyDescent="0.25">
      <c r="A391" s="84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</row>
    <row r="392" spans="1:26" x14ac:dyDescent="0.25">
      <c r="A392" s="84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</row>
    <row r="393" spans="1:26" x14ac:dyDescent="0.25">
      <c r="A393" s="84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</row>
    <row r="394" spans="1:26" x14ac:dyDescent="0.25">
      <c r="A394" s="84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</row>
    <row r="395" spans="1:26" x14ac:dyDescent="0.25">
      <c r="A395" s="84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</row>
    <row r="396" spans="1:26" x14ac:dyDescent="0.25">
      <c r="A396" s="84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</row>
    <row r="397" spans="1:26" x14ac:dyDescent="0.25">
      <c r="A397" s="84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</row>
    <row r="398" spans="1:26" x14ac:dyDescent="0.25">
      <c r="A398" s="84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</row>
    <row r="399" spans="1:26" x14ac:dyDescent="0.25">
      <c r="A399" s="84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</row>
    <row r="400" spans="1:26" x14ac:dyDescent="0.25">
      <c r="A400" s="84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</row>
    <row r="401" spans="1:26" x14ac:dyDescent="0.25">
      <c r="A401" s="84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</row>
    <row r="402" spans="1:26" x14ac:dyDescent="0.25">
      <c r="A402" s="84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</row>
    <row r="403" spans="1:26" x14ac:dyDescent="0.25">
      <c r="A403" s="84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</row>
    <row r="404" spans="1:26" x14ac:dyDescent="0.25">
      <c r="A404" s="84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</row>
    <row r="405" spans="1:26" x14ac:dyDescent="0.25">
      <c r="A405" s="84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</row>
    <row r="406" spans="1:26" x14ac:dyDescent="0.25">
      <c r="A406" s="84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</row>
    <row r="407" spans="1:26" x14ac:dyDescent="0.25">
      <c r="A407" s="84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</row>
    <row r="408" spans="1:26" x14ac:dyDescent="0.25">
      <c r="A408" s="84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</row>
    <row r="409" spans="1:26" x14ac:dyDescent="0.25">
      <c r="A409" s="84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</row>
    <row r="410" spans="1:26" x14ac:dyDescent="0.25">
      <c r="A410" s="84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</row>
    <row r="411" spans="1:26" x14ac:dyDescent="0.25">
      <c r="A411" s="84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</row>
    <row r="412" spans="1:26" x14ac:dyDescent="0.25">
      <c r="A412" s="84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</row>
    <row r="413" spans="1:26" x14ac:dyDescent="0.25">
      <c r="A413" s="84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</row>
    <row r="414" spans="1:26" x14ac:dyDescent="0.25">
      <c r="A414" s="84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</row>
    <row r="415" spans="1:26" x14ac:dyDescent="0.25">
      <c r="A415" s="84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</row>
    <row r="416" spans="1:26" x14ac:dyDescent="0.25">
      <c r="A416" s="84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</row>
    <row r="417" spans="1:26" x14ac:dyDescent="0.25">
      <c r="A417" s="84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</row>
    <row r="418" spans="1:26" x14ac:dyDescent="0.25">
      <c r="A418" s="84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</row>
    <row r="419" spans="1:26" x14ac:dyDescent="0.25">
      <c r="A419" s="84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</row>
    <row r="420" spans="1:26" x14ac:dyDescent="0.25">
      <c r="A420" s="84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</row>
    <row r="421" spans="1:26" x14ac:dyDescent="0.25">
      <c r="A421" s="84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</row>
    <row r="422" spans="1:26" x14ac:dyDescent="0.25">
      <c r="A422" s="84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</row>
    <row r="423" spans="1:26" x14ac:dyDescent="0.25">
      <c r="A423" s="84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</row>
    <row r="424" spans="1:26" x14ac:dyDescent="0.25">
      <c r="A424" s="84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</row>
    <row r="425" spans="1:26" x14ac:dyDescent="0.25">
      <c r="A425" s="84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</row>
    <row r="426" spans="1:26" x14ac:dyDescent="0.25">
      <c r="A426" s="84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</row>
    <row r="427" spans="1:26" x14ac:dyDescent="0.25">
      <c r="A427" s="84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</row>
    <row r="428" spans="1:26" x14ac:dyDescent="0.25">
      <c r="A428" s="84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</row>
    <row r="429" spans="1:26" x14ac:dyDescent="0.25">
      <c r="A429" s="84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</row>
    <row r="430" spans="1:26" x14ac:dyDescent="0.25">
      <c r="A430" s="84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</row>
    <row r="431" spans="1:26" x14ac:dyDescent="0.25">
      <c r="A431" s="84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</row>
    <row r="432" spans="1:26" x14ac:dyDescent="0.25">
      <c r="A432" s="84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</row>
    <row r="433" spans="1:26" x14ac:dyDescent="0.25">
      <c r="A433" s="84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</row>
    <row r="434" spans="1:26" x14ac:dyDescent="0.25">
      <c r="A434" s="84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</row>
    <row r="435" spans="1:26" x14ac:dyDescent="0.25">
      <c r="A435" s="84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</row>
    <row r="436" spans="1:26" x14ac:dyDescent="0.25">
      <c r="A436" s="84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</row>
    <row r="437" spans="1:26" x14ac:dyDescent="0.25">
      <c r="A437" s="84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</row>
    <row r="438" spans="1:26" x14ac:dyDescent="0.25">
      <c r="A438" s="84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</row>
    <row r="439" spans="1:26" x14ac:dyDescent="0.25">
      <c r="A439" s="84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</row>
    <row r="440" spans="1:26" x14ac:dyDescent="0.25">
      <c r="A440" s="84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</row>
    <row r="441" spans="1:26" x14ac:dyDescent="0.25">
      <c r="A441" s="84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</row>
    <row r="442" spans="1:26" x14ac:dyDescent="0.25">
      <c r="A442" s="84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</row>
    <row r="443" spans="1:26" x14ac:dyDescent="0.25">
      <c r="A443" s="84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</row>
    <row r="444" spans="1:26" x14ac:dyDescent="0.25">
      <c r="A444" s="84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</row>
    <row r="445" spans="1:26" x14ac:dyDescent="0.25">
      <c r="A445" s="84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</row>
    <row r="446" spans="1:26" x14ac:dyDescent="0.25">
      <c r="A446" s="84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</row>
    <row r="447" spans="1:26" x14ac:dyDescent="0.25">
      <c r="A447" s="84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</row>
    <row r="448" spans="1:26" x14ac:dyDescent="0.25">
      <c r="A448" s="84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</row>
    <row r="449" spans="1:26" x14ac:dyDescent="0.25">
      <c r="A449" s="84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</row>
    <row r="450" spans="1:26" x14ac:dyDescent="0.25">
      <c r="A450" s="84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</row>
    <row r="451" spans="1:26" x14ac:dyDescent="0.25">
      <c r="A451" s="84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</row>
    <row r="452" spans="1:26" x14ac:dyDescent="0.25">
      <c r="A452" s="84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</row>
    <row r="453" spans="1:26" x14ac:dyDescent="0.25">
      <c r="A453" s="84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</row>
    <row r="454" spans="1:26" x14ac:dyDescent="0.25">
      <c r="A454" s="84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</row>
    <row r="455" spans="1:26" x14ac:dyDescent="0.25">
      <c r="A455" s="84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</row>
    <row r="456" spans="1:26" x14ac:dyDescent="0.25">
      <c r="A456" s="84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</row>
    <row r="457" spans="1:26" x14ac:dyDescent="0.25">
      <c r="A457" s="84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</row>
    <row r="458" spans="1:26" x14ac:dyDescent="0.25">
      <c r="A458" s="84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</row>
    <row r="459" spans="1:26" x14ac:dyDescent="0.25">
      <c r="A459" s="84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</row>
    <row r="460" spans="1:26" x14ac:dyDescent="0.25">
      <c r="A460" s="84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</row>
    <row r="461" spans="1:26" x14ac:dyDescent="0.25">
      <c r="A461" s="84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</row>
    <row r="462" spans="1:26" x14ac:dyDescent="0.25">
      <c r="A462" s="84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</row>
    <row r="463" spans="1:26" x14ac:dyDescent="0.25">
      <c r="A463" s="84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</row>
    <row r="464" spans="1:26" x14ac:dyDescent="0.25">
      <c r="A464" s="84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</row>
    <row r="465" spans="1:26" x14ac:dyDescent="0.25">
      <c r="A465" s="84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</row>
    <row r="466" spans="1:26" x14ac:dyDescent="0.25">
      <c r="A466" s="84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</row>
    <row r="467" spans="1:26" x14ac:dyDescent="0.25">
      <c r="A467" s="84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</row>
    <row r="468" spans="1:26" x14ac:dyDescent="0.25">
      <c r="A468" s="84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</row>
    <row r="469" spans="1:26" x14ac:dyDescent="0.25">
      <c r="A469" s="84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</row>
    <row r="470" spans="1:26" x14ac:dyDescent="0.25">
      <c r="A470" s="84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</row>
    <row r="471" spans="1:26" x14ac:dyDescent="0.25">
      <c r="A471" s="84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</row>
    <row r="472" spans="1:26" x14ac:dyDescent="0.25">
      <c r="A472" s="84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</row>
    <row r="473" spans="1:26" x14ac:dyDescent="0.25">
      <c r="A473" s="84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</row>
    <row r="474" spans="1:26" x14ac:dyDescent="0.25">
      <c r="A474" s="84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</row>
    <row r="475" spans="1:26" x14ac:dyDescent="0.25">
      <c r="A475" s="84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</row>
    <row r="476" spans="1:26" x14ac:dyDescent="0.25">
      <c r="A476" s="84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</row>
    <row r="477" spans="1:26" x14ac:dyDescent="0.25">
      <c r="A477" s="84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</row>
    <row r="478" spans="1:26" x14ac:dyDescent="0.25">
      <c r="A478" s="84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</row>
    <row r="479" spans="1:26" x14ac:dyDescent="0.25">
      <c r="A479" s="84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</row>
    <row r="480" spans="1:26" x14ac:dyDescent="0.25">
      <c r="A480" s="84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</row>
    <row r="481" spans="1:26" x14ac:dyDescent="0.25">
      <c r="A481" s="84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</row>
    <row r="482" spans="1:26" x14ac:dyDescent="0.25">
      <c r="A482" s="84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</row>
    <row r="483" spans="1:26" x14ac:dyDescent="0.25">
      <c r="A483" s="84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</row>
    <row r="484" spans="1:26" x14ac:dyDescent="0.25">
      <c r="A484" s="84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</row>
    <row r="485" spans="1:26" x14ac:dyDescent="0.25">
      <c r="A485" s="84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</row>
    <row r="486" spans="1:26" x14ac:dyDescent="0.25">
      <c r="A486" s="84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</row>
    <row r="487" spans="1:26" x14ac:dyDescent="0.25">
      <c r="A487" s="84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</row>
    <row r="488" spans="1:26" x14ac:dyDescent="0.25">
      <c r="A488" s="84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</row>
    <row r="489" spans="1:26" x14ac:dyDescent="0.25">
      <c r="A489" s="84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</row>
    <row r="490" spans="1:26" x14ac:dyDescent="0.25">
      <c r="A490" s="84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</row>
    <row r="491" spans="1:26" x14ac:dyDescent="0.25">
      <c r="A491" s="84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</row>
    <row r="492" spans="1:26" x14ac:dyDescent="0.25">
      <c r="A492" s="84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</row>
    <row r="493" spans="1:26" x14ac:dyDescent="0.25">
      <c r="A493" s="84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</row>
    <row r="494" spans="1:26" x14ac:dyDescent="0.25">
      <c r="A494" s="84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</row>
    <row r="495" spans="1:26" x14ac:dyDescent="0.25">
      <c r="A495" s="84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</row>
    <row r="496" spans="1:26" x14ac:dyDescent="0.25">
      <c r="A496" s="84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</row>
    <row r="497" spans="1:26" x14ac:dyDescent="0.25">
      <c r="A497" s="84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</row>
    <row r="498" spans="1:26" x14ac:dyDescent="0.25">
      <c r="A498" s="84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</row>
    <row r="499" spans="1:26" x14ac:dyDescent="0.25">
      <c r="A499" s="84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</row>
    <row r="500" spans="1:26" x14ac:dyDescent="0.25">
      <c r="A500" s="84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</row>
    <row r="501" spans="1:26" x14ac:dyDescent="0.25">
      <c r="A501" s="84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</row>
    <row r="502" spans="1:26" x14ac:dyDescent="0.25">
      <c r="A502" s="84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</row>
    <row r="503" spans="1:26" x14ac:dyDescent="0.25">
      <c r="A503" s="84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</row>
    <row r="504" spans="1:26" x14ac:dyDescent="0.25">
      <c r="A504" s="84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</row>
    <row r="505" spans="1:26" x14ac:dyDescent="0.25">
      <c r="A505" s="84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</row>
    <row r="506" spans="1:26" x14ac:dyDescent="0.25">
      <c r="A506" s="84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</row>
    <row r="507" spans="1:26" x14ac:dyDescent="0.25">
      <c r="A507" s="84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</row>
    <row r="508" spans="1:26" x14ac:dyDescent="0.25">
      <c r="A508" s="84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</row>
    <row r="509" spans="1:26" x14ac:dyDescent="0.25">
      <c r="A509" s="84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</row>
    <row r="510" spans="1:26" x14ac:dyDescent="0.25">
      <c r="A510" s="84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</row>
    <row r="511" spans="1:26" x14ac:dyDescent="0.25">
      <c r="A511" s="84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</row>
    <row r="512" spans="1:26" x14ac:dyDescent="0.25">
      <c r="A512" s="84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</row>
    <row r="513" spans="1:26" x14ac:dyDescent="0.25">
      <c r="A513" s="84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</row>
    <row r="514" spans="1:26" x14ac:dyDescent="0.25">
      <c r="A514" s="84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</row>
    <row r="515" spans="1:26" x14ac:dyDescent="0.25">
      <c r="A515" s="84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</row>
    <row r="516" spans="1:26" x14ac:dyDescent="0.25">
      <c r="A516" s="84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</row>
    <row r="517" spans="1:26" x14ac:dyDescent="0.25">
      <c r="A517" s="84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</row>
    <row r="518" spans="1:26" x14ac:dyDescent="0.25">
      <c r="A518" s="84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</row>
    <row r="519" spans="1:26" x14ac:dyDescent="0.25">
      <c r="A519" s="84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</row>
    <row r="520" spans="1:26" x14ac:dyDescent="0.25">
      <c r="A520" s="84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</row>
    <row r="521" spans="1:26" x14ac:dyDescent="0.25">
      <c r="A521" s="84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</row>
    <row r="522" spans="1:26" x14ac:dyDescent="0.25">
      <c r="A522" s="84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</row>
    <row r="523" spans="1:26" x14ac:dyDescent="0.25">
      <c r="A523" s="84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</row>
    <row r="524" spans="1:26" x14ac:dyDescent="0.25">
      <c r="A524" s="84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</row>
    <row r="525" spans="1:26" x14ac:dyDescent="0.25">
      <c r="A525" s="84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</row>
    <row r="526" spans="1:26" x14ac:dyDescent="0.25">
      <c r="A526" s="84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</row>
    <row r="527" spans="1:26" x14ac:dyDescent="0.25">
      <c r="A527" s="84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</row>
    <row r="528" spans="1:26" x14ac:dyDescent="0.25">
      <c r="A528" s="84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</row>
    <row r="529" spans="1:26" x14ac:dyDescent="0.25">
      <c r="A529" s="84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</row>
    <row r="530" spans="1:26" x14ac:dyDescent="0.25">
      <c r="A530" s="84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</row>
    <row r="531" spans="1:26" x14ac:dyDescent="0.25">
      <c r="A531" s="84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</row>
    <row r="532" spans="1:26" x14ac:dyDescent="0.25">
      <c r="A532" s="84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</row>
    <row r="533" spans="1:26" x14ac:dyDescent="0.25">
      <c r="A533" s="84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</row>
    <row r="534" spans="1:26" x14ac:dyDescent="0.25">
      <c r="A534" s="84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</row>
    <row r="535" spans="1:26" x14ac:dyDescent="0.25">
      <c r="A535" s="84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</row>
    <row r="536" spans="1:26" x14ac:dyDescent="0.25">
      <c r="A536" s="84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</row>
    <row r="537" spans="1:26" x14ac:dyDescent="0.25">
      <c r="A537" s="84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</row>
    <row r="538" spans="1:26" x14ac:dyDescent="0.25">
      <c r="A538" s="84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</row>
    <row r="539" spans="1:26" x14ac:dyDescent="0.25">
      <c r="A539" s="84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</row>
    <row r="540" spans="1:26" x14ac:dyDescent="0.25">
      <c r="A540" s="84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</row>
    <row r="541" spans="1:26" x14ac:dyDescent="0.25">
      <c r="A541" s="84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</row>
    <row r="542" spans="1:26" x14ac:dyDescent="0.25">
      <c r="A542" s="84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</row>
    <row r="543" spans="1:26" x14ac:dyDescent="0.25">
      <c r="A543" s="84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</row>
    <row r="544" spans="1:26" x14ac:dyDescent="0.25">
      <c r="A544" s="84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</row>
    <row r="545" spans="1:26" x14ac:dyDescent="0.25">
      <c r="A545" s="84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</row>
    <row r="546" spans="1:26" x14ac:dyDescent="0.25">
      <c r="A546" s="84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</row>
    <row r="547" spans="1:26" x14ac:dyDescent="0.25">
      <c r="A547" s="84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</row>
    <row r="548" spans="1:26" x14ac:dyDescent="0.25">
      <c r="A548" s="84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</row>
    <row r="549" spans="1:26" x14ac:dyDescent="0.25">
      <c r="A549" s="84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</row>
    <row r="550" spans="1:26" x14ac:dyDescent="0.25">
      <c r="A550" s="84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</row>
    <row r="551" spans="1:26" x14ac:dyDescent="0.25">
      <c r="A551" s="84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</row>
    <row r="552" spans="1:26" x14ac:dyDescent="0.25">
      <c r="A552" s="84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</row>
    <row r="553" spans="1:26" x14ac:dyDescent="0.25">
      <c r="A553" s="84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</row>
    <row r="554" spans="1:26" x14ac:dyDescent="0.25">
      <c r="A554" s="84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</row>
    <row r="555" spans="1:26" x14ac:dyDescent="0.25">
      <c r="A555" s="84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</row>
    <row r="556" spans="1:26" x14ac:dyDescent="0.25">
      <c r="A556" s="84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</row>
    <row r="557" spans="1:26" x14ac:dyDescent="0.25">
      <c r="A557" s="84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</row>
    <row r="558" spans="1:26" x14ac:dyDescent="0.25">
      <c r="A558" s="84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</row>
    <row r="559" spans="1:26" x14ac:dyDescent="0.25">
      <c r="A559" s="84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</row>
    <row r="560" spans="1:26" x14ac:dyDescent="0.25">
      <c r="A560" s="84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</row>
    <row r="561" spans="1:26" x14ac:dyDescent="0.25">
      <c r="A561" s="84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</row>
    <row r="562" spans="1:26" x14ac:dyDescent="0.25">
      <c r="A562" s="84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</row>
    <row r="563" spans="1:26" x14ac:dyDescent="0.25">
      <c r="A563" s="84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</row>
    <row r="564" spans="1:26" x14ac:dyDescent="0.25">
      <c r="A564" s="84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</row>
    <row r="565" spans="1:26" x14ac:dyDescent="0.25">
      <c r="A565" s="84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</row>
    <row r="566" spans="1:26" x14ac:dyDescent="0.25">
      <c r="A566" s="84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</row>
    <row r="567" spans="1:26" x14ac:dyDescent="0.25">
      <c r="A567" s="84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</row>
    <row r="568" spans="1:26" x14ac:dyDescent="0.25">
      <c r="A568" s="84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</row>
    <row r="569" spans="1:26" x14ac:dyDescent="0.25">
      <c r="A569" s="84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</row>
    <row r="570" spans="1:26" x14ac:dyDescent="0.25">
      <c r="A570" s="84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</row>
    <row r="571" spans="1:26" x14ac:dyDescent="0.25">
      <c r="A571" s="84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</row>
    <row r="572" spans="1:26" x14ac:dyDescent="0.25">
      <c r="A572" s="84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</row>
    <row r="573" spans="1:26" x14ac:dyDescent="0.25">
      <c r="A573" s="84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</row>
    <row r="574" spans="1:26" x14ac:dyDescent="0.25">
      <c r="A574" s="84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</row>
    <row r="575" spans="1:26" x14ac:dyDescent="0.25">
      <c r="A575" s="84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</row>
    <row r="576" spans="1:26" x14ac:dyDescent="0.25">
      <c r="A576" s="84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</row>
    <row r="577" spans="1:26" x14ac:dyDescent="0.25">
      <c r="A577" s="84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</row>
    <row r="578" spans="1:26" x14ac:dyDescent="0.25">
      <c r="A578" s="84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</row>
    <row r="579" spans="1:26" x14ac:dyDescent="0.25">
      <c r="A579" s="84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</row>
    <row r="580" spans="1:26" x14ac:dyDescent="0.25">
      <c r="A580" s="84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</row>
    <row r="581" spans="1:26" x14ac:dyDescent="0.25">
      <c r="A581" s="84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</row>
    <row r="582" spans="1:26" x14ac:dyDescent="0.25">
      <c r="A582" s="84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</row>
    <row r="583" spans="1:26" x14ac:dyDescent="0.25">
      <c r="A583" s="84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</row>
    <row r="584" spans="1:26" x14ac:dyDescent="0.25">
      <c r="A584" s="84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</row>
    <row r="585" spans="1:26" x14ac:dyDescent="0.25">
      <c r="A585" s="84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</row>
    <row r="586" spans="1:26" x14ac:dyDescent="0.25">
      <c r="A586" s="84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</row>
    <row r="587" spans="1:26" x14ac:dyDescent="0.25">
      <c r="A587" s="84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</row>
    <row r="588" spans="1:26" x14ac:dyDescent="0.25">
      <c r="A588" s="84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</row>
    <row r="589" spans="1:26" x14ac:dyDescent="0.25">
      <c r="A589" s="84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</row>
    <row r="590" spans="1:26" x14ac:dyDescent="0.25">
      <c r="A590" s="84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</row>
    <row r="591" spans="1:26" x14ac:dyDescent="0.25">
      <c r="A591" s="84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</row>
    <row r="592" spans="1:26" x14ac:dyDescent="0.25">
      <c r="A592" s="84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</row>
    <row r="593" spans="1:26" x14ac:dyDescent="0.25">
      <c r="A593" s="84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</row>
    <row r="594" spans="1:26" x14ac:dyDescent="0.25">
      <c r="A594" s="84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</row>
    <row r="595" spans="1:26" x14ac:dyDescent="0.25">
      <c r="A595" s="84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</row>
    <row r="596" spans="1:26" x14ac:dyDescent="0.25">
      <c r="A596" s="84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</row>
    <row r="597" spans="1:26" x14ac:dyDescent="0.25">
      <c r="A597" s="84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</row>
    <row r="598" spans="1:26" x14ac:dyDescent="0.25">
      <c r="A598" s="84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</row>
    <row r="599" spans="1:26" x14ac:dyDescent="0.25">
      <c r="A599" s="84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</row>
    <row r="600" spans="1:26" x14ac:dyDescent="0.25">
      <c r="A600" s="84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</row>
    <row r="601" spans="1:26" x14ac:dyDescent="0.25">
      <c r="A601" s="84"/>
      <c r="B601" s="84"/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  <c r="S601" s="84"/>
      <c r="T601" s="84"/>
      <c r="U601" s="84"/>
      <c r="V601" s="84"/>
      <c r="W601" s="84"/>
      <c r="X601" s="84"/>
      <c r="Y601" s="84"/>
      <c r="Z601" s="84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83"/>
    <col min="4" max="4" width="18.28515625" style="83" customWidth="1"/>
    <col min="5" max="6" width="9.140625" style="83"/>
    <col min="7" max="7" width="18.28515625" style="83" customWidth="1"/>
    <col min="8" max="16384" width="9.140625" style="83"/>
  </cols>
  <sheetData>
    <row r="1" spans="1:26" ht="26.25" x14ac:dyDescent="0.4">
      <c r="B1" s="90" t="s">
        <v>285</v>
      </c>
      <c r="C1" s="90"/>
      <c r="D1" s="90"/>
      <c r="E1" s="90" t="s">
        <v>130</v>
      </c>
      <c r="F1" s="90"/>
      <c r="G1" s="90"/>
      <c r="H1" s="90" t="s">
        <v>174</v>
      </c>
    </row>
    <row r="3" spans="1:26" ht="20.25" x14ac:dyDescent="0.3">
      <c r="F3" s="95" t="str">
        <f>Season</f>
        <v>2022/2023</v>
      </c>
    </row>
    <row r="4" spans="1:26" x14ac:dyDescent="0.25">
      <c r="C4" s="83" t="s">
        <v>163</v>
      </c>
    </row>
    <row r="5" spans="1:26" x14ac:dyDescent="0.25">
      <c r="A5" s="84" t="s">
        <v>365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</row>
    <row r="6" spans="1:26" x14ac:dyDescent="0.2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</row>
    <row r="7" spans="1:26" ht="16.5" thickBot="1" x14ac:dyDescent="0.3">
      <c r="A7" s="84"/>
      <c r="B7" s="84" t="s">
        <v>113</v>
      </c>
      <c r="C7" s="84" t="s">
        <v>91</v>
      </c>
      <c r="D7" s="85"/>
      <c r="E7" s="85"/>
      <c r="F7" s="85"/>
      <c r="G7" s="85"/>
      <c r="H7" s="85"/>
      <c r="I7" s="85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</row>
    <row r="8" spans="1:26" x14ac:dyDescent="0.25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</row>
    <row r="9" spans="1:26" ht="16.5" thickBot="1" x14ac:dyDescent="0.3">
      <c r="A9" s="84"/>
      <c r="B9" s="84" t="s">
        <v>114</v>
      </c>
      <c r="C9" s="84" t="s">
        <v>91</v>
      </c>
      <c r="D9" s="85"/>
      <c r="E9" s="85"/>
      <c r="F9" s="85"/>
      <c r="G9" s="85"/>
      <c r="H9" s="85"/>
      <c r="I9" s="85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</row>
    <row r="10" spans="1:26" x14ac:dyDescent="0.25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 spans="1:26" ht="16.5" thickBot="1" x14ac:dyDescent="0.3">
      <c r="A11" s="84"/>
      <c r="B11" s="84" t="s">
        <v>115</v>
      </c>
      <c r="C11" s="84" t="s">
        <v>91</v>
      </c>
      <c r="D11" s="85"/>
      <c r="E11" s="85"/>
      <c r="F11" s="85"/>
      <c r="G11" s="85"/>
      <c r="H11" s="85"/>
      <c r="I11" s="85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</row>
    <row r="12" spans="1:26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1:26" ht="16.5" thickBot="1" x14ac:dyDescent="0.3">
      <c r="A13" s="84"/>
      <c r="B13" s="84" t="s">
        <v>126</v>
      </c>
      <c r="C13" s="84" t="s">
        <v>91</v>
      </c>
      <c r="D13" s="85"/>
      <c r="E13" s="85"/>
      <c r="F13" s="85"/>
      <c r="G13" s="85"/>
      <c r="H13" s="85"/>
      <c r="I13" s="85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</row>
    <row r="14" spans="1:26" x14ac:dyDescent="0.25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</row>
    <row r="15" spans="1:26" ht="16.5" thickBot="1" x14ac:dyDescent="0.3">
      <c r="A15" s="84"/>
      <c r="B15" s="84" t="s">
        <v>151</v>
      </c>
      <c r="C15" s="84" t="s">
        <v>91</v>
      </c>
      <c r="D15" s="85"/>
      <c r="E15" s="85"/>
      <c r="F15" s="85"/>
      <c r="G15" s="85"/>
      <c r="H15" s="85"/>
      <c r="I15" s="85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</row>
    <row r="16" spans="1:26" x14ac:dyDescent="0.25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</row>
    <row r="17" spans="1:26" x14ac:dyDescent="0.25">
      <c r="A17" s="84" t="s">
        <v>366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</row>
    <row r="18" spans="1:26" x14ac:dyDescent="0.25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</row>
    <row r="19" spans="1:26" ht="16.5" thickBot="1" x14ac:dyDescent="0.3">
      <c r="A19" s="84"/>
      <c r="B19" s="84" t="s">
        <v>106</v>
      </c>
      <c r="C19" s="84" t="s">
        <v>91</v>
      </c>
      <c r="D19" s="85"/>
      <c r="E19" s="85"/>
      <c r="F19" s="85"/>
      <c r="G19" s="85"/>
      <c r="H19" s="85"/>
      <c r="I19" s="85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</row>
    <row r="20" spans="1:26" x14ac:dyDescent="0.25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</row>
    <row r="21" spans="1:26" ht="16.5" thickBot="1" x14ac:dyDescent="0.3">
      <c r="A21" s="84"/>
      <c r="B21" s="84" t="s">
        <v>107</v>
      </c>
      <c r="C21" s="84" t="s">
        <v>91</v>
      </c>
      <c r="D21" s="85"/>
      <c r="E21" s="85"/>
      <c r="F21" s="85"/>
      <c r="G21" s="85"/>
      <c r="H21" s="85"/>
      <c r="I21" s="85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</row>
    <row r="22" spans="1:26" x14ac:dyDescent="0.2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</row>
    <row r="23" spans="1:26" ht="16.5" thickBot="1" x14ac:dyDescent="0.3">
      <c r="A23" s="84"/>
      <c r="B23" s="84" t="s">
        <v>108</v>
      </c>
      <c r="C23" s="84" t="s">
        <v>91</v>
      </c>
      <c r="D23" s="85"/>
      <c r="E23" s="85"/>
      <c r="F23" s="85"/>
      <c r="G23" s="85"/>
      <c r="H23" s="85"/>
      <c r="I23" s="85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</row>
    <row r="24" spans="1:26" x14ac:dyDescent="0.25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</row>
    <row r="25" spans="1:26" ht="16.5" thickBot="1" x14ac:dyDescent="0.3">
      <c r="A25" s="84"/>
      <c r="B25" s="84" t="s">
        <v>109</v>
      </c>
      <c r="C25" s="84" t="s">
        <v>315</v>
      </c>
      <c r="D25" s="85"/>
      <c r="E25" s="85"/>
      <c r="F25" s="85"/>
      <c r="G25" s="85"/>
      <c r="H25" s="85"/>
      <c r="I25" s="85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</row>
    <row r="26" spans="1:26" x14ac:dyDescent="0.2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</row>
    <row r="27" spans="1:26" ht="16.5" thickBot="1" x14ac:dyDescent="0.3">
      <c r="A27" s="84"/>
      <c r="B27" s="84" t="s">
        <v>110</v>
      </c>
      <c r="C27" s="84" t="s">
        <v>267</v>
      </c>
      <c r="D27" s="85"/>
      <c r="E27" s="85"/>
      <c r="F27" s="85"/>
      <c r="G27" s="85"/>
      <c r="H27" s="85"/>
      <c r="I27" s="85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</row>
    <row r="28" spans="1:26" x14ac:dyDescent="0.2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</row>
    <row r="29" spans="1:26" ht="16.5" thickBot="1" x14ac:dyDescent="0.3">
      <c r="A29" s="84"/>
      <c r="B29" s="84" t="s">
        <v>111</v>
      </c>
      <c r="C29" s="84" t="s">
        <v>267</v>
      </c>
      <c r="D29" s="85"/>
      <c r="E29" s="85"/>
      <c r="F29" s="85"/>
      <c r="G29" s="85"/>
      <c r="H29" s="85"/>
      <c r="I29" s="85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</row>
    <row r="30" spans="1:26" x14ac:dyDescent="0.2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</row>
    <row r="31" spans="1:26" ht="16.5" thickBot="1" x14ac:dyDescent="0.3">
      <c r="A31" s="84"/>
      <c r="B31" s="84" t="s">
        <v>112</v>
      </c>
      <c r="C31" s="84" t="s">
        <v>95</v>
      </c>
      <c r="D31" s="85"/>
      <c r="E31" s="85"/>
      <c r="F31" s="85"/>
      <c r="G31" s="85"/>
      <c r="H31" s="85"/>
      <c r="I31" s="85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</row>
    <row r="32" spans="1:26" x14ac:dyDescent="0.2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</row>
    <row r="33" spans="1:26" ht="16.5" thickBot="1" x14ac:dyDescent="0.3">
      <c r="A33" s="84"/>
      <c r="B33" s="84" t="s">
        <v>113</v>
      </c>
      <c r="C33" s="84" t="s">
        <v>85</v>
      </c>
      <c r="D33" s="85"/>
      <c r="E33" s="85"/>
      <c r="F33" s="85"/>
      <c r="G33" s="85"/>
      <c r="H33" s="85"/>
      <c r="I33" s="85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</row>
    <row r="34" spans="1:26" x14ac:dyDescent="0.25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</row>
    <row r="35" spans="1:26" ht="16.5" thickBot="1" x14ac:dyDescent="0.3">
      <c r="A35" s="84"/>
      <c r="B35" s="84" t="s">
        <v>114</v>
      </c>
      <c r="C35" s="84" t="s">
        <v>7</v>
      </c>
      <c r="D35" s="85"/>
      <c r="E35" s="85"/>
      <c r="F35" s="85"/>
      <c r="G35" s="85"/>
      <c r="H35" s="85"/>
      <c r="I35" s="85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</row>
    <row r="36" spans="1:26" x14ac:dyDescent="0.25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</row>
    <row r="37" spans="1:26" ht="16.5" thickBot="1" x14ac:dyDescent="0.3">
      <c r="A37" s="84"/>
      <c r="B37" s="84" t="s">
        <v>115</v>
      </c>
      <c r="C37" s="84" t="s">
        <v>165</v>
      </c>
      <c r="D37" s="85"/>
      <c r="E37" s="85"/>
      <c r="F37" s="85"/>
      <c r="G37" s="85"/>
      <c r="H37" s="85"/>
      <c r="I37" s="85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</row>
    <row r="38" spans="1:26" x14ac:dyDescent="0.25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</row>
    <row r="39" spans="1:26" x14ac:dyDescent="0.25">
      <c r="A39" s="84" t="s">
        <v>367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</row>
    <row r="40" spans="1:26" x14ac:dyDescent="0.2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</row>
    <row r="41" spans="1:26" ht="16.5" thickBot="1" x14ac:dyDescent="0.3">
      <c r="A41" s="84"/>
      <c r="B41" s="84" t="s">
        <v>108</v>
      </c>
      <c r="C41" s="84" t="s">
        <v>7</v>
      </c>
      <c r="D41" s="85"/>
      <c r="E41" s="85"/>
      <c r="F41" s="85"/>
      <c r="G41" s="85"/>
      <c r="H41" s="85"/>
      <c r="I41" s="85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</row>
    <row r="42" spans="1:26" x14ac:dyDescent="0.25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</row>
    <row r="43" spans="1:26" ht="16.5" thickBot="1" x14ac:dyDescent="0.3">
      <c r="A43" s="84"/>
      <c r="B43" s="84" t="s">
        <v>109</v>
      </c>
      <c r="C43" s="84" t="s">
        <v>85</v>
      </c>
      <c r="D43" s="85"/>
      <c r="E43" s="85"/>
      <c r="F43" s="85"/>
      <c r="G43" s="85"/>
      <c r="H43" s="85"/>
      <c r="I43" s="85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</row>
    <row r="44" spans="1:26" x14ac:dyDescent="0.25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</row>
    <row r="45" spans="1:26" ht="16.5" thickBot="1" x14ac:dyDescent="0.3">
      <c r="A45" s="84"/>
      <c r="B45" s="84" t="s">
        <v>110</v>
      </c>
      <c r="C45" s="84" t="s">
        <v>96</v>
      </c>
      <c r="D45" s="85"/>
      <c r="E45" s="85"/>
      <c r="F45" s="85"/>
      <c r="G45" s="85"/>
      <c r="H45" s="85"/>
      <c r="I45" s="85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</row>
    <row r="46" spans="1:26" x14ac:dyDescent="0.25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</row>
    <row r="47" spans="1:26" ht="16.5" thickBot="1" x14ac:dyDescent="0.3">
      <c r="A47" s="84"/>
      <c r="B47" s="84" t="s">
        <v>111</v>
      </c>
      <c r="C47" s="84" t="s">
        <v>41</v>
      </c>
      <c r="D47" s="85"/>
      <c r="E47" s="85"/>
      <c r="F47" s="85"/>
      <c r="G47" s="85"/>
      <c r="H47" s="85"/>
      <c r="I47" s="85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</row>
    <row r="48" spans="1:26" x14ac:dyDescent="0.25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</row>
    <row r="49" spans="1:26" ht="16.5" thickBot="1" x14ac:dyDescent="0.3">
      <c r="A49" s="84"/>
      <c r="B49" s="84" t="s">
        <v>112</v>
      </c>
      <c r="C49" s="84" t="s">
        <v>12</v>
      </c>
      <c r="D49" s="85"/>
      <c r="E49" s="85"/>
      <c r="F49" s="85"/>
      <c r="G49" s="85"/>
      <c r="H49" s="85"/>
      <c r="I49" s="85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</row>
    <row r="50" spans="1:26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</row>
    <row r="51" spans="1:26" ht="16.5" thickBot="1" x14ac:dyDescent="0.3">
      <c r="A51" s="84"/>
      <c r="B51" s="84" t="s">
        <v>113</v>
      </c>
      <c r="C51" s="84" t="s">
        <v>95</v>
      </c>
      <c r="D51" s="85"/>
      <c r="E51" s="85"/>
      <c r="F51" s="85"/>
      <c r="G51" s="85"/>
      <c r="H51" s="85"/>
      <c r="I51" s="85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</row>
    <row r="52" spans="1:26" x14ac:dyDescent="0.25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</row>
    <row r="53" spans="1:26" ht="16.5" thickBot="1" x14ac:dyDescent="0.3">
      <c r="A53" s="84"/>
      <c r="B53" s="84" t="s">
        <v>114</v>
      </c>
      <c r="C53" s="84" t="s">
        <v>44</v>
      </c>
      <c r="D53" s="85"/>
      <c r="E53" s="85"/>
      <c r="F53" s="85"/>
      <c r="G53" s="85"/>
      <c r="H53" s="85"/>
      <c r="I53" s="85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</row>
    <row r="54" spans="1:26" x14ac:dyDescent="0.25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</row>
    <row r="55" spans="1:26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</row>
    <row r="56" spans="1:26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</row>
    <row r="57" spans="1:26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</row>
    <row r="58" spans="1:26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</row>
    <row r="59" spans="1:26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</row>
    <row r="60" spans="1:26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</row>
    <row r="61" spans="1:26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</row>
    <row r="62" spans="1:26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</row>
    <row r="63" spans="1:26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</row>
    <row r="64" spans="1:26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</row>
    <row r="65" spans="1:26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</row>
    <row r="66" spans="1:26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</row>
    <row r="67" spans="1:26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</row>
    <row r="68" spans="1:26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</row>
    <row r="69" spans="1:26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</row>
    <row r="70" spans="1:26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</row>
    <row r="71" spans="1:26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</row>
    <row r="72" spans="1:26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</row>
    <row r="73" spans="1:26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</row>
    <row r="74" spans="1:26" x14ac:dyDescent="0.25">
      <c r="A74" s="84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</row>
    <row r="75" spans="1:26" x14ac:dyDescent="0.25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</row>
    <row r="76" spans="1:26" x14ac:dyDescent="0.25">
      <c r="A76" s="84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</row>
    <row r="77" spans="1:26" x14ac:dyDescent="0.25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</row>
    <row r="78" spans="1:26" x14ac:dyDescent="0.25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</row>
    <row r="79" spans="1:26" x14ac:dyDescent="0.25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</row>
    <row r="80" spans="1:26" x14ac:dyDescent="0.25">
      <c r="A80" s="84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</row>
    <row r="81" spans="1:26" x14ac:dyDescent="0.25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</row>
    <row r="82" spans="1:26" x14ac:dyDescent="0.25">
      <c r="A82" s="84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</row>
    <row r="83" spans="1:26" x14ac:dyDescent="0.25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</row>
    <row r="84" spans="1:26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</row>
    <row r="85" spans="1:26" x14ac:dyDescent="0.25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</row>
    <row r="86" spans="1:26" x14ac:dyDescent="0.25">
      <c r="A86" s="84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</row>
    <row r="87" spans="1:26" x14ac:dyDescent="0.25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</row>
    <row r="88" spans="1:26" x14ac:dyDescent="0.25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</row>
    <row r="89" spans="1:26" x14ac:dyDescent="0.25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</row>
    <row r="90" spans="1:26" x14ac:dyDescent="0.25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</row>
    <row r="91" spans="1:26" x14ac:dyDescent="0.25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</row>
    <row r="92" spans="1:26" x14ac:dyDescent="0.25">
      <c r="A92" s="84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</row>
    <row r="93" spans="1:26" x14ac:dyDescent="0.25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</row>
    <row r="94" spans="1:26" x14ac:dyDescent="0.25">
      <c r="A94" s="84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</row>
    <row r="95" spans="1:26" x14ac:dyDescent="0.25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</row>
    <row r="96" spans="1:26" x14ac:dyDescent="0.25">
      <c r="A96" s="84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</row>
    <row r="97" spans="1:26" x14ac:dyDescent="0.25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</row>
    <row r="98" spans="1:26" x14ac:dyDescent="0.25">
      <c r="A98" s="84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</row>
    <row r="99" spans="1:26" x14ac:dyDescent="0.25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</row>
    <row r="100" spans="1:26" x14ac:dyDescent="0.25">
      <c r="A100" s="84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</row>
    <row r="101" spans="1:26" x14ac:dyDescent="0.25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</row>
    <row r="102" spans="1:26" x14ac:dyDescent="0.25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</row>
    <row r="103" spans="1:26" x14ac:dyDescent="0.25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</row>
    <row r="104" spans="1:26" x14ac:dyDescent="0.25">
      <c r="A104" s="84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</row>
    <row r="105" spans="1:26" x14ac:dyDescent="0.25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</row>
    <row r="106" spans="1:26" x14ac:dyDescent="0.25">
      <c r="A106" s="84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</row>
    <row r="107" spans="1:26" x14ac:dyDescent="0.25">
      <c r="A107" s="84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</row>
    <row r="108" spans="1:26" x14ac:dyDescent="0.25">
      <c r="A108" s="84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</row>
    <row r="109" spans="1:26" x14ac:dyDescent="0.25">
      <c r="A109" s="84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</row>
    <row r="110" spans="1:26" x14ac:dyDescent="0.25">
      <c r="A110" s="84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</row>
    <row r="111" spans="1:26" x14ac:dyDescent="0.25">
      <c r="A111" s="84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</row>
    <row r="112" spans="1:26" x14ac:dyDescent="0.25">
      <c r="A112" s="84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</row>
    <row r="113" spans="1:26" x14ac:dyDescent="0.25">
      <c r="A113" s="84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</row>
    <row r="114" spans="1:26" x14ac:dyDescent="0.25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</row>
    <row r="115" spans="1:26" x14ac:dyDescent="0.25">
      <c r="A115" s="84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</row>
    <row r="116" spans="1:26" x14ac:dyDescent="0.2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</row>
    <row r="117" spans="1:26" x14ac:dyDescent="0.2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</row>
    <row r="118" spans="1:26" x14ac:dyDescent="0.2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</row>
    <row r="119" spans="1:26" x14ac:dyDescent="0.2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</row>
    <row r="120" spans="1:26" x14ac:dyDescent="0.2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</row>
    <row r="121" spans="1:26" x14ac:dyDescent="0.2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</row>
    <row r="122" spans="1:26" x14ac:dyDescent="0.2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</row>
    <row r="123" spans="1:26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</row>
    <row r="124" spans="1:26" x14ac:dyDescent="0.2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</row>
    <row r="125" spans="1:26" x14ac:dyDescent="0.2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</row>
    <row r="126" spans="1:26" x14ac:dyDescent="0.2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</row>
    <row r="127" spans="1:26" x14ac:dyDescent="0.2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</row>
    <row r="128" spans="1:26" x14ac:dyDescent="0.2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</row>
    <row r="129" spans="1:26" x14ac:dyDescent="0.2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</row>
    <row r="130" spans="1:26" x14ac:dyDescent="0.2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</row>
    <row r="131" spans="1:26" x14ac:dyDescent="0.2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</row>
    <row r="132" spans="1:26" x14ac:dyDescent="0.2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</row>
    <row r="133" spans="1:26" x14ac:dyDescent="0.2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</row>
    <row r="134" spans="1:26" x14ac:dyDescent="0.2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</row>
    <row r="135" spans="1:26" x14ac:dyDescent="0.2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</row>
    <row r="136" spans="1:26" x14ac:dyDescent="0.2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</row>
    <row r="137" spans="1:26" x14ac:dyDescent="0.2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</row>
    <row r="138" spans="1:26" x14ac:dyDescent="0.2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</row>
    <row r="139" spans="1:26" x14ac:dyDescent="0.2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</row>
    <row r="140" spans="1:26" x14ac:dyDescent="0.2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</row>
    <row r="141" spans="1:26" x14ac:dyDescent="0.2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</row>
    <row r="142" spans="1:26" x14ac:dyDescent="0.2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</row>
    <row r="143" spans="1:26" x14ac:dyDescent="0.2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</row>
    <row r="144" spans="1:26" x14ac:dyDescent="0.2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</row>
    <row r="145" spans="1:26" x14ac:dyDescent="0.2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</row>
    <row r="146" spans="1:26" x14ac:dyDescent="0.2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</row>
    <row r="147" spans="1:26" x14ac:dyDescent="0.2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</row>
    <row r="148" spans="1:26" x14ac:dyDescent="0.25">
      <c r="A148" s="84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</row>
    <row r="149" spans="1:26" x14ac:dyDescent="0.25">
      <c r="A149" s="84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</row>
    <row r="150" spans="1:26" x14ac:dyDescent="0.25">
      <c r="A150" s="84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</row>
    <row r="151" spans="1:26" x14ac:dyDescent="0.25">
      <c r="A151" s="84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</row>
    <row r="152" spans="1:26" x14ac:dyDescent="0.25">
      <c r="A152" s="84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</row>
    <row r="153" spans="1:26" x14ac:dyDescent="0.25">
      <c r="A153" s="84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</row>
    <row r="154" spans="1:26" x14ac:dyDescent="0.25">
      <c r="A154" s="84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</row>
    <row r="155" spans="1:26" x14ac:dyDescent="0.25">
      <c r="A155" s="84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</row>
    <row r="156" spans="1:26" x14ac:dyDescent="0.25">
      <c r="A156" s="84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</row>
    <row r="157" spans="1:26" x14ac:dyDescent="0.25">
      <c r="A157" s="84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</row>
    <row r="158" spans="1:26" x14ac:dyDescent="0.25">
      <c r="A158" s="84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</row>
    <row r="159" spans="1:26" x14ac:dyDescent="0.25">
      <c r="A159" s="84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</row>
    <row r="160" spans="1:26" x14ac:dyDescent="0.25">
      <c r="A160" s="84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</row>
    <row r="161" spans="1:26" x14ac:dyDescent="0.25">
      <c r="A161" s="84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</row>
    <row r="162" spans="1:26" x14ac:dyDescent="0.25">
      <c r="A162" s="84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</row>
    <row r="163" spans="1:26" x14ac:dyDescent="0.25">
      <c r="A163" s="84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</row>
    <row r="164" spans="1:26" x14ac:dyDescent="0.25">
      <c r="A164" s="84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</row>
    <row r="165" spans="1:26" x14ac:dyDescent="0.25">
      <c r="A165" s="84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</row>
    <row r="166" spans="1:26" x14ac:dyDescent="0.25">
      <c r="A166" s="84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</row>
    <row r="167" spans="1:26" x14ac:dyDescent="0.25">
      <c r="A167" s="84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</row>
    <row r="168" spans="1:26" x14ac:dyDescent="0.25">
      <c r="A168" s="84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</row>
    <row r="169" spans="1:26" x14ac:dyDescent="0.25">
      <c r="A169" s="84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</row>
    <row r="170" spans="1:26" x14ac:dyDescent="0.25">
      <c r="A170" s="84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</row>
    <row r="171" spans="1:26" x14ac:dyDescent="0.25">
      <c r="A171" s="84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</row>
    <row r="172" spans="1:26" x14ac:dyDescent="0.25">
      <c r="A172" s="84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</row>
    <row r="173" spans="1:26" x14ac:dyDescent="0.25">
      <c r="A173" s="84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</row>
    <row r="174" spans="1:26" x14ac:dyDescent="0.25">
      <c r="A174" s="84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</row>
    <row r="175" spans="1:26" x14ac:dyDescent="0.25">
      <c r="A175" s="84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</row>
    <row r="176" spans="1:26" x14ac:dyDescent="0.25">
      <c r="A176" s="84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</row>
    <row r="177" spans="1:26" x14ac:dyDescent="0.25">
      <c r="A177" s="84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</row>
    <row r="178" spans="1:26" x14ac:dyDescent="0.25">
      <c r="A178" s="84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</row>
    <row r="179" spans="1:26" x14ac:dyDescent="0.25">
      <c r="A179" s="84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</row>
    <row r="180" spans="1:26" x14ac:dyDescent="0.25">
      <c r="A180" s="84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</row>
    <row r="181" spans="1:26" x14ac:dyDescent="0.25">
      <c r="A181" s="84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</row>
    <row r="182" spans="1:26" x14ac:dyDescent="0.25">
      <c r="A182" s="84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</row>
    <row r="183" spans="1:26" x14ac:dyDescent="0.25">
      <c r="A183" s="84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</row>
    <row r="184" spans="1:26" x14ac:dyDescent="0.25">
      <c r="A184" s="84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</row>
    <row r="185" spans="1:26" x14ac:dyDescent="0.25">
      <c r="A185" s="84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</row>
    <row r="186" spans="1:26" x14ac:dyDescent="0.25">
      <c r="A186" s="84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</row>
    <row r="187" spans="1:26" x14ac:dyDescent="0.25">
      <c r="A187" s="84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</row>
    <row r="188" spans="1:26" x14ac:dyDescent="0.25">
      <c r="A188" s="84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</row>
    <row r="189" spans="1:26" x14ac:dyDescent="0.25">
      <c r="A189" s="84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</row>
    <row r="190" spans="1:26" x14ac:dyDescent="0.25">
      <c r="A190" s="84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</row>
    <row r="191" spans="1:26" x14ac:dyDescent="0.25">
      <c r="A191" s="84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</row>
    <row r="192" spans="1:26" x14ac:dyDescent="0.25">
      <c r="A192" s="84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</row>
    <row r="193" spans="1:26" x14ac:dyDescent="0.25">
      <c r="A193" s="84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</row>
    <row r="194" spans="1:26" x14ac:dyDescent="0.25">
      <c r="A194" s="84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</row>
    <row r="195" spans="1:26" x14ac:dyDescent="0.25">
      <c r="A195" s="84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</row>
    <row r="196" spans="1:26" x14ac:dyDescent="0.25">
      <c r="A196" s="84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</row>
    <row r="197" spans="1:26" x14ac:dyDescent="0.25">
      <c r="A197" s="84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</row>
    <row r="198" spans="1:26" x14ac:dyDescent="0.25">
      <c r="A198" s="84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</row>
    <row r="199" spans="1:26" x14ac:dyDescent="0.25">
      <c r="A199" s="84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</row>
    <row r="200" spans="1:26" x14ac:dyDescent="0.25">
      <c r="A200" s="84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</row>
    <row r="201" spans="1:26" x14ac:dyDescent="0.25">
      <c r="A201" s="84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</row>
    <row r="202" spans="1:26" x14ac:dyDescent="0.25">
      <c r="A202" s="84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</row>
    <row r="203" spans="1:26" x14ac:dyDescent="0.25">
      <c r="A203" s="84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</row>
    <row r="204" spans="1:26" x14ac:dyDescent="0.25">
      <c r="A204" s="84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</row>
    <row r="205" spans="1:26" x14ac:dyDescent="0.25">
      <c r="A205" s="84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</row>
    <row r="206" spans="1:26" x14ac:dyDescent="0.25">
      <c r="A206" s="84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</row>
    <row r="207" spans="1:26" x14ac:dyDescent="0.25">
      <c r="A207" s="84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</row>
    <row r="208" spans="1:26" x14ac:dyDescent="0.25">
      <c r="A208" s="84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</row>
    <row r="209" spans="1:26" x14ac:dyDescent="0.25">
      <c r="A209" s="84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</row>
    <row r="210" spans="1:26" x14ac:dyDescent="0.25">
      <c r="A210" s="84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</row>
    <row r="211" spans="1:26" x14ac:dyDescent="0.25">
      <c r="A211" s="84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</row>
    <row r="212" spans="1:26" x14ac:dyDescent="0.25">
      <c r="A212" s="84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</row>
    <row r="213" spans="1:26" x14ac:dyDescent="0.25">
      <c r="A213" s="84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</row>
    <row r="214" spans="1:26" x14ac:dyDescent="0.25">
      <c r="A214" s="84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</row>
    <row r="215" spans="1:26" x14ac:dyDescent="0.25">
      <c r="A215" s="84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</row>
    <row r="216" spans="1:26" x14ac:dyDescent="0.25">
      <c r="A216" s="84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</row>
    <row r="217" spans="1:26" x14ac:dyDescent="0.25">
      <c r="A217" s="84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</row>
    <row r="218" spans="1:26" x14ac:dyDescent="0.25">
      <c r="A218" s="84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</row>
    <row r="219" spans="1:26" x14ac:dyDescent="0.25">
      <c r="A219" s="84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</row>
    <row r="220" spans="1:26" x14ac:dyDescent="0.25">
      <c r="A220" s="84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</row>
    <row r="221" spans="1:26" x14ac:dyDescent="0.25">
      <c r="A221" s="84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</row>
    <row r="222" spans="1:26" x14ac:dyDescent="0.25">
      <c r="A222" s="84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</row>
    <row r="223" spans="1:26" x14ac:dyDescent="0.25">
      <c r="A223" s="84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</row>
    <row r="224" spans="1:26" x14ac:dyDescent="0.25">
      <c r="A224" s="84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</row>
    <row r="225" spans="1:26" x14ac:dyDescent="0.25">
      <c r="A225" s="84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</row>
    <row r="226" spans="1:26" x14ac:dyDescent="0.25">
      <c r="A226" s="84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</row>
    <row r="227" spans="1:26" x14ac:dyDescent="0.25">
      <c r="A227" s="84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</row>
    <row r="228" spans="1:26" x14ac:dyDescent="0.25">
      <c r="A228" s="84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</row>
    <row r="229" spans="1:26" x14ac:dyDescent="0.25">
      <c r="A229" s="84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</row>
    <row r="230" spans="1:26" x14ac:dyDescent="0.25">
      <c r="A230" s="84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</row>
    <row r="231" spans="1:26" x14ac:dyDescent="0.25">
      <c r="A231" s="84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</row>
    <row r="232" spans="1:26" x14ac:dyDescent="0.25">
      <c r="A232" s="84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</row>
    <row r="233" spans="1:26" x14ac:dyDescent="0.25">
      <c r="A233" s="84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</row>
    <row r="234" spans="1:26" x14ac:dyDescent="0.25">
      <c r="A234" s="84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</row>
    <row r="235" spans="1:26" x14ac:dyDescent="0.25">
      <c r="A235" s="84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</row>
    <row r="236" spans="1:26" x14ac:dyDescent="0.25">
      <c r="A236" s="84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</row>
    <row r="237" spans="1:26" x14ac:dyDescent="0.25">
      <c r="A237" s="84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</row>
    <row r="238" spans="1:26" x14ac:dyDescent="0.25">
      <c r="A238" s="84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</row>
    <row r="239" spans="1:26" x14ac:dyDescent="0.25">
      <c r="A239" s="84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</row>
    <row r="240" spans="1:26" x14ac:dyDescent="0.25">
      <c r="A240" s="84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</row>
    <row r="241" spans="1:26" x14ac:dyDescent="0.25">
      <c r="A241" s="84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</row>
    <row r="242" spans="1:26" x14ac:dyDescent="0.25">
      <c r="A242" s="84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</row>
    <row r="243" spans="1:26" x14ac:dyDescent="0.25">
      <c r="A243" s="84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</row>
    <row r="244" spans="1:26" x14ac:dyDescent="0.25">
      <c r="A244" s="84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</row>
    <row r="245" spans="1:26" x14ac:dyDescent="0.25">
      <c r="A245" s="84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</row>
    <row r="246" spans="1:26" x14ac:dyDescent="0.25">
      <c r="A246" s="84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</row>
    <row r="247" spans="1:26" x14ac:dyDescent="0.25">
      <c r="A247" s="84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</row>
    <row r="248" spans="1:26" x14ac:dyDescent="0.25">
      <c r="A248" s="84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</row>
    <row r="249" spans="1:26" x14ac:dyDescent="0.25">
      <c r="A249" s="84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</row>
    <row r="250" spans="1:26" x14ac:dyDescent="0.25">
      <c r="A250" s="84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</row>
    <row r="251" spans="1:26" x14ac:dyDescent="0.25">
      <c r="A251" s="84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</row>
    <row r="252" spans="1:26" x14ac:dyDescent="0.25">
      <c r="A252" s="84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</row>
    <row r="253" spans="1:26" x14ac:dyDescent="0.25">
      <c r="A253" s="84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</row>
    <row r="254" spans="1:26" x14ac:dyDescent="0.25">
      <c r="A254" s="84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</row>
    <row r="255" spans="1:26" x14ac:dyDescent="0.25">
      <c r="A255" s="84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</row>
    <row r="256" spans="1:26" x14ac:dyDescent="0.25">
      <c r="A256" s="84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</row>
    <row r="257" spans="1:26" x14ac:dyDescent="0.25">
      <c r="A257" s="84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</row>
    <row r="258" spans="1:26" x14ac:dyDescent="0.25">
      <c r="A258" s="84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</row>
    <row r="259" spans="1:26" x14ac:dyDescent="0.25">
      <c r="A259" s="84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</row>
    <row r="260" spans="1:26" x14ac:dyDescent="0.25">
      <c r="A260" s="84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</row>
    <row r="261" spans="1:26" x14ac:dyDescent="0.25">
      <c r="A261" s="84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</row>
    <row r="262" spans="1:26" x14ac:dyDescent="0.25">
      <c r="A262" s="84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</row>
    <row r="263" spans="1:26" x14ac:dyDescent="0.25">
      <c r="A263" s="84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</row>
    <row r="264" spans="1:26" x14ac:dyDescent="0.25">
      <c r="A264" s="84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</row>
    <row r="265" spans="1:26" x14ac:dyDescent="0.25">
      <c r="A265" s="84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</row>
    <row r="266" spans="1:26" x14ac:dyDescent="0.25">
      <c r="A266" s="84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</row>
    <row r="267" spans="1:26" x14ac:dyDescent="0.25">
      <c r="A267" s="84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</row>
    <row r="268" spans="1:26" x14ac:dyDescent="0.25">
      <c r="A268" s="84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</row>
    <row r="269" spans="1:26" x14ac:dyDescent="0.25">
      <c r="A269" s="84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</row>
    <row r="270" spans="1:26" x14ac:dyDescent="0.25">
      <c r="A270" s="84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</row>
    <row r="271" spans="1:26" x14ac:dyDescent="0.25">
      <c r="A271" s="84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</row>
    <row r="272" spans="1:26" x14ac:dyDescent="0.25">
      <c r="A272" s="84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</row>
    <row r="273" spans="1:26" x14ac:dyDescent="0.25">
      <c r="A273" s="84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</row>
    <row r="274" spans="1:26" x14ac:dyDescent="0.25">
      <c r="A274" s="84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</row>
    <row r="275" spans="1:26" x14ac:dyDescent="0.25">
      <c r="A275" s="84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</row>
    <row r="276" spans="1:26" x14ac:dyDescent="0.25">
      <c r="A276" s="84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</row>
    <row r="277" spans="1:26" x14ac:dyDescent="0.25">
      <c r="A277" s="84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</row>
    <row r="278" spans="1:26" x14ac:dyDescent="0.25">
      <c r="A278" s="84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</row>
    <row r="279" spans="1:26" x14ac:dyDescent="0.25">
      <c r="A279" s="84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</row>
    <row r="280" spans="1:26" x14ac:dyDescent="0.25">
      <c r="A280" s="84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</row>
    <row r="281" spans="1:26" x14ac:dyDescent="0.25">
      <c r="A281" s="84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</row>
    <row r="282" spans="1:26" x14ac:dyDescent="0.25">
      <c r="A282" s="84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</row>
    <row r="283" spans="1:26" x14ac:dyDescent="0.25">
      <c r="A283" s="84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</row>
    <row r="284" spans="1:26" x14ac:dyDescent="0.25">
      <c r="A284" s="84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</row>
    <row r="285" spans="1:26" x14ac:dyDescent="0.25">
      <c r="A285" s="84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</row>
    <row r="286" spans="1:26" x14ac:dyDescent="0.25">
      <c r="A286" s="84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</row>
    <row r="287" spans="1:26" x14ac:dyDescent="0.25">
      <c r="A287" s="84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</row>
    <row r="288" spans="1:26" x14ac:dyDescent="0.25">
      <c r="A288" s="84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</row>
    <row r="289" spans="1:26" x14ac:dyDescent="0.25">
      <c r="A289" s="84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</row>
    <row r="290" spans="1:26" x14ac:dyDescent="0.25">
      <c r="A290" s="84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</row>
    <row r="291" spans="1:26" x14ac:dyDescent="0.25">
      <c r="A291" s="84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</row>
    <row r="292" spans="1:26" x14ac:dyDescent="0.25">
      <c r="A292" s="84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</row>
    <row r="293" spans="1:26" x14ac:dyDescent="0.25">
      <c r="A293" s="84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</row>
    <row r="294" spans="1:26" x14ac:dyDescent="0.25">
      <c r="A294" s="84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</row>
    <row r="295" spans="1:26" x14ac:dyDescent="0.25">
      <c r="A295" s="84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</row>
    <row r="296" spans="1:26" x14ac:dyDescent="0.25">
      <c r="A296" s="84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</row>
    <row r="297" spans="1:26" x14ac:dyDescent="0.25">
      <c r="A297" s="84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</row>
    <row r="298" spans="1:26" x14ac:dyDescent="0.25">
      <c r="A298" s="84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</row>
    <row r="299" spans="1:26" x14ac:dyDescent="0.25">
      <c r="A299" s="84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</row>
    <row r="300" spans="1:26" x14ac:dyDescent="0.25">
      <c r="A300" s="84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</row>
    <row r="301" spans="1:26" x14ac:dyDescent="0.25">
      <c r="A301" s="84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</row>
    <row r="302" spans="1:26" x14ac:dyDescent="0.25">
      <c r="A302" s="84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</row>
    <row r="303" spans="1:26" x14ac:dyDescent="0.25">
      <c r="A303" s="84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</row>
    <row r="304" spans="1:26" x14ac:dyDescent="0.25">
      <c r="A304" s="84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</row>
    <row r="305" spans="1:26" x14ac:dyDescent="0.25">
      <c r="A305" s="84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</row>
    <row r="306" spans="1:26" x14ac:dyDescent="0.25">
      <c r="A306" s="84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</row>
    <row r="307" spans="1:26" x14ac:dyDescent="0.25">
      <c r="A307" s="84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</row>
    <row r="308" spans="1:26" x14ac:dyDescent="0.25">
      <c r="A308" s="84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</row>
    <row r="309" spans="1:26" x14ac:dyDescent="0.25">
      <c r="A309" s="84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</row>
    <row r="310" spans="1:26" x14ac:dyDescent="0.25">
      <c r="A310" s="84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</row>
    <row r="311" spans="1:26" x14ac:dyDescent="0.25">
      <c r="A311" s="84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</row>
    <row r="312" spans="1:26" x14ac:dyDescent="0.25">
      <c r="A312" s="84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</row>
    <row r="313" spans="1:26" x14ac:dyDescent="0.25">
      <c r="A313" s="84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</row>
    <row r="314" spans="1:26" x14ac:dyDescent="0.25">
      <c r="A314" s="84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</row>
    <row r="315" spans="1:26" x14ac:dyDescent="0.25">
      <c r="A315" s="84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</row>
    <row r="316" spans="1:26" x14ac:dyDescent="0.25">
      <c r="A316" s="84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</row>
    <row r="317" spans="1:26" x14ac:dyDescent="0.25">
      <c r="A317" s="84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</row>
    <row r="318" spans="1:26" x14ac:dyDescent="0.25">
      <c r="A318" s="84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</row>
    <row r="319" spans="1:26" x14ac:dyDescent="0.25">
      <c r="A319" s="84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</row>
    <row r="320" spans="1:26" x14ac:dyDescent="0.25">
      <c r="A320" s="84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</row>
    <row r="321" spans="1:26" x14ac:dyDescent="0.25">
      <c r="A321" s="84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</row>
    <row r="322" spans="1:26" x14ac:dyDescent="0.25">
      <c r="A322" s="84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</row>
    <row r="323" spans="1:26" x14ac:dyDescent="0.25">
      <c r="A323" s="84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</row>
    <row r="324" spans="1:26" x14ac:dyDescent="0.25">
      <c r="A324" s="84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</row>
    <row r="325" spans="1:26" x14ac:dyDescent="0.25">
      <c r="A325" s="84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</row>
    <row r="326" spans="1:26" x14ac:dyDescent="0.25">
      <c r="A326" s="84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</row>
    <row r="327" spans="1:26" x14ac:dyDescent="0.25">
      <c r="A327" s="84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</row>
    <row r="328" spans="1:26" x14ac:dyDescent="0.25">
      <c r="A328" s="84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</row>
    <row r="329" spans="1:26" x14ac:dyDescent="0.25">
      <c r="A329" s="84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</row>
    <row r="330" spans="1:26" x14ac:dyDescent="0.25">
      <c r="A330" s="84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</row>
    <row r="331" spans="1:26" x14ac:dyDescent="0.25">
      <c r="A331" s="84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</row>
    <row r="332" spans="1:26" x14ac:dyDescent="0.25">
      <c r="A332" s="84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</row>
    <row r="333" spans="1:26" x14ac:dyDescent="0.25">
      <c r="A333" s="84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</row>
    <row r="334" spans="1:26" x14ac:dyDescent="0.25">
      <c r="A334" s="84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</row>
    <row r="335" spans="1:26" x14ac:dyDescent="0.25">
      <c r="A335" s="84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</row>
    <row r="336" spans="1:26" x14ac:dyDescent="0.25">
      <c r="A336" s="84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</row>
    <row r="337" spans="1:26" x14ac:dyDescent="0.25">
      <c r="A337" s="84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</row>
    <row r="338" spans="1:26" x14ac:dyDescent="0.25">
      <c r="A338" s="84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</row>
    <row r="339" spans="1:26" x14ac:dyDescent="0.25">
      <c r="A339" s="84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</row>
    <row r="340" spans="1:26" x14ac:dyDescent="0.25">
      <c r="A340" s="84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</row>
    <row r="341" spans="1:26" x14ac:dyDescent="0.25">
      <c r="A341" s="84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</row>
    <row r="342" spans="1:26" x14ac:dyDescent="0.25">
      <c r="A342" s="84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</row>
    <row r="343" spans="1:26" x14ac:dyDescent="0.25">
      <c r="A343" s="84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</row>
    <row r="344" spans="1:26" x14ac:dyDescent="0.25">
      <c r="A344" s="84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</row>
    <row r="345" spans="1:26" x14ac:dyDescent="0.25">
      <c r="A345" s="84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</row>
    <row r="346" spans="1:26" x14ac:dyDescent="0.25">
      <c r="A346" s="84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</row>
    <row r="347" spans="1:26" x14ac:dyDescent="0.25">
      <c r="A347" s="84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</row>
    <row r="348" spans="1:26" x14ac:dyDescent="0.25">
      <c r="A348" s="84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</row>
    <row r="349" spans="1:26" x14ac:dyDescent="0.25">
      <c r="A349" s="84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</row>
    <row r="350" spans="1:26" x14ac:dyDescent="0.25">
      <c r="A350" s="84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</row>
    <row r="351" spans="1:26" x14ac:dyDescent="0.25">
      <c r="A351" s="84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</row>
    <row r="352" spans="1:26" x14ac:dyDescent="0.25">
      <c r="A352" s="84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</row>
    <row r="353" spans="1:26" x14ac:dyDescent="0.25">
      <c r="A353" s="84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</row>
    <row r="354" spans="1:26" x14ac:dyDescent="0.25">
      <c r="A354" s="84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</row>
    <row r="355" spans="1:26" x14ac:dyDescent="0.25">
      <c r="A355" s="84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</row>
    <row r="356" spans="1:26" x14ac:dyDescent="0.25">
      <c r="A356" s="84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</row>
    <row r="357" spans="1:26" x14ac:dyDescent="0.25">
      <c r="A357" s="84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</row>
    <row r="358" spans="1:26" x14ac:dyDescent="0.25">
      <c r="A358" s="84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</row>
    <row r="359" spans="1:26" x14ac:dyDescent="0.25">
      <c r="A359" s="84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</row>
    <row r="360" spans="1:26" x14ac:dyDescent="0.25">
      <c r="A360" s="84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</row>
    <row r="361" spans="1:26" x14ac:dyDescent="0.25">
      <c r="A361" s="84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</row>
    <row r="362" spans="1:26" x14ac:dyDescent="0.25">
      <c r="A362" s="84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</row>
    <row r="363" spans="1:26" x14ac:dyDescent="0.25">
      <c r="A363" s="84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</row>
    <row r="364" spans="1:26" x14ac:dyDescent="0.25">
      <c r="A364" s="84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</row>
    <row r="365" spans="1:26" x14ac:dyDescent="0.25">
      <c r="A365" s="84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</row>
    <row r="366" spans="1:26" x14ac:dyDescent="0.25">
      <c r="A366" s="84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</row>
    <row r="367" spans="1:26" x14ac:dyDescent="0.25">
      <c r="A367" s="84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</row>
    <row r="368" spans="1:26" x14ac:dyDescent="0.25">
      <c r="A368" s="84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</row>
    <row r="369" spans="1:26" x14ac:dyDescent="0.25">
      <c r="A369" s="84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</row>
    <row r="370" spans="1:26" x14ac:dyDescent="0.25">
      <c r="A370" s="84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</row>
    <row r="371" spans="1:26" x14ac:dyDescent="0.25">
      <c r="A371" s="84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</row>
    <row r="372" spans="1:26" x14ac:dyDescent="0.25">
      <c r="A372" s="84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</row>
    <row r="373" spans="1:26" x14ac:dyDescent="0.25">
      <c r="A373" s="84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</row>
    <row r="374" spans="1:26" x14ac:dyDescent="0.25">
      <c r="A374" s="84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</row>
    <row r="375" spans="1:26" x14ac:dyDescent="0.25">
      <c r="A375" s="84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</row>
    <row r="376" spans="1:26" x14ac:dyDescent="0.25">
      <c r="A376" s="84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</row>
    <row r="377" spans="1:26" x14ac:dyDescent="0.25">
      <c r="A377" s="84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</row>
    <row r="378" spans="1:26" x14ac:dyDescent="0.25">
      <c r="A378" s="84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</row>
    <row r="379" spans="1:26" x14ac:dyDescent="0.25">
      <c r="A379" s="84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</row>
    <row r="380" spans="1:26" x14ac:dyDescent="0.25">
      <c r="A380" s="84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</row>
    <row r="381" spans="1:26" x14ac:dyDescent="0.25">
      <c r="A381" s="84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</row>
    <row r="382" spans="1:26" x14ac:dyDescent="0.25">
      <c r="A382" s="84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</row>
    <row r="383" spans="1:26" x14ac:dyDescent="0.25">
      <c r="A383" s="84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</row>
    <row r="384" spans="1:26" x14ac:dyDescent="0.25">
      <c r="A384" s="84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</row>
    <row r="385" spans="1:26" x14ac:dyDescent="0.25">
      <c r="A385" s="84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</row>
    <row r="386" spans="1:26" x14ac:dyDescent="0.25">
      <c r="A386" s="84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</row>
    <row r="387" spans="1:26" x14ac:dyDescent="0.25">
      <c r="A387" s="84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</row>
    <row r="388" spans="1:26" x14ac:dyDescent="0.25">
      <c r="A388" s="84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</row>
    <row r="389" spans="1:26" x14ac:dyDescent="0.25">
      <c r="A389" s="84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</row>
    <row r="390" spans="1:26" x14ac:dyDescent="0.25">
      <c r="A390" s="84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</row>
    <row r="391" spans="1:26" x14ac:dyDescent="0.25">
      <c r="A391" s="84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</row>
    <row r="392" spans="1:26" x14ac:dyDescent="0.25">
      <c r="A392" s="84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</row>
    <row r="393" spans="1:26" x14ac:dyDescent="0.25">
      <c r="A393" s="84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</row>
    <row r="394" spans="1:26" x14ac:dyDescent="0.25">
      <c r="A394" s="84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</row>
    <row r="395" spans="1:26" x14ac:dyDescent="0.25">
      <c r="A395" s="84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</row>
    <row r="396" spans="1:26" x14ac:dyDescent="0.25">
      <c r="A396" s="84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</row>
    <row r="397" spans="1:26" x14ac:dyDescent="0.25">
      <c r="A397" s="84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</row>
    <row r="398" spans="1:26" x14ac:dyDescent="0.25">
      <c r="A398" s="84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</row>
    <row r="399" spans="1:26" x14ac:dyDescent="0.25">
      <c r="A399" s="84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</row>
    <row r="400" spans="1:26" x14ac:dyDescent="0.25">
      <c r="A400" s="84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</row>
    <row r="401" spans="1:26" x14ac:dyDescent="0.25">
      <c r="A401" s="84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</row>
    <row r="402" spans="1:26" x14ac:dyDescent="0.25">
      <c r="A402" s="84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</row>
    <row r="403" spans="1:26" x14ac:dyDescent="0.25">
      <c r="A403" s="84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</row>
    <row r="404" spans="1:26" x14ac:dyDescent="0.25">
      <c r="A404" s="84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</row>
    <row r="405" spans="1:26" x14ac:dyDescent="0.25">
      <c r="A405" s="84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</row>
    <row r="406" spans="1:26" x14ac:dyDescent="0.25">
      <c r="A406" s="84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</row>
    <row r="407" spans="1:26" x14ac:dyDescent="0.25">
      <c r="A407" s="84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</row>
    <row r="408" spans="1:26" x14ac:dyDescent="0.25">
      <c r="A408" s="84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</row>
    <row r="409" spans="1:26" x14ac:dyDescent="0.25">
      <c r="A409" s="84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</row>
    <row r="410" spans="1:26" x14ac:dyDescent="0.25">
      <c r="A410" s="84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</row>
    <row r="411" spans="1:26" x14ac:dyDescent="0.25">
      <c r="A411" s="84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</row>
    <row r="412" spans="1:26" x14ac:dyDescent="0.25">
      <c r="A412" s="84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</row>
    <row r="413" spans="1:26" x14ac:dyDescent="0.25">
      <c r="A413" s="84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</row>
    <row r="414" spans="1:26" x14ac:dyDescent="0.25">
      <c r="A414" s="84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</row>
    <row r="415" spans="1:26" x14ac:dyDescent="0.25">
      <c r="A415" s="84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</row>
    <row r="416" spans="1:26" x14ac:dyDescent="0.25">
      <c r="A416" s="84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</row>
    <row r="417" spans="1:26" x14ac:dyDescent="0.25">
      <c r="A417" s="84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</row>
    <row r="418" spans="1:26" x14ac:dyDescent="0.25">
      <c r="A418" s="84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</row>
    <row r="419" spans="1:26" x14ac:dyDescent="0.25">
      <c r="A419" s="84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</row>
    <row r="420" spans="1:26" x14ac:dyDescent="0.25">
      <c r="A420" s="84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</row>
    <row r="421" spans="1:26" x14ac:dyDescent="0.25">
      <c r="A421" s="84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</row>
    <row r="422" spans="1:26" x14ac:dyDescent="0.25">
      <c r="A422" s="84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</row>
    <row r="423" spans="1:26" x14ac:dyDescent="0.25">
      <c r="A423" s="84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</row>
    <row r="424" spans="1:26" x14ac:dyDescent="0.25">
      <c r="A424" s="84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</row>
    <row r="425" spans="1:26" x14ac:dyDescent="0.25">
      <c r="A425" s="84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</row>
    <row r="426" spans="1:26" x14ac:dyDescent="0.25">
      <c r="A426" s="84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</row>
    <row r="427" spans="1:26" x14ac:dyDescent="0.25">
      <c r="A427" s="84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</row>
    <row r="428" spans="1:26" x14ac:dyDescent="0.25">
      <c r="A428" s="84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</row>
    <row r="429" spans="1:26" x14ac:dyDescent="0.25">
      <c r="A429" s="84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</row>
    <row r="430" spans="1:26" x14ac:dyDescent="0.25">
      <c r="A430" s="84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</row>
    <row r="431" spans="1:26" x14ac:dyDescent="0.25">
      <c r="A431" s="84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</row>
    <row r="432" spans="1:26" x14ac:dyDescent="0.25">
      <c r="A432" s="84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</row>
    <row r="433" spans="1:26" x14ac:dyDescent="0.25">
      <c r="A433" s="84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</row>
    <row r="434" spans="1:26" x14ac:dyDescent="0.25">
      <c r="A434" s="84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</row>
    <row r="435" spans="1:26" x14ac:dyDescent="0.25">
      <c r="A435" s="84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</row>
    <row r="436" spans="1:26" x14ac:dyDescent="0.25">
      <c r="A436" s="84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</row>
    <row r="437" spans="1:26" x14ac:dyDescent="0.25">
      <c r="A437" s="84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</row>
    <row r="438" spans="1:26" x14ac:dyDescent="0.25">
      <c r="A438" s="84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</row>
    <row r="439" spans="1:26" x14ac:dyDescent="0.25">
      <c r="A439" s="84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</row>
    <row r="440" spans="1:26" x14ac:dyDescent="0.25">
      <c r="A440" s="84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</row>
    <row r="441" spans="1:26" x14ac:dyDescent="0.25">
      <c r="A441" s="84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</row>
    <row r="442" spans="1:26" x14ac:dyDescent="0.25">
      <c r="A442" s="84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</row>
    <row r="443" spans="1:26" x14ac:dyDescent="0.25">
      <c r="A443" s="84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</row>
    <row r="444" spans="1:26" x14ac:dyDescent="0.25">
      <c r="A444" s="84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</row>
    <row r="445" spans="1:26" x14ac:dyDescent="0.25">
      <c r="A445" s="84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</row>
    <row r="446" spans="1:26" x14ac:dyDescent="0.25">
      <c r="A446" s="84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</row>
    <row r="447" spans="1:26" x14ac:dyDescent="0.25">
      <c r="A447" s="84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</row>
    <row r="448" spans="1:26" x14ac:dyDescent="0.25">
      <c r="A448" s="84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</row>
    <row r="449" spans="1:26" x14ac:dyDescent="0.25">
      <c r="A449" s="84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</row>
    <row r="450" spans="1:26" x14ac:dyDescent="0.25">
      <c r="A450" s="84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</row>
    <row r="451" spans="1:26" x14ac:dyDescent="0.25">
      <c r="A451" s="84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</row>
    <row r="452" spans="1:26" x14ac:dyDescent="0.25">
      <c r="A452" s="84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</row>
    <row r="453" spans="1:26" x14ac:dyDescent="0.25">
      <c r="A453" s="84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</row>
    <row r="454" spans="1:26" x14ac:dyDescent="0.25">
      <c r="A454" s="84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</row>
    <row r="455" spans="1:26" x14ac:dyDescent="0.25">
      <c r="A455" s="84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</row>
    <row r="456" spans="1:26" x14ac:dyDescent="0.25">
      <c r="A456" s="84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</row>
    <row r="457" spans="1:26" x14ac:dyDescent="0.25">
      <c r="A457" s="84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</row>
    <row r="458" spans="1:26" x14ac:dyDescent="0.25">
      <c r="A458" s="84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</row>
    <row r="459" spans="1:26" x14ac:dyDescent="0.25">
      <c r="A459" s="84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</row>
    <row r="460" spans="1:26" x14ac:dyDescent="0.25">
      <c r="A460" s="84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</row>
    <row r="461" spans="1:26" x14ac:dyDescent="0.25">
      <c r="A461" s="84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</row>
    <row r="462" spans="1:26" x14ac:dyDescent="0.25">
      <c r="A462" s="84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</row>
    <row r="463" spans="1:26" x14ac:dyDescent="0.25">
      <c r="A463" s="84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</row>
    <row r="464" spans="1:26" x14ac:dyDescent="0.25">
      <c r="A464" s="84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</row>
    <row r="465" spans="1:26" x14ac:dyDescent="0.25">
      <c r="A465" s="84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</row>
    <row r="466" spans="1:26" x14ac:dyDescent="0.25">
      <c r="A466" s="84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</row>
    <row r="467" spans="1:26" x14ac:dyDescent="0.25">
      <c r="A467" s="84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</row>
    <row r="468" spans="1:26" x14ac:dyDescent="0.25">
      <c r="A468" s="84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</row>
    <row r="469" spans="1:26" x14ac:dyDescent="0.25">
      <c r="A469" s="84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</row>
    <row r="470" spans="1:26" x14ac:dyDescent="0.25">
      <c r="A470" s="84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</row>
    <row r="471" spans="1:26" x14ac:dyDescent="0.25">
      <c r="A471" s="84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</row>
    <row r="472" spans="1:26" x14ac:dyDescent="0.25">
      <c r="A472" s="84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</row>
    <row r="473" spans="1:26" x14ac:dyDescent="0.25">
      <c r="A473" s="84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</row>
    <row r="474" spans="1:26" x14ac:dyDescent="0.25">
      <c r="A474" s="84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</row>
    <row r="475" spans="1:26" x14ac:dyDescent="0.25">
      <c r="A475" s="84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</row>
    <row r="476" spans="1:26" x14ac:dyDescent="0.25">
      <c r="A476" s="84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</row>
    <row r="477" spans="1:26" x14ac:dyDescent="0.25">
      <c r="A477" s="84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</row>
    <row r="478" spans="1:26" x14ac:dyDescent="0.25">
      <c r="A478" s="84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</row>
    <row r="479" spans="1:26" x14ac:dyDescent="0.25">
      <c r="A479" s="84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</row>
    <row r="480" spans="1:26" x14ac:dyDescent="0.25">
      <c r="A480" s="84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</row>
    <row r="481" spans="1:26" x14ac:dyDescent="0.25">
      <c r="A481" s="84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</row>
    <row r="482" spans="1:26" x14ac:dyDescent="0.25">
      <c r="A482" s="84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</row>
    <row r="483" spans="1:26" x14ac:dyDescent="0.25">
      <c r="A483" s="84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</row>
    <row r="484" spans="1:26" x14ac:dyDescent="0.25">
      <c r="A484" s="84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</row>
    <row r="485" spans="1:26" x14ac:dyDescent="0.25">
      <c r="A485" s="84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</row>
    <row r="486" spans="1:26" x14ac:dyDescent="0.25">
      <c r="A486" s="84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</row>
    <row r="487" spans="1:26" x14ac:dyDescent="0.25">
      <c r="A487" s="84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</row>
    <row r="488" spans="1:26" x14ac:dyDescent="0.25">
      <c r="A488" s="84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</row>
    <row r="489" spans="1:26" x14ac:dyDescent="0.25">
      <c r="A489" s="84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</row>
    <row r="490" spans="1:26" x14ac:dyDescent="0.25">
      <c r="A490" s="84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</row>
    <row r="491" spans="1:26" x14ac:dyDescent="0.25">
      <c r="A491" s="84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</row>
    <row r="492" spans="1:26" x14ac:dyDescent="0.25">
      <c r="A492" s="84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</row>
    <row r="493" spans="1:26" x14ac:dyDescent="0.25">
      <c r="A493" s="84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</row>
    <row r="494" spans="1:26" x14ac:dyDescent="0.25">
      <c r="A494" s="84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</row>
    <row r="495" spans="1:26" x14ac:dyDescent="0.25">
      <c r="A495" s="84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</row>
    <row r="496" spans="1:26" x14ac:dyDescent="0.25">
      <c r="A496" s="84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</row>
    <row r="497" spans="1:26" x14ac:dyDescent="0.25">
      <c r="A497" s="84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</row>
    <row r="498" spans="1:26" x14ac:dyDescent="0.25">
      <c r="A498" s="84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</row>
    <row r="499" spans="1:26" x14ac:dyDescent="0.25">
      <c r="A499" s="84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</row>
    <row r="500" spans="1:26" x14ac:dyDescent="0.25">
      <c r="A500" s="84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</row>
    <row r="501" spans="1:26" x14ac:dyDescent="0.25">
      <c r="A501" s="84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</row>
    <row r="502" spans="1:26" x14ac:dyDescent="0.25">
      <c r="A502" s="84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</row>
    <row r="503" spans="1:26" x14ac:dyDescent="0.25">
      <c r="A503" s="84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</row>
    <row r="504" spans="1:26" x14ac:dyDescent="0.25">
      <c r="A504" s="84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</row>
    <row r="505" spans="1:26" x14ac:dyDescent="0.25">
      <c r="A505" s="84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</row>
    <row r="506" spans="1:26" x14ac:dyDescent="0.25">
      <c r="A506" s="84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</row>
    <row r="507" spans="1:26" x14ac:dyDescent="0.25">
      <c r="A507" s="84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</row>
    <row r="508" spans="1:26" x14ac:dyDescent="0.25">
      <c r="A508" s="84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</row>
    <row r="509" spans="1:26" x14ac:dyDescent="0.25">
      <c r="A509" s="84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</row>
    <row r="510" spans="1:26" x14ac:dyDescent="0.25">
      <c r="A510" s="84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</row>
    <row r="511" spans="1:26" x14ac:dyDescent="0.25">
      <c r="A511" s="84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</row>
    <row r="512" spans="1:26" x14ac:dyDescent="0.25">
      <c r="A512" s="84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</row>
    <row r="513" spans="1:26" x14ac:dyDescent="0.25">
      <c r="A513" s="84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</row>
    <row r="514" spans="1:26" x14ac:dyDescent="0.25">
      <c r="A514" s="84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</row>
    <row r="515" spans="1:26" x14ac:dyDescent="0.25">
      <c r="A515" s="84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</row>
    <row r="516" spans="1:26" x14ac:dyDescent="0.25">
      <c r="A516" s="84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</row>
    <row r="517" spans="1:26" x14ac:dyDescent="0.25">
      <c r="A517" s="84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</row>
    <row r="518" spans="1:26" x14ac:dyDescent="0.25">
      <c r="A518" s="84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</row>
    <row r="519" spans="1:26" x14ac:dyDescent="0.25">
      <c r="A519" s="84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</row>
    <row r="520" spans="1:26" x14ac:dyDescent="0.25">
      <c r="A520" s="84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</row>
    <row r="521" spans="1:26" x14ac:dyDescent="0.25">
      <c r="A521" s="84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</row>
    <row r="522" spans="1:26" x14ac:dyDescent="0.25">
      <c r="A522" s="84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</row>
    <row r="523" spans="1:26" x14ac:dyDescent="0.25">
      <c r="A523" s="84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</row>
    <row r="524" spans="1:26" x14ac:dyDescent="0.25">
      <c r="A524" s="84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</row>
    <row r="525" spans="1:26" x14ac:dyDescent="0.25">
      <c r="A525" s="84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</row>
    <row r="526" spans="1:26" x14ac:dyDescent="0.25">
      <c r="A526" s="84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</row>
    <row r="527" spans="1:26" x14ac:dyDescent="0.25">
      <c r="A527" s="84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</row>
    <row r="528" spans="1:26" x14ac:dyDescent="0.25">
      <c r="A528" s="84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</row>
    <row r="529" spans="1:26" x14ac:dyDescent="0.25">
      <c r="A529" s="84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</row>
    <row r="530" spans="1:26" x14ac:dyDescent="0.25">
      <c r="A530" s="84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</row>
    <row r="531" spans="1:26" x14ac:dyDescent="0.25">
      <c r="A531" s="84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</row>
    <row r="532" spans="1:26" x14ac:dyDescent="0.25">
      <c r="A532" s="84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</row>
    <row r="533" spans="1:26" x14ac:dyDescent="0.25">
      <c r="A533" s="84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</row>
    <row r="534" spans="1:26" x14ac:dyDescent="0.25">
      <c r="A534" s="84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</row>
    <row r="535" spans="1:26" x14ac:dyDescent="0.25">
      <c r="A535" s="84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</row>
    <row r="536" spans="1:26" x14ac:dyDescent="0.25">
      <c r="A536" s="84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</row>
    <row r="537" spans="1:26" x14ac:dyDescent="0.25">
      <c r="A537" s="84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</row>
    <row r="538" spans="1:26" x14ac:dyDescent="0.25">
      <c r="A538" s="84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</row>
    <row r="539" spans="1:26" x14ac:dyDescent="0.25">
      <c r="A539" s="84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</row>
    <row r="540" spans="1:26" x14ac:dyDescent="0.25">
      <c r="A540" s="84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</row>
    <row r="541" spans="1:26" x14ac:dyDescent="0.25">
      <c r="A541" s="84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</row>
    <row r="542" spans="1:26" x14ac:dyDescent="0.25">
      <c r="A542" s="84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</row>
    <row r="543" spans="1:26" x14ac:dyDescent="0.25">
      <c r="A543" s="84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</row>
    <row r="544" spans="1:26" x14ac:dyDescent="0.25">
      <c r="A544" s="84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</row>
    <row r="545" spans="1:26" x14ac:dyDescent="0.25">
      <c r="A545" s="84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</row>
    <row r="546" spans="1:26" x14ac:dyDescent="0.25">
      <c r="A546" s="84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</row>
    <row r="547" spans="1:26" x14ac:dyDescent="0.25">
      <c r="A547" s="84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</row>
    <row r="548" spans="1:26" x14ac:dyDescent="0.25">
      <c r="A548" s="84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</row>
    <row r="549" spans="1:26" x14ac:dyDescent="0.25">
      <c r="A549" s="84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</row>
    <row r="550" spans="1:26" x14ac:dyDescent="0.25">
      <c r="A550" s="84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</row>
    <row r="551" spans="1:26" x14ac:dyDescent="0.25">
      <c r="A551" s="84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</row>
    <row r="552" spans="1:26" x14ac:dyDescent="0.25">
      <c r="A552" s="84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</row>
    <row r="553" spans="1:26" x14ac:dyDescent="0.25">
      <c r="A553" s="84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</row>
    <row r="554" spans="1:26" x14ac:dyDescent="0.25">
      <c r="A554" s="84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</row>
    <row r="555" spans="1:26" x14ac:dyDescent="0.25">
      <c r="A555" s="84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</row>
    <row r="556" spans="1:26" x14ac:dyDescent="0.25">
      <c r="A556" s="84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</row>
    <row r="557" spans="1:26" x14ac:dyDescent="0.25">
      <c r="A557" s="84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</row>
    <row r="558" spans="1:26" x14ac:dyDescent="0.25">
      <c r="A558" s="84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</row>
    <row r="559" spans="1:26" x14ac:dyDescent="0.25">
      <c r="A559" s="84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</row>
    <row r="560" spans="1:26" x14ac:dyDescent="0.25">
      <c r="A560" s="84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</row>
    <row r="561" spans="1:26" x14ac:dyDescent="0.25">
      <c r="A561" s="84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</row>
    <row r="562" spans="1:26" x14ac:dyDescent="0.25">
      <c r="A562" s="84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</row>
    <row r="563" spans="1:26" x14ac:dyDescent="0.25">
      <c r="A563" s="84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</row>
    <row r="564" spans="1:26" x14ac:dyDescent="0.25">
      <c r="A564" s="84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</row>
    <row r="565" spans="1:26" x14ac:dyDescent="0.25">
      <c r="A565" s="84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</row>
    <row r="566" spans="1:26" x14ac:dyDescent="0.25">
      <c r="A566" s="84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</row>
    <row r="567" spans="1:26" x14ac:dyDescent="0.25">
      <c r="A567" s="84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</row>
    <row r="568" spans="1:26" x14ac:dyDescent="0.25">
      <c r="A568" s="84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</row>
    <row r="569" spans="1:26" x14ac:dyDescent="0.25">
      <c r="A569" s="84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</row>
    <row r="570" spans="1:26" x14ac:dyDescent="0.25">
      <c r="A570" s="84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</row>
    <row r="571" spans="1:26" x14ac:dyDescent="0.25">
      <c r="A571" s="84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</row>
    <row r="572" spans="1:26" x14ac:dyDescent="0.25">
      <c r="A572" s="84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</row>
    <row r="573" spans="1:26" x14ac:dyDescent="0.25">
      <c r="A573" s="84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</row>
    <row r="574" spans="1:26" x14ac:dyDescent="0.25">
      <c r="A574" s="84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</row>
    <row r="575" spans="1:26" x14ac:dyDescent="0.25">
      <c r="A575" s="84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</row>
    <row r="576" spans="1:26" x14ac:dyDescent="0.25">
      <c r="A576" s="84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</row>
    <row r="577" spans="1:26" x14ac:dyDescent="0.25">
      <c r="A577" s="84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</row>
    <row r="578" spans="1:26" x14ac:dyDescent="0.25">
      <c r="A578" s="84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</row>
    <row r="579" spans="1:26" x14ac:dyDescent="0.25">
      <c r="A579" s="84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</row>
    <row r="580" spans="1:26" x14ac:dyDescent="0.25">
      <c r="A580" s="84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</row>
    <row r="581" spans="1:26" x14ac:dyDescent="0.25">
      <c r="A581" s="84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</row>
    <row r="582" spans="1:26" x14ac:dyDescent="0.25">
      <c r="A582" s="84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</row>
    <row r="583" spans="1:26" x14ac:dyDescent="0.25">
      <c r="A583" s="84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</row>
    <row r="584" spans="1:26" x14ac:dyDescent="0.25">
      <c r="A584" s="84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</row>
    <row r="585" spans="1:26" x14ac:dyDescent="0.25">
      <c r="A585" s="84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</row>
    <row r="586" spans="1:26" x14ac:dyDescent="0.25">
      <c r="A586" s="84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</row>
    <row r="587" spans="1:26" x14ac:dyDescent="0.25">
      <c r="A587" s="84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</row>
    <row r="588" spans="1:26" x14ac:dyDescent="0.25">
      <c r="A588" s="84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</row>
    <row r="589" spans="1:26" x14ac:dyDescent="0.25">
      <c r="A589" s="84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</row>
    <row r="590" spans="1:26" x14ac:dyDescent="0.25">
      <c r="A590" s="84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</row>
    <row r="591" spans="1:26" x14ac:dyDescent="0.25">
      <c r="A591" s="84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</row>
    <row r="592" spans="1:26" x14ac:dyDescent="0.25">
      <c r="A592" s="84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</row>
    <row r="593" spans="1:26" x14ac:dyDescent="0.25">
      <c r="A593" s="84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</row>
    <row r="594" spans="1:26" x14ac:dyDescent="0.25">
      <c r="A594" s="84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</row>
    <row r="595" spans="1:26" x14ac:dyDescent="0.25">
      <c r="A595" s="84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</row>
    <row r="596" spans="1:26" x14ac:dyDescent="0.25">
      <c r="A596" s="84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</row>
    <row r="597" spans="1:26" x14ac:dyDescent="0.25">
      <c r="A597" s="84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</row>
    <row r="598" spans="1:26" x14ac:dyDescent="0.25">
      <c r="A598" s="84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</row>
    <row r="599" spans="1:26" x14ac:dyDescent="0.25">
      <c r="A599" s="84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</row>
    <row r="600" spans="1:26" x14ac:dyDescent="0.25">
      <c r="A600" s="84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83"/>
    <col min="4" max="4" width="16" style="83" customWidth="1"/>
    <col min="5" max="5" width="13.7109375" style="83" customWidth="1"/>
    <col min="6" max="6" width="9.140625" style="83"/>
    <col min="7" max="7" width="27.42578125" style="83" customWidth="1"/>
    <col min="8" max="16384" width="9.140625" style="83"/>
  </cols>
  <sheetData>
    <row r="1" spans="1:26" ht="26.25" x14ac:dyDescent="0.4">
      <c r="B1" s="90" t="s">
        <v>285</v>
      </c>
      <c r="C1" s="90"/>
      <c r="D1" s="90"/>
      <c r="E1" s="90" t="s">
        <v>176</v>
      </c>
      <c r="F1" s="90"/>
      <c r="G1" s="90"/>
      <c r="H1" s="90" t="s">
        <v>174</v>
      </c>
    </row>
    <row r="3" spans="1:26" ht="20.25" x14ac:dyDescent="0.3">
      <c r="F3" s="95" t="str">
        <f>Season</f>
        <v>2022/2023</v>
      </c>
    </row>
    <row r="4" spans="1:26" x14ac:dyDescent="0.25">
      <c r="C4" s="83" t="s">
        <v>163</v>
      </c>
    </row>
    <row r="5" spans="1:26" x14ac:dyDescent="0.25">
      <c r="A5" s="84" t="s">
        <v>365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</row>
    <row r="6" spans="1:26" x14ac:dyDescent="0.2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</row>
    <row r="7" spans="1:26" ht="16.5" thickBot="1" x14ac:dyDescent="0.3">
      <c r="A7" s="84"/>
      <c r="B7" s="84" t="s">
        <v>113</v>
      </c>
      <c r="C7" s="84" t="s">
        <v>44</v>
      </c>
      <c r="D7" s="85"/>
      <c r="E7" s="85"/>
      <c r="F7" s="85"/>
      <c r="G7" s="85"/>
      <c r="H7" s="85"/>
      <c r="I7" s="85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</row>
    <row r="8" spans="1:26" x14ac:dyDescent="0.25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</row>
    <row r="9" spans="1:26" ht="16.5" thickBot="1" x14ac:dyDescent="0.3">
      <c r="A9" s="84"/>
      <c r="B9" s="84" t="s">
        <v>114</v>
      </c>
      <c r="C9" s="84" t="s">
        <v>44</v>
      </c>
      <c r="D9" s="85"/>
      <c r="E9" s="85"/>
      <c r="F9" s="85"/>
      <c r="G9" s="85"/>
      <c r="H9" s="85"/>
      <c r="I9" s="85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</row>
    <row r="10" spans="1:26" x14ac:dyDescent="0.25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 spans="1:26" ht="16.5" thickBot="1" x14ac:dyDescent="0.3">
      <c r="A11" s="84"/>
      <c r="B11" s="84" t="s">
        <v>115</v>
      </c>
      <c r="C11" s="84" t="s">
        <v>48</v>
      </c>
      <c r="D11" s="85"/>
      <c r="E11" s="85"/>
      <c r="F11" s="85"/>
      <c r="G11" s="85"/>
      <c r="H11" s="85"/>
      <c r="I11" s="85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</row>
    <row r="12" spans="1:26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1:26" ht="16.5" thickBot="1" x14ac:dyDescent="0.3">
      <c r="A13" s="84"/>
      <c r="B13" s="84" t="s">
        <v>126</v>
      </c>
      <c r="C13" s="84" t="s">
        <v>48</v>
      </c>
      <c r="D13" s="85"/>
      <c r="E13" s="85"/>
      <c r="F13" s="85"/>
      <c r="G13" s="85"/>
      <c r="H13" s="85"/>
      <c r="I13" s="85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</row>
    <row r="14" spans="1:26" x14ac:dyDescent="0.25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</row>
    <row r="15" spans="1:26" ht="16.5" thickBot="1" x14ac:dyDescent="0.3">
      <c r="A15" s="84"/>
      <c r="B15" s="84" t="s">
        <v>151</v>
      </c>
      <c r="C15" s="84" t="s">
        <v>48</v>
      </c>
      <c r="D15" s="85"/>
      <c r="E15" s="85"/>
      <c r="F15" s="85"/>
      <c r="G15" s="85"/>
      <c r="H15" s="85"/>
      <c r="I15" s="85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</row>
    <row r="16" spans="1:26" x14ac:dyDescent="0.25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</row>
    <row r="17" spans="1:26" ht="16.5" thickBot="1" x14ac:dyDescent="0.3">
      <c r="A17" s="84"/>
      <c r="B17" s="84" t="s">
        <v>106</v>
      </c>
      <c r="C17" s="84" t="s">
        <v>48</v>
      </c>
      <c r="D17" s="85"/>
      <c r="E17" s="85"/>
      <c r="F17" s="85"/>
      <c r="G17" s="85"/>
      <c r="H17" s="85"/>
      <c r="I17" s="85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</row>
    <row r="18" spans="1:26" x14ac:dyDescent="0.25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</row>
    <row r="19" spans="1:26" ht="16.5" thickBot="1" x14ac:dyDescent="0.3">
      <c r="A19" s="84"/>
      <c r="B19" s="84" t="s">
        <v>107</v>
      </c>
      <c r="C19" s="84" t="s">
        <v>48</v>
      </c>
      <c r="D19" s="85"/>
      <c r="E19" s="85"/>
      <c r="F19" s="85"/>
      <c r="G19" s="85"/>
      <c r="H19" s="85"/>
      <c r="I19" s="85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</row>
    <row r="20" spans="1:26" x14ac:dyDescent="0.25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</row>
    <row r="21" spans="1:26" x14ac:dyDescent="0.25">
      <c r="A21" s="84" t="s">
        <v>366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</row>
    <row r="22" spans="1:26" x14ac:dyDescent="0.2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</row>
    <row r="23" spans="1:26" ht="16.5" thickBot="1" x14ac:dyDescent="0.3">
      <c r="A23" s="84"/>
      <c r="B23" s="84" t="s">
        <v>106</v>
      </c>
      <c r="C23" s="84" t="s">
        <v>315</v>
      </c>
      <c r="D23" s="85"/>
      <c r="E23" s="85"/>
      <c r="F23" s="85"/>
      <c r="G23" s="85"/>
      <c r="H23" s="85"/>
      <c r="I23" s="85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</row>
    <row r="24" spans="1:26" x14ac:dyDescent="0.25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</row>
    <row r="25" spans="1:26" ht="16.5" thickBot="1" x14ac:dyDescent="0.3">
      <c r="A25" s="84"/>
      <c r="B25" s="84" t="s">
        <v>107</v>
      </c>
      <c r="C25" s="84" t="s">
        <v>315</v>
      </c>
      <c r="D25" s="85"/>
      <c r="E25" s="85"/>
      <c r="F25" s="85"/>
      <c r="G25" s="85"/>
      <c r="H25" s="85"/>
      <c r="I25" s="85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</row>
    <row r="26" spans="1:26" x14ac:dyDescent="0.2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</row>
    <row r="27" spans="1:26" ht="16.5" thickBot="1" x14ac:dyDescent="0.3">
      <c r="A27" s="84"/>
      <c r="B27" s="84" t="s">
        <v>108</v>
      </c>
      <c r="C27" s="84" t="s">
        <v>315</v>
      </c>
      <c r="D27" s="85"/>
      <c r="E27" s="85"/>
      <c r="F27" s="85"/>
      <c r="G27" s="85"/>
      <c r="H27" s="85"/>
      <c r="I27" s="85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</row>
    <row r="28" spans="1:26" x14ac:dyDescent="0.2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</row>
    <row r="29" spans="1:26" ht="16.5" thickBot="1" x14ac:dyDescent="0.3">
      <c r="A29" s="84"/>
      <c r="B29" s="84" t="s">
        <v>109</v>
      </c>
      <c r="C29" s="84" t="s">
        <v>96</v>
      </c>
      <c r="D29" s="85"/>
      <c r="E29" s="85"/>
      <c r="F29" s="85"/>
      <c r="G29" s="85"/>
      <c r="H29" s="85"/>
      <c r="I29" s="85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</row>
    <row r="30" spans="1:26" x14ac:dyDescent="0.2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</row>
    <row r="31" spans="1:26" ht="16.5" thickBot="1" x14ac:dyDescent="0.3">
      <c r="A31" s="84"/>
      <c r="B31" s="84" t="s">
        <v>110</v>
      </c>
      <c r="C31" s="84" t="s">
        <v>101</v>
      </c>
      <c r="D31" s="85"/>
      <c r="E31" s="85"/>
      <c r="F31" s="85"/>
      <c r="G31" s="85"/>
      <c r="H31" s="85"/>
      <c r="I31" s="85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</row>
    <row r="32" spans="1:26" x14ac:dyDescent="0.2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</row>
    <row r="33" spans="1:26" ht="16.5" thickBot="1" x14ac:dyDescent="0.3">
      <c r="A33" s="84"/>
      <c r="B33" s="84" t="s">
        <v>111</v>
      </c>
      <c r="C33" s="84" t="s">
        <v>101</v>
      </c>
      <c r="D33" s="85"/>
      <c r="E33" s="85"/>
      <c r="F33" s="85"/>
      <c r="G33" s="85"/>
      <c r="H33" s="85"/>
      <c r="I33" s="85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</row>
    <row r="34" spans="1:26" x14ac:dyDescent="0.25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</row>
    <row r="35" spans="1:26" ht="16.5" thickBot="1" x14ac:dyDescent="0.3">
      <c r="A35" s="84"/>
      <c r="B35" s="84" t="s">
        <v>112</v>
      </c>
      <c r="C35" s="84" t="s">
        <v>90</v>
      </c>
      <c r="D35" s="85"/>
      <c r="E35" s="85"/>
      <c r="F35" s="85"/>
      <c r="G35" s="85"/>
      <c r="H35" s="85"/>
      <c r="I35" s="85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</row>
    <row r="36" spans="1:26" x14ac:dyDescent="0.25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</row>
    <row r="37" spans="1:26" ht="16.5" thickBot="1" x14ac:dyDescent="0.3">
      <c r="A37" s="84"/>
      <c r="B37" s="84" t="s">
        <v>113</v>
      </c>
      <c r="C37" s="84" t="s">
        <v>96</v>
      </c>
      <c r="D37" s="85"/>
      <c r="E37" s="85"/>
      <c r="F37" s="85"/>
      <c r="G37" s="85"/>
      <c r="H37" s="85"/>
      <c r="I37" s="85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</row>
    <row r="38" spans="1:26" x14ac:dyDescent="0.25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</row>
    <row r="39" spans="1:26" ht="16.5" thickBot="1" x14ac:dyDescent="0.3">
      <c r="A39" s="84"/>
      <c r="B39" s="84" t="s">
        <v>114</v>
      </c>
      <c r="C39" s="84" t="s">
        <v>95</v>
      </c>
      <c r="D39" s="85"/>
      <c r="E39" s="85"/>
      <c r="F39" s="85"/>
      <c r="G39" s="85"/>
      <c r="H39" s="85"/>
      <c r="I39" s="85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</row>
    <row r="40" spans="1:26" x14ac:dyDescent="0.2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</row>
    <row r="41" spans="1:26" ht="16.5" thickBot="1" x14ac:dyDescent="0.3">
      <c r="A41" s="84"/>
      <c r="B41" s="84" t="s">
        <v>115</v>
      </c>
      <c r="C41" s="84" t="s">
        <v>90</v>
      </c>
      <c r="D41" s="85"/>
      <c r="E41" s="85"/>
      <c r="F41" s="85"/>
      <c r="G41" s="85"/>
      <c r="H41" s="85"/>
      <c r="I41" s="85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</row>
    <row r="42" spans="1:26" x14ac:dyDescent="0.25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</row>
    <row r="43" spans="1:26" x14ac:dyDescent="0.25">
      <c r="A43" s="84" t="s">
        <v>367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</row>
    <row r="44" spans="1:26" x14ac:dyDescent="0.25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</row>
    <row r="45" spans="1:26" ht="16.5" thickBot="1" x14ac:dyDescent="0.3">
      <c r="A45" s="84"/>
      <c r="B45" s="84" t="s">
        <v>108</v>
      </c>
      <c r="C45" s="84" t="s">
        <v>267</v>
      </c>
      <c r="D45" s="85"/>
      <c r="E45" s="85"/>
      <c r="F45" s="85"/>
      <c r="G45" s="85"/>
      <c r="H45" s="85"/>
      <c r="I45" s="85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</row>
    <row r="46" spans="1:26" x14ac:dyDescent="0.25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</row>
    <row r="47" spans="1:26" ht="16.5" thickBot="1" x14ac:dyDescent="0.3">
      <c r="A47" s="84"/>
      <c r="B47" s="84" t="s">
        <v>109</v>
      </c>
      <c r="C47" s="84" t="s">
        <v>96</v>
      </c>
      <c r="D47" s="85"/>
      <c r="E47" s="85"/>
      <c r="F47" s="85"/>
      <c r="G47" s="85"/>
      <c r="H47" s="85"/>
      <c r="I47" s="85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</row>
    <row r="48" spans="1:26" x14ac:dyDescent="0.25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</row>
    <row r="49" spans="1:26" ht="16.5" thickBot="1" x14ac:dyDescent="0.3">
      <c r="A49" s="84"/>
      <c r="B49" s="84" t="s">
        <v>110</v>
      </c>
      <c r="C49" s="84" t="s">
        <v>94</v>
      </c>
      <c r="D49" s="85"/>
      <c r="E49" s="85"/>
      <c r="F49" s="85"/>
      <c r="G49" s="85"/>
      <c r="H49" s="85"/>
      <c r="I49" s="85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</row>
    <row r="50" spans="1:26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</row>
    <row r="51" spans="1:26" ht="16.5" thickBot="1" x14ac:dyDescent="0.3">
      <c r="A51" s="84"/>
      <c r="B51" s="84" t="s">
        <v>111</v>
      </c>
      <c r="C51" s="84" t="s">
        <v>20</v>
      </c>
      <c r="D51" s="85"/>
      <c r="E51" s="85"/>
      <c r="F51" s="85"/>
      <c r="G51" s="85"/>
      <c r="H51" s="85"/>
      <c r="I51" s="85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</row>
    <row r="52" spans="1:26" x14ac:dyDescent="0.25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</row>
    <row r="53" spans="1:26" ht="16.5" thickBot="1" x14ac:dyDescent="0.3">
      <c r="A53" s="84"/>
      <c r="B53" s="84" t="s">
        <v>112</v>
      </c>
      <c r="C53" s="84" t="s">
        <v>48</v>
      </c>
      <c r="D53" s="85"/>
      <c r="E53" s="85"/>
      <c r="F53" s="85"/>
      <c r="G53" s="85"/>
      <c r="H53" s="85"/>
      <c r="I53" s="85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</row>
    <row r="54" spans="1:26" x14ac:dyDescent="0.25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</row>
    <row r="55" spans="1:26" ht="16.5" thickBot="1" x14ac:dyDescent="0.3">
      <c r="A55" s="84"/>
      <c r="B55" s="84" t="s">
        <v>113</v>
      </c>
      <c r="C55" s="84" t="s">
        <v>44</v>
      </c>
      <c r="D55" s="85"/>
      <c r="E55" s="85"/>
      <c r="F55" s="85"/>
      <c r="G55" s="85"/>
      <c r="H55" s="85"/>
      <c r="I55" s="85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</row>
    <row r="56" spans="1:26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</row>
    <row r="57" spans="1:26" ht="16.5" thickBot="1" x14ac:dyDescent="0.3">
      <c r="A57" s="84"/>
      <c r="B57" s="84" t="s">
        <v>114</v>
      </c>
      <c r="C57" s="84" t="s">
        <v>101</v>
      </c>
      <c r="D57" s="85"/>
      <c r="E57" s="85"/>
      <c r="F57" s="85"/>
      <c r="G57" s="85"/>
      <c r="H57" s="85"/>
      <c r="I57" s="85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</row>
    <row r="58" spans="1:26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</row>
    <row r="59" spans="1:26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</row>
    <row r="60" spans="1:26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</row>
    <row r="61" spans="1:26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</row>
    <row r="62" spans="1:26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</row>
    <row r="63" spans="1:26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</row>
    <row r="64" spans="1:26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</row>
    <row r="65" spans="1:26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</row>
    <row r="66" spans="1:26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</row>
    <row r="67" spans="1:26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</row>
    <row r="68" spans="1:26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</row>
    <row r="69" spans="1:26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</row>
    <row r="70" spans="1:26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</row>
    <row r="71" spans="1:26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</row>
    <row r="72" spans="1:26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</row>
    <row r="73" spans="1:26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</row>
    <row r="74" spans="1:26" x14ac:dyDescent="0.25">
      <c r="A74" s="84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</row>
    <row r="75" spans="1:26" x14ac:dyDescent="0.25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</row>
    <row r="76" spans="1:26" x14ac:dyDescent="0.25">
      <c r="A76" s="84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</row>
    <row r="77" spans="1:26" x14ac:dyDescent="0.25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</row>
    <row r="78" spans="1:26" x14ac:dyDescent="0.25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</row>
    <row r="79" spans="1:26" x14ac:dyDescent="0.25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</row>
    <row r="80" spans="1:26" x14ac:dyDescent="0.25">
      <c r="A80" s="84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</row>
    <row r="81" spans="1:26" x14ac:dyDescent="0.25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</row>
    <row r="82" spans="1:26" x14ac:dyDescent="0.25">
      <c r="A82" s="84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</row>
    <row r="83" spans="1:26" x14ac:dyDescent="0.25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</row>
    <row r="84" spans="1:26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</row>
    <row r="85" spans="1:26" x14ac:dyDescent="0.25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</row>
    <row r="86" spans="1:26" x14ac:dyDescent="0.25">
      <c r="A86" s="84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</row>
    <row r="87" spans="1:26" x14ac:dyDescent="0.25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</row>
    <row r="88" spans="1:26" x14ac:dyDescent="0.25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</row>
    <row r="89" spans="1:26" x14ac:dyDescent="0.25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</row>
    <row r="90" spans="1:26" x14ac:dyDescent="0.25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</row>
    <row r="91" spans="1:26" x14ac:dyDescent="0.25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</row>
    <row r="92" spans="1:26" x14ac:dyDescent="0.25">
      <c r="A92" s="84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</row>
    <row r="93" spans="1:26" x14ac:dyDescent="0.25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</row>
    <row r="94" spans="1:26" x14ac:dyDescent="0.25">
      <c r="A94" s="84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</row>
    <row r="95" spans="1:26" x14ac:dyDescent="0.25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</row>
    <row r="96" spans="1:26" x14ac:dyDescent="0.25">
      <c r="A96" s="84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</row>
    <row r="97" spans="1:26" x14ac:dyDescent="0.25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</row>
    <row r="98" spans="1:26" x14ac:dyDescent="0.25">
      <c r="A98" s="84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</row>
    <row r="99" spans="1:26" x14ac:dyDescent="0.25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</row>
    <row r="100" spans="1:26" x14ac:dyDescent="0.25">
      <c r="A100" s="84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</row>
    <row r="101" spans="1:26" x14ac:dyDescent="0.25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</row>
    <row r="102" spans="1:26" x14ac:dyDescent="0.25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</row>
    <row r="103" spans="1:26" x14ac:dyDescent="0.25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</row>
    <row r="104" spans="1:26" x14ac:dyDescent="0.25">
      <c r="A104" s="84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</row>
    <row r="105" spans="1:26" x14ac:dyDescent="0.25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</row>
    <row r="106" spans="1:26" x14ac:dyDescent="0.25">
      <c r="A106" s="84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</row>
    <row r="107" spans="1:26" x14ac:dyDescent="0.25">
      <c r="A107" s="84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</row>
    <row r="108" spans="1:26" x14ac:dyDescent="0.25">
      <c r="A108" s="84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</row>
    <row r="109" spans="1:26" x14ac:dyDescent="0.25">
      <c r="A109" s="84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</row>
    <row r="110" spans="1:26" x14ac:dyDescent="0.25">
      <c r="A110" s="84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</row>
    <row r="111" spans="1:26" x14ac:dyDescent="0.25">
      <c r="A111" s="84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</row>
    <row r="112" spans="1:26" x14ac:dyDescent="0.25">
      <c r="A112" s="84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</row>
    <row r="113" spans="1:26" x14ac:dyDescent="0.25">
      <c r="A113" s="84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</row>
    <row r="114" spans="1:26" x14ac:dyDescent="0.25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</row>
    <row r="115" spans="1:26" x14ac:dyDescent="0.25">
      <c r="A115" s="84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</row>
    <row r="116" spans="1:26" x14ac:dyDescent="0.2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</row>
    <row r="117" spans="1:26" x14ac:dyDescent="0.2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</row>
    <row r="118" spans="1:26" x14ac:dyDescent="0.2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</row>
    <row r="119" spans="1:26" x14ac:dyDescent="0.2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</row>
    <row r="120" spans="1:26" x14ac:dyDescent="0.2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</row>
    <row r="121" spans="1:26" x14ac:dyDescent="0.2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</row>
    <row r="122" spans="1:26" x14ac:dyDescent="0.2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</row>
    <row r="123" spans="1:26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</row>
    <row r="124" spans="1:26" x14ac:dyDescent="0.2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</row>
    <row r="125" spans="1:26" x14ac:dyDescent="0.2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</row>
    <row r="126" spans="1:26" x14ac:dyDescent="0.2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</row>
    <row r="127" spans="1:26" x14ac:dyDescent="0.2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</row>
    <row r="128" spans="1:26" x14ac:dyDescent="0.2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</row>
    <row r="129" spans="1:26" x14ac:dyDescent="0.2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</row>
    <row r="130" spans="1:26" x14ac:dyDescent="0.2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</row>
    <row r="131" spans="1:26" x14ac:dyDescent="0.2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</row>
    <row r="132" spans="1:26" x14ac:dyDescent="0.2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</row>
    <row r="133" spans="1:26" x14ac:dyDescent="0.2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</row>
    <row r="134" spans="1:26" x14ac:dyDescent="0.2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</row>
    <row r="135" spans="1:26" x14ac:dyDescent="0.2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</row>
    <row r="136" spans="1:26" x14ac:dyDescent="0.2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</row>
    <row r="137" spans="1:26" x14ac:dyDescent="0.2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</row>
    <row r="138" spans="1:26" x14ac:dyDescent="0.2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</row>
    <row r="139" spans="1:26" x14ac:dyDescent="0.2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</row>
    <row r="140" spans="1:26" x14ac:dyDescent="0.2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</row>
    <row r="141" spans="1:26" x14ac:dyDescent="0.2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</row>
    <row r="142" spans="1:26" x14ac:dyDescent="0.2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</row>
    <row r="143" spans="1:26" x14ac:dyDescent="0.2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</row>
    <row r="144" spans="1:26" x14ac:dyDescent="0.2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</row>
    <row r="145" spans="1:26" x14ac:dyDescent="0.2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</row>
    <row r="146" spans="1:26" x14ac:dyDescent="0.2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</row>
    <row r="147" spans="1:26" x14ac:dyDescent="0.2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</row>
    <row r="148" spans="1:26" x14ac:dyDescent="0.25">
      <c r="A148" s="84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</row>
    <row r="149" spans="1:26" x14ac:dyDescent="0.25">
      <c r="A149" s="84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</row>
    <row r="150" spans="1:26" x14ac:dyDescent="0.25">
      <c r="A150" s="84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</row>
    <row r="151" spans="1:26" x14ac:dyDescent="0.25">
      <c r="A151" s="84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</row>
    <row r="152" spans="1:26" x14ac:dyDescent="0.25">
      <c r="A152" s="84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</row>
    <row r="153" spans="1:26" x14ac:dyDescent="0.25">
      <c r="A153" s="84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</row>
    <row r="154" spans="1:26" x14ac:dyDescent="0.25">
      <c r="A154" s="84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</row>
    <row r="155" spans="1:26" x14ac:dyDescent="0.25">
      <c r="A155" s="84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</row>
    <row r="156" spans="1:26" x14ac:dyDescent="0.25">
      <c r="A156" s="84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</row>
    <row r="157" spans="1:26" x14ac:dyDescent="0.25">
      <c r="A157" s="84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</row>
    <row r="158" spans="1:26" x14ac:dyDescent="0.25">
      <c r="A158" s="84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</row>
    <row r="159" spans="1:26" x14ac:dyDescent="0.25">
      <c r="A159" s="84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</row>
    <row r="160" spans="1:26" x14ac:dyDescent="0.25">
      <c r="A160" s="84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</row>
    <row r="161" spans="1:26" x14ac:dyDescent="0.25">
      <c r="A161" s="84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</row>
    <row r="162" spans="1:26" x14ac:dyDescent="0.25">
      <c r="A162" s="84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</row>
    <row r="163" spans="1:26" x14ac:dyDescent="0.25">
      <c r="A163" s="84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</row>
    <row r="164" spans="1:26" x14ac:dyDescent="0.25">
      <c r="A164" s="84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</row>
    <row r="165" spans="1:26" x14ac:dyDescent="0.25">
      <c r="A165" s="84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</row>
    <row r="166" spans="1:26" x14ac:dyDescent="0.25">
      <c r="A166" s="84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</row>
    <row r="167" spans="1:26" x14ac:dyDescent="0.25">
      <c r="A167" s="84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</row>
    <row r="168" spans="1:26" x14ac:dyDescent="0.25">
      <c r="A168" s="84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</row>
    <row r="169" spans="1:26" x14ac:dyDescent="0.25">
      <c r="A169" s="84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</row>
    <row r="170" spans="1:26" x14ac:dyDescent="0.25">
      <c r="A170" s="84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</row>
    <row r="171" spans="1:26" x14ac:dyDescent="0.25">
      <c r="A171" s="84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</row>
    <row r="172" spans="1:26" x14ac:dyDescent="0.25">
      <c r="A172" s="84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</row>
    <row r="173" spans="1:26" x14ac:dyDescent="0.25">
      <c r="A173" s="84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</row>
    <row r="174" spans="1:26" x14ac:dyDescent="0.25">
      <c r="A174" s="84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</row>
    <row r="175" spans="1:26" x14ac:dyDescent="0.25">
      <c r="A175" s="84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</row>
    <row r="176" spans="1:26" x14ac:dyDescent="0.25">
      <c r="A176" s="84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</row>
    <row r="177" spans="1:26" x14ac:dyDescent="0.25">
      <c r="A177" s="84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</row>
    <row r="178" spans="1:26" x14ac:dyDescent="0.25">
      <c r="A178" s="84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</row>
    <row r="179" spans="1:26" x14ac:dyDescent="0.25">
      <c r="A179" s="84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</row>
    <row r="180" spans="1:26" x14ac:dyDescent="0.25">
      <c r="A180" s="84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</row>
    <row r="181" spans="1:26" x14ac:dyDescent="0.25">
      <c r="A181" s="84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</row>
    <row r="182" spans="1:26" x14ac:dyDescent="0.25">
      <c r="A182" s="84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</row>
    <row r="183" spans="1:26" x14ac:dyDescent="0.25">
      <c r="A183" s="84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</row>
    <row r="184" spans="1:26" x14ac:dyDescent="0.25">
      <c r="A184" s="84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</row>
    <row r="185" spans="1:26" x14ac:dyDescent="0.25">
      <c r="A185" s="84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</row>
    <row r="186" spans="1:26" x14ac:dyDescent="0.25">
      <c r="A186" s="84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</row>
    <row r="187" spans="1:26" x14ac:dyDescent="0.25">
      <c r="A187" s="84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</row>
    <row r="188" spans="1:26" x14ac:dyDescent="0.25">
      <c r="A188" s="84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</row>
    <row r="189" spans="1:26" x14ac:dyDescent="0.25">
      <c r="A189" s="84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</row>
    <row r="190" spans="1:26" x14ac:dyDescent="0.25">
      <c r="A190" s="84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</row>
    <row r="191" spans="1:26" x14ac:dyDescent="0.25">
      <c r="A191" s="84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</row>
    <row r="192" spans="1:26" x14ac:dyDescent="0.25">
      <c r="A192" s="84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</row>
    <row r="193" spans="1:26" x14ac:dyDescent="0.25">
      <c r="A193" s="84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</row>
    <row r="194" spans="1:26" x14ac:dyDescent="0.25">
      <c r="A194" s="84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</row>
    <row r="195" spans="1:26" x14ac:dyDescent="0.25">
      <c r="A195" s="84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</row>
    <row r="196" spans="1:26" x14ac:dyDescent="0.25">
      <c r="A196" s="84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</row>
    <row r="197" spans="1:26" x14ac:dyDescent="0.25">
      <c r="A197" s="84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</row>
    <row r="198" spans="1:26" x14ac:dyDescent="0.25">
      <c r="A198" s="84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</row>
    <row r="199" spans="1:26" x14ac:dyDescent="0.25">
      <c r="A199" s="84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</row>
    <row r="200" spans="1:26" x14ac:dyDescent="0.25">
      <c r="A200" s="84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</row>
    <row r="201" spans="1:26" x14ac:dyDescent="0.25">
      <c r="A201" s="84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</row>
    <row r="202" spans="1:26" x14ac:dyDescent="0.25">
      <c r="A202" s="84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</row>
    <row r="203" spans="1:26" x14ac:dyDescent="0.25">
      <c r="A203" s="84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</row>
    <row r="204" spans="1:26" x14ac:dyDescent="0.25">
      <c r="A204" s="84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</row>
    <row r="205" spans="1:26" x14ac:dyDescent="0.25">
      <c r="A205" s="84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</row>
    <row r="206" spans="1:26" x14ac:dyDescent="0.25">
      <c r="A206" s="84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</row>
    <row r="207" spans="1:26" x14ac:dyDescent="0.25">
      <c r="A207" s="84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</row>
    <row r="208" spans="1:26" x14ac:dyDescent="0.25">
      <c r="A208" s="84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</row>
    <row r="209" spans="1:26" x14ac:dyDescent="0.25">
      <c r="A209" s="84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</row>
    <row r="210" spans="1:26" x14ac:dyDescent="0.25">
      <c r="A210" s="84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</row>
    <row r="211" spans="1:26" x14ac:dyDescent="0.25">
      <c r="A211" s="84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</row>
    <row r="212" spans="1:26" x14ac:dyDescent="0.25">
      <c r="A212" s="84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</row>
    <row r="213" spans="1:26" x14ac:dyDescent="0.25">
      <c r="A213" s="84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</row>
    <row r="214" spans="1:26" x14ac:dyDescent="0.25">
      <c r="A214" s="84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</row>
    <row r="215" spans="1:26" x14ac:dyDescent="0.25">
      <c r="A215" s="84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</row>
    <row r="216" spans="1:26" x14ac:dyDescent="0.25">
      <c r="A216" s="84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</row>
    <row r="217" spans="1:26" x14ac:dyDescent="0.25">
      <c r="A217" s="84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</row>
    <row r="218" spans="1:26" x14ac:dyDescent="0.25">
      <c r="A218" s="84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</row>
    <row r="219" spans="1:26" x14ac:dyDescent="0.25">
      <c r="A219" s="84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</row>
    <row r="220" spans="1:26" x14ac:dyDescent="0.25">
      <c r="A220" s="84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</row>
    <row r="221" spans="1:26" x14ac:dyDescent="0.25">
      <c r="A221" s="84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</row>
    <row r="222" spans="1:26" x14ac:dyDescent="0.25">
      <c r="A222" s="84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</row>
    <row r="223" spans="1:26" x14ac:dyDescent="0.25">
      <c r="A223" s="84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</row>
    <row r="224" spans="1:26" x14ac:dyDescent="0.25">
      <c r="A224" s="84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</row>
    <row r="225" spans="1:26" x14ac:dyDescent="0.25">
      <c r="A225" s="84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</row>
    <row r="226" spans="1:26" x14ac:dyDescent="0.25">
      <c r="A226" s="84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</row>
    <row r="227" spans="1:26" x14ac:dyDescent="0.25">
      <c r="A227" s="84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</row>
    <row r="228" spans="1:26" x14ac:dyDescent="0.25">
      <c r="A228" s="84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</row>
    <row r="229" spans="1:26" x14ac:dyDescent="0.25">
      <c r="A229" s="84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</row>
    <row r="230" spans="1:26" x14ac:dyDescent="0.25">
      <c r="A230" s="84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</row>
    <row r="231" spans="1:26" x14ac:dyDescent="0.25">
      <c r="A231" s="84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</row>
    <row r="232" spans="1:26" x14ac:dyDescent="0.25">
      <c r="A232" s="84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</row>
    <row r="233" spans="1:26" x14ac:dyDescent="0.25">
      <c r="A233" s="84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</row>
    <row r="234" spans="1:26" x14ac:dyDescent="0.25">
      <c r="A234" s="84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</row>
    <row r="235" spans="1:26" x14ac:dyDescent="0.25">
      <c r="A235" s="84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</row>
    <row r="236" spans="1:26" x14ac:dyDescent="0.25">
      <c r="A236" s="84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</row>
    <row r="237" spans="1:26" x14ac:dyDescent="0.25">
      <c r="A237" s="84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</row>
    <row r="238" spans="1:26" x14ac:dyDescent="0.25">
      <c r="A238" s="84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</row>
    <row r="239" spans="1:26" x14ac:dyDescent="0.25">
      <c r="A239" s="84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</row>
    <row r="240" spans="1:26" x14ac:dyDescent="0.25">
      <c r="A240" s="84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</row>
    <row r="241" spans="1:26" x14ac:dyDescent="0.25">
      <c r="A241" s="84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</row>
    <row r="242" spans="1:26" x14ac:dyDescent="0.25">
      <c r="A242" s="84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</row>
    <row r="243" spans="1:26" x14ac:dyDescent="0.25">
      <c r="A243" s="84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</row>
    <row r="244" spans="1:26" x14ac:dyDescent="0.25">
      <c r="A244" s="84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</row>
    <row r="245" spans="1:26" x14ac:dyDescent="0.25">
      <c r="A245" s="84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</row>
    <row r="246" spans="1:26" x14ac:dyDescent="0.25">
      <c r="A246" s="84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</row>
    <row r="247" spans="1:26" x14ac:dyDescent="0.25">
      <c r="A247" s="84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</row>
    <row r="248" spans="1:26" x14ac:dyDescent="0.25">
      <c r="A248" s="84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</row>
    <row r="249" spans="1:26" x14ac:dyDescent="0.25">
      <c r="A249" s="84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</row>
    <row r="250" spans="1:26" x14ac:dyDescent="0.25">
      <c r="A250" s="84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</row>
    <row r="251" spans="1:26" x14ac:dyDescent="0.25">
      <c r="A251" s="84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</row>
    <row r="252" spans="1:26" x14ac:dyDescent="0.25">
      <c r="A252" s="84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</row>
    <row r="253" spans="1:26" x14ac:dyDescent="0.25">
      <c r="A253" s="84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</row>
    <row r="254" spans="1:26" x14ac:dyDescent="0.25">
      <c r="A254" s="84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</row>
    <row r="255" spans="1:26" x14ac:dyDescent="0.25">
      <c r="A255" s="84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</row>
    <row r="256" spans="1:26" x14ac:dyDescent="0.25">
      <c r="A256" s="84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</row>
    <row r="257" spans="1:26" x14ac:dyDescent="0.25">
      <c r="A257" s="84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</row>
    <row r="258" spans="1:26" x14ac:dyDescent="0.25">
      <c r="A258" s="84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</row>
    <row r="259" spans="1:26" x14ac:dyDescent="0.25">
      <c r="A259" s="84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</row>
    <row r="260" spans="1:26" x14ac:dyDescent="0.25">
      <c r="A260" s="84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</row>
    <row r="261" spans="1:26" x14ac:dyDescent="0.25">
      <c r="A261" s="84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</row>
    <row r="262" spans="1:26" x14ac:dyDescent="0.25">
      <c r="A262" s="84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</row>
    <row r="263" spans="1:26" x14ac:dyDescent="0.25">
      <c r="A263" s="84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</row>
    <row r="264" spans="1:26" x14ac:dyDescent="0.25">
      <c r="A264" s="84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</row>
    <row r="265" spans="1:26" x14ac:dyDescent="0.25">
      <c r="A265" s="84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</row>
    <row r="266" spans="1:26" x14ac:dyDescent="0.25">
      <c r="A266" s="84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</row>
    <row r="267" spans="1:26" x14ac:dyDescent="0.25">
      <c r="A267" s="84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</row>
    <row r="268" spans="1:26" x14ac:dyDescent="0.25">
      <c r="A268" s="84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</row>
    <row r="269" spans="1:26" x14ac:dyDescent="0.25">
      <c r="A269" s="84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</row>
    <row r="270" spans="1:26" x14ac:dyDescent="0.25">
      <c r="A270" s="84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</row>
    <row r="271" spans="1:26" x14ac:dyDescent="0.25">
      <c r="A271" s="84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</row>
    <row r="272" spans="1:26" x14ac:dyDescent="0.25">
      <c r="A272" s="84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</row>
    <row r="273" spans="1:26" x14ac:dyDescent="0.25">
      <c r="A273" s="84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</row>
    <row r="274" spans="1:26" x14ac:dyDescent="0.25">
      <c r="A274" s="84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</row>
    <row r="275" spans="1:26" x14ac:dyDescent="0.25">
      <c r="A275" s="84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</row>
    <row r="276" spans="1:26" x14ac:dyDescent="0.25">
      <c r="A276" s="84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</row>
    <row r="277" spans="1:26" x14ac:dyDescent="0.25">
      <c r="A277" s="84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</row>
    <row r="278" spans="1:26" x14ac:dyDescent="0.25">
      <c r="A278" s="84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</row>
    <row r="279" spans="1:26" x14ac:dyDescent="0.25">
      <c r="A279" s="84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</row>
    <row r="280" spans="1:26" x14ac:dyDescent="0.25">
      <c r="A280" s="84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</row>
    <row r="281" spans="1:26" x14ac:dyDescent="0.25">
      <c r="A281" s="84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</row>
    <row r="282" spans="1:26" x14ac:dyDescent="0.25">
      <c r="A282" s="84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</row>
    <row r="283" spans="1:26" x14ac:dyDescent="0.25">
      <c r="A283" s="84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</row>
    <row r="284" spans="1:26" x14ac:dyDescent="0.25">
      <c r="A284" s="84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</row>
    <row r="285" spans="1:26" x14ac:dyDescent="0.25">
      <c r="A285" s="84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</row>
    <row r="286" spans="1:26" x14ac:dyDescent="0.25">
      <c r="A286" s="84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</row>
    <row r="287" spans="1:26" x14ac:dyDescent="0.25">
      <c r="A287" s="84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</row>
    <row r="288" spans="1:26" x14ac:dyDescent="0.25">
      <c r="A288" s="84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</row>
    <row r="289" spans="1:26" x14ac:dyDescent="0.25">
      <c r="A289" s="84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</row>
    <row r="290" spans="1:26" x14ac:dyDescent="0.25">
      <c r="A290" s="84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</row>
    <row r="291" spans="1:26" x14ac:dyDescent="0.25">
      <c r="A291" s="84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</row>
    <row r="292" spans="1:26" x14ac:dyDescent="0.25">
      <c r="A292" s="84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</row>
    <row r="293" spans="1:26" x14ac:dyDescent="0.25">
      <c r="A293" s="84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</row>
    <row r="294" spans="1:26" x14ac:dyDescent="0.25">
      <c r="A294" s="84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</row>
    <row r="295" spans="1:26" x14ac:dyDescent="0.25">
      <c r="A295" s="84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</row>
    <row r="296" spans="1:26" x14ac:dyDescent="0.25">
      <c r="A296" s="84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</row>
    <row r="297" spans="1:26" x14ac:dyDescent="0.25">
      <c r="A297" s="84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</row>
    <row r="298" spans="1:26" x14ac:dyDescent="0.25">
      <c r="A298" s="84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</row>
    <row r="299" spans="1:26" x14ac:dyDescent="0.25">
      <c r="A299" s="84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</row>
    <row r="300" spans="1:26" x14ac:dyDescent="0.25">
      <c r="A300" s="84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</row>
    <row r="301" spans="1:26" x14ac:dyDescent="0.25">
      <c r="A301" s="84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</row>
    <row r="302" spans="1:26" x14ac:dyDescent="0.25">
      <c r="A302" s="84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</row>
    <row r="303" spans="1:26" x14ac:dyDescent="0.25">
      <c r="A303" s="84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</row>
    <row r="304" spans="1:26" x14ac:dyDescent="0.25">
      <c r="A304" s="84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</row>
    <row r="305" spans="1:26" x14ac:dyDescent="0.25">
      <c r="A305" s="84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</row>
    <row r="306" spans="1:26" x14ac:dyDescent="0.25">
      <c r="A306" s="84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</row>
    <row r="307" spans="1:26" x14ac:dyDescent="0.25">
      <c r="A307" s="84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</row>
    <row r="308" spans="1:26" x14ac:dyDescent="0.25">
      <c r="A308" s="84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</row>
    <row r="309" spans="1:26" x14ac:dyDescent="0.25">
      <c r="A309" s="84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</row>
    <row r="310" spans="1:26" x14ac:dyDescent="0.25">
      <c r="A310" s="84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</row>
    <row r="311" spans="1:26" x14ac:dyDescent="0.25">
      <c r="A311" s="84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</row>
    <row r="312" spans="1:26" x14ac:dyDescent="0.25">
      <c r="A312" s="84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</row>
    <row r="313" spans="1:26" x14ac:dyDescent="0.25">
      <c r="A313" s="84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</row>
    <row r="314" spans="1:26" x14ac:dyDescent="0.25">
      <c r="A314" s="84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</row>
    <row r="315" spans="1:26" x14ac:dyDescent="0.25">
      <c r="A315" s="84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</row>
    <row r="316" spans="1:26" x14ac:dyDescent="0.25">
      <c r="A316" s="84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</row>
    <row r="317" spans="1:26" x14ac:dyDescent="0.25">
      <c r="A317" s="84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</row>
    <row r="318" spans="1:26" x14ac:dyDescent="0.25">
      <c r="A318" s="84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</row>
    <row r="319" spans="1:26" x14ac:dyDescent="0.25">
      <c r="A319" s="84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</row>
    <row r="320" spans="1:26" x14ac:dyDescent="0.25">
      <c r="A320" s="84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</row>
    <row r="321" spans="1:26" x14ac:dyDescent="0.25">
      <c r="A321" s="84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</row>
    <row r="322" spans="1:26" x14ac:dyDescent="0.25">
      <c r="A322" s="84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</row>
    <row r="323" spans="1:26" x14ac:dyDescent="0.25">
      <c r="A323" s="84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</row>
    <row r="324" spans="1:26" x14ac:dyDescent="0.25">
      <c r="A324" s="84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</row>
    <row r="325" spans="1:26" x14ac:dyDescent="0.25">
      <c r="A325" s="84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</row>
    <row r="326" spans="1:26" x14ac:dyDescent="0.25">
      <c r="A326" s="84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</row>
    <row r="327" spans="1:26" x14ac:dyDescent="0.25">
      <c r="A327" s="84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</row>
    <row r="328" spans="1:26" x14ac:dyDescent="0.25">
      <c r="A328" s="84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</row>
    <row r="329" spans="1:26" x14ac:dyDescent="0.25">
      <c r="A329" s="84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</row>
    <row r="330" spans="1:26" x14ac:dyDescent="0.25">
      <c r="A330" s="84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</row>
    <row r="331" spans="1:26" x14ac:dyDescent="0.25">
      <c r="A331" s="84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</row>
    <row r="332" spans="1:26" x14ac:dyDescent="0.25">
      <c r="A332" s="84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</row>
    <row r="333" spans="1:26" x14ac:dyDescent="0.25">
      <c r="A333" s="84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</row>
    <row r="334" spans="1:26" x14ac:dyDescent="0.25">
      <c r="A334" s="84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</row>
    <row r="335" spans="1:26" x14ac:dyDescent="0.25">
      <c r="A335" s="84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</row>
    <row r="336" spans="1:26" x14ac:dyDescent="0.25">
      <c r="A336" s="84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</row>
    <row r="337" spans="1:26" x14ac:dyDescent="0.25">
      <c r="A337" s="84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</row>
    <row r="338" spans="1:26" x14ac:dyDescent="0.25">
      <c r="A338" s="84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</row>
    <row r="339" spans="1:26" x14ac:dyDescent="0.25">
      <c r="A339" s="84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</row>
    <row r="340" spans="1:26" x14ac:dyDescent="0.25">
      <c r="A340" s="84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</row>
    <row r="341" spans="1:26" x14ac:dyDescent="0.25">
      <c r="A341" s="84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</row>
    <row r="342" spans="1:26" x14ac:dyDescent="0.25">
      <c r="A342" s="84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</row>
    <row r="343" spans="1:26" x14ac:dyDescent="0.25">
      <c r="A343" s="84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</row>
    <row r="344" spans="1:26" x14ac:dyDescent="0.25">
      <c r="A344" s="84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</row>
    <row r="345" spans="1:26" x14ac:dyDescent="0.25">
      <c r="A345" s="84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</row>
    <row r="346" spans="1:26" x14ac:dyDescent="0.25">
      <c r="A346" s="84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</row>
    <row r="347" spans="1:26" x14ac:dyDescent="0.25">
      <c r="A347" s="84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</row>
    <row r="348" spans="1:26" x14ac:dyDescent="0.25">
      <c r="A348" s="84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</row>
    <row r="349" spans="1:26" x14ac:dyDescent="0.25">
      <c r="A349" s="84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</row>
    <row r="350" spans="1:26" x14ac:dyDescent="0.25">
      <c r="A350" s="84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</row>
    <row r="351" spans="1:26" x14ac:dyDescent="0.25">
      <c r="A351" s="84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</row>
    <row r="352" spans="1:26" x14ac:dyDescent="0.25">
      <c r="A352" s="84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</row>
    <row r="353" spans="1:26" x14ac:dyDescent="0.25">
      <c r="A353" s="84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</row>
    <row r="354" spans="1:26" x14ac:dyDescent="0.25">
      <c r="A354" s="84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</row>
    <row r="355" spans="1:26" x14ac:dyDescent="0.25">
      <c r="A355" s="84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</row>
    <row r="356" spans="1:26" x14ac:dyDescent="0.25">
      <c r="A356" s="84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</row>
    <row r="357" spans="1:26" x14ac:dyDescent="0.25">
      <c r="A357" s="84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</row>
    <row r="358" spans="1:26" x14ac:dyDescent="0.25">
      <c r="A358" s="84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</row>
    <row r="359" spans="1:26" x14ac:dyDescent="0.25">
      <c r="A359" s="84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</row>
    <row r="360" spans="1:26" x14ac:dyDescent="0.25">
      <c r="A360" s="84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</row>
    <row r="361" spans="1:26" x14ac:dyDescent="0.25">
      <c r="A361" s="84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</row>
    <row r="362" spans="1:26" x14ac:dyDescent="0.25">
      <c r="A362" s="84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</row>
    <row r="363" spans="1:26" x14ac:dyDescent="0.25">
      <c r="A363" s="84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</row>
    <row r="364" spans="1:26" x14ac:dyDescent="0.25">
      <c r="A364" s="84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</row>
    <row r="365" spans="1:26" x14ac:dyDescent="0.25">
      <c r="A365" s="84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</row>
    <row r="366" spans="1:26" x14ac:dyDescent="0.25">
      <c r="A366" s="84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</row>
    <row r="367" spans="1:26" x14ac:dyDescent="0.25">
      <c r="A367" s="84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</row>
    <row r="368" spans="1:26" x14ac:dyDescent="0.25">
      <c r="A368" s="84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</row>
    <row r="369" spans="1:26" x14ac:dyDescent="0.25">
      <c r="A369" s="84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</row>
    <row r="370" spans="1:26" x14ac:dyDescent="0.25">
      <c r="A370" s="84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</row>
    <row r="371" spans="1:26" x14ac:dyDescent="0.25">
      <c r="A371" s="84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</row>
    <row r="372" spans="1:26" x14ac:dyDescent="0.25">
      <c r="A372" s="84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</row>
    <row r="373" spans="1:26" x14ac:dyDescent="0.25">
      <c r="A373" s="84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</row>
    <row r="374" spans="1:26" x14ac:dyDescent="0.25">
      <c r="A374" s="84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</row>
    <row r="375" spans="1:26" x14ac:dyDescent="0.25">
      <c r="A375" s="84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</row>
    <row r="376" spans="1:26" x14ac:dyDescent="0.25">
      <c r="A376" s="84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</row>
    <row r="377" spans="1:26" x14ac:dyDescent="0.25">
      <c r="A377" s="84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</row>
    <row r="378" spans="1:26" x14ac:dyDescent="0.25">
      <c r="A378" s="84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</row>
    <row r="379" spans="1:26" x14ac:dyDescent="0.25">
      <c r="A379" s="84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</row>
    <row r="380" spans="1:26" x14ac:dyDescent="0.25">
      <c r="A380" s="84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</row>
    <row r="381" spans="1:26" x14ac:dyDescent="0.25">
      <c r="A381" s="84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</row>
    <row r="382" spans="1:26" x14ac:dyDescent="0.25">
      <c r="A382" s="84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</row>
    <row r="383" spans="1:26" x14ac:dyDescent="0.25">
      <c r="A383" s="84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</row>
    <row r="384" spans="1:26" x14ac:dyDescent="0.25">
      <c r="A384" s="84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</row>
    <row r="385" spans="1:26" x14ac:dyDescent="0.25">
      <c r="A385" s="84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</row>
    <row r="386" spans="1:26" x14ac:dyDescent="0.25">
      <c r="A386" s="84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</row>
    <row r="387" spans="1:26" x14ac:dyDescent="0.25">
      <c r="A387" s="84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</row>
    <row r="388" spans="1:26" x14ac:dyDescent="0.25">
      <c r="A388" s="84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</row>
    <row r="389" spans="1:26" x14ac:dyDescent="0.25">
      <c r="A389" s="84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</row>
    <row r="390" spans="1:26" x14ac:dyDescent="0.25">
      <c r="A390" s="84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</row>
    <row r="391" spans="1:26" x14ac:dyDescent="0.25">
      <c r="A391" s="84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</row>
    <row r="392" spans="1:26" x14ac:dyDescent="0.25">
      <c r="A392" s="84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</row>
    <row r="393" spans="1:26" x14ac:dyDescent="0.25">
      <c r="A393" s="84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</row>
    <row r="394" spans="1:26" x14ac:dyDescent="0.25">
      <c r="A394" s="84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</row>
    <row r="395" spans="1:26" x14ac:dyDescent="0.25">
      <c r="A395" s="84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</row>
    <row r="396" spans="1:26" x14ac:dyDescent="0.25">
      <c r="A396" s="84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</row>
    <row r="397" spans="1:26" x14ac:dyDescent="0.25">
      <c r="A397" s="84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</row>
    <row r="398" spans="1:26" x14ac:dyDescent="0.25">
      <c r="A398" s="84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</row>
    <row r="399" spans="1:26" x14ac:dyDescent="0.25">
      <c r="A399" s="84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</row>
    <row r="400" spans="1:26" x14ac:dyDescent="0.25">
      <c r="A400" s="84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</row>
    <row r="401" spans="1:26" x14ac:dyDescent="0.25">
      <c r="A401" s="84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</row>
    <row r="402" spans="1:26" x14ac:dyDescent="0.25">
      <c r="A402" s="84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</row>
    <row r="403" spans="1:26" x14ac:dyDescent="0.25">
      <c r="A403" s="84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</row>
    <row r="404" spans="1:26" x14ac:dyDescent="0.25">
      <c r="A404" s="84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</row>
    <row r="405" spans="1:26" x14ac:dyDescent="0.25">
      <c r="A405" s="84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</row>
    <row r="406" spans="1:26" x14ac:dyDescent="0.25">
      <c r="A406" s="84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</row>
    <row r="407" spans="1:26" x14ac:dyDescent="0.25">
      <c r="A407" s="84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</row>
    <row r="408" spans="1:26" x14ac:dyDescent="0.25">
      <c r="A408" s="84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</row>
    <row r="409" spans="1:26" x14ac:dyDescent="0.25">
      <c r="A409" s="84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</row>
    <row r="410" spans="1:26" x14ac:dyDescent="0.25">
      <c r="A410" s="84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</row>
    <row r="411" spans="1:26" x14ac:dyDescent="0.25">
      <c r="A411" s="84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</row>
    <row r="412" spans="1:26" x14ac:dyDescent="0.25">
      <c r="A412" s="84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</row>
    <row r="413" spans="1:26" x14ac:dyDescent="0.25">
      <c r="A413" s="84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</row>
    <row r="414" spans="1:26" x14ac:dyDescent="0.25">
      <c r="A414" s="84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</row>
    <row r="415" spans="1:26" x14ac:dyDescent="0.25">
      <c r="A415" s="84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</row>
    <row r="416" spans="1:26" x14ac:dyDescent="0.25">
      <c r="A416" s="84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</row>
    <row r="417" spans="1:26" x14ac:dyDescent="0.25">
      <c r="A417" s="84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</row>
    <row r="418" spans="1:26" x14ac:dyDescent="0.25">
      <c r="A418" s="84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</row>
    <row r="419" spans="1:26" x14ac:dyDescent="0.25">
      <c r="A419" s="84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</row>
    <row r="420" spans="1:26" x14ac:dyDescent="0.25">
      <c r="A420" s="84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</row>
    <row r="421" spans="1:26" x14ac:dyDescent="0.25">
      <c r="A421" s="84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</row>
    <row r="422" spans="1:26" x14ac:dyDescent="0.25">
      <c r="A422" s="84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</row>
    <row r="423" spans="1:26" x14ac:dyDescent="0.25">
      <c r="A423" s="84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</row>
    <row r="424" spans="1:26" x14ac:dyDescent="0.25">
      <c r="A424" s="84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</row>
    <row r="425" spans="1:26" x14ac:dyDescent="0.25">
      <c r="A425" s="84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</row>
    <row r="426" spans="1:26" x14ac:dyDescent="0.25">
      <c r="A426" s="84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</row>
    <row r="427" spans="1:26" x14ac:dyDescent="0.25">
      <c r="A427" s="84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</row>
    <row r="428" spans="1:26" x14ac:dyDescent="0.25">
      <c r="A428" s="84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</row>
    <row r="429" spans="1:26" x14ac:dyDescent="0.25">
      <c r="A429" s="84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</row>
    <row r="430" spans="1:26" x14ac:dyDescent="0.25">
      <c r="A430" s="84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</row>
    <row r="431" spans="1:26" x14ac:dyDescent="0.25">
      <c r="A431" s="84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</row>
    <row r="432" spans="1:26" x14ac:dyDescent="0.25">
      <c r="A432" s="84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</row>
    <row r="433" spans="1:26" x14ac:dyDescent="0.25">
      <c r="A433" s="84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</row>
    <row r="434" spans="1:26" x14ac:dyDescent="0.25">
      <c r="A434" s="84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</row>
    <row r="435" spans="1:26" x14ac:dyDescent="0.25">
      <c r="A435" s="84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</row>
    <row r="436" spans="1:26" x14ac:dyDescent="0.25">
      <c r="A436" s="84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</row>
    <row r="437" spans="1:26" x14ac:dyDescent="0.25">
      <c r="A437" s="84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</row>
    <row r="438" spans="1:26" x14ac:dyDescent="0.25">
      <c r="A438" s="84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</row>
    <row r="439" spans="1:26" x14ac:dyDescent="0.25">
      <c r="A439" s="84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</row>
    <row r="440" spans="1:26" x14ac:dyDescent="0.25">
      <c r="A440" s="84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</row>
    <row r="441" spans="1:26" x14ac:dyDescent="0.25">
      <c r="A441" s="84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</row>
    <row r="442" spans="1:26" x14ac:dyDescent="0.25">
      <c r="A442" s="84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</row>
    <row r="443" spans="1:26" x14ac:dyDescent="0.25">
      <c r="A443" s="84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</row>
    <row r="444" spans="1:26" x14ac:dyDescent="0.25">
      <c r="A444" s="84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</row>
    <row r="445" spans="1:26" x14ac:dyDescent="0.25">
      <c r="A445" s="84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</row>
    <row r="446" spans="1:26" x14ac:dyDescent="0.25">
      <c r="A446" s="84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</row>
    <row r="447" spans="1:26" x14ac:dyDescent="0.25">
      <c r="A447" s="84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</row>
    <row r="448" spans="1:26" x14ac:dyDescent="0.25">
      <c r="A448" s="84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</row>
    <row r="449" spans="1:26" x14ac:dyDescent="0.25">
      <c r="A449" s="84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</row>
    <row r="450" spans="1:26" x14ac:dyDescent="0.25">
      <c r="A450" s="84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</row>
    <row r="451" spans="1:26" x14ac:dyDescent="0.25">
      <c r="A451" s="84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</row>
    <row r="452" spans="1:26" x14ac:dyDescent="0.25">
      <c r="A452" s="84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</row>
    <row r="453" spans="1:26" x14ac:dyDescent="0.25">
      <c r="A453" s="84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</row>
    <row r="454" spans="1:26" x14ac:dyDescent="0.25">
      <c r="A454" s="84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</row>
    <row r="455" spans="1:26" x14ac:dyDescent="0.25">
      <c r="A455" s="84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</row>
    <row r="456" spans="1:26" x14ac:dyDescent="0.25">
      <c r="A456" s="84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</row>
    <row r="457" spans="1:26" x14ac:dyDescent="0.25">
      <c r="A457" s="84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</row>
    <row r="458" spans="1:26" x14ac:dyDescent="0.25">
      <c r="A458" s="84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</row>
    <row r="459" spans="1:26" x14ac:dyDescent="0.25">
      <c r="A459" s="84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</row>
    <row r="460" spans="1:26" x14ac:dyDescent="0.25">
      <c r="A460" s="84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</row>
    <row r="461" spans="1:26" x14ac:dyDescent="0.25">
      <c r="A461" s="84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</row>
    <row r="462" spans="1:26" x14ac:dyDescent="0.25">
      <c r="A462" s="84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</row>
    <row r="463" spans="1:26" x14ac:dyDescent="0.25">
      <c r="A463" s="84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</row>
    <row r="464" spans="1:26" x14ac:dyDescent="0.25">
      <c r="A464" s="84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</row>
    <row r="465" spans="1:26" x14ac:dyDescent="0.25">
      <c r="A465" s="84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</row>
    <row r="466" spans="1:26" x14ac:dyDescent="0.25">
      <c r="A466" s="84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</row>
    <row r="467" spans="1:26" x14ac:dyDescent="0.25">
      <c r="A467" s="84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</row>
    <row r="468" spans="1:26" x14ac:dyDescent="0.25">
      <c r="A468" s="84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</row>
    <row r="469" spans="1:26" x14ac:dyDescent="0.25">
      <c r="A469" s="84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</row>
    <row r="470" spans="1:26" x14ac:dyDescent="0.25">
      <c r="A470" s="84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</row>
    <row r="471" spans="1:26" x14ac:dyDescent="0.25">
      <c r="A471" s="84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</row>
    <row r="472" spans="1:26" x14ac:dyDescent="0.25">
      <c r="A472" s="84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</row>
    <row r="473" spans="1:26" x14ac:dyDescent="0.25">
      <c r="A473" s="84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</row>
    <row r="474" spans="1:26" x14ac:dyDescent="0.25">
      <c r="A474" s="84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</row>
    <row r="475" spans="1:26" x14ac:dyDescent="0.25">
      <c r="A475" s="84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</row>
    <row r="476" spans="1:26" x14ac:dyDescent="0.25">
      <c r="A476" s="84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</row>
    <row r="477" spans="1:26" x14ac:dyDescent="0.25">
      <c r="A477" s="84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</row>
    <row r="478" spans="1:26" x14ac:dyDescent="0.25">
      <c r="A478" s="84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</row>
    <row r="479" spans="1:26" x14ac:dyDescent="0.25">
      <c r="A479" s="84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</row>
    <row r="480" spans="1:26" x14ac:dyDescent="0.25">
      <c r="A480" s="84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</row>
    <row r="481" spans="1:26" x14ac:dyDescent="0.25">
      <c r="A481" s="84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</row>
    <row r="482" spans="1:26" x14ac:dyDescent="0.25">
      <c r="A482" s="84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</row>
    <row r="483" spans="1:26" x14ac:dyDescent="0.25">
      <c r="A483" s="84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</row>
    <row r="484" spans="1:26" x14ac:dyDescent="0.25">
      <c r="A484" s="84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</row>
    <row r="485" spans="1:26" x14ac:dyDescent="0.25">
      <c r="A485" s="84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</row>
    <row r="486" spans="1:26" x14ac:dyDescent="0.25">
      <c r="A486" s="84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</row>
    <row r="487" spans="1:26" x14ac:dyDescent="0.25">
      <c r="A487" s="84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</row>
    <row r="488" spans="1:26" x14ac:dyDescent="0.25">
      <c r="A488" s="84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</row>
    <row r="489" spans="1:26" x14ac:dyDescent="0.25">
      <c r="A489" s="84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</row>
    <row r="490" spans="1:26" x14ac:dyDescent="0.25">
      <c r="A490" s="84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</row>
    <row r="491" spans="1:26" x14ac:dyDescent="0.25">
      <c r="A491" s="84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</row>
    <row r="492" spans="1:26" x14ac:dyDescent="0.25">
      <c r="A492" s="84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</row>
    <row r="493" spans="1:26" x14ac:dyDescent="0.25">
      <c r="A493" s="84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</row>
    <row r="494" spans="1:26" x14ac:dyDescent="0.25">
      <c r="A494" s="84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</row>
    <row r="495" spans="1:26" x14ac:dyDescent="0.25">
      <c r="A495" s="84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</row>
    <row r="496" spans="1:26" x14ac:dyDescent="0.25">
      <c r="A496" s="84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</row>
    <row r="497" spans="1:26" x14ac:dyDescent="0.25">
      <c r="A497" s="84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</row>
    <row r="498" spans="1:26" x14ac:dyDescent="0.25">
      <c r="A498" s="84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</row>
    <row r="499" spans="1:26" x14ac:dyDescent="0.25">
      <c r="A499" s="84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</row>
    <row r="500" spans="1:26" x14ac:dyDescent="0.25">
      <c r="A500" s="84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</row>
    <row r="501" spans="1:26" x14ac:dyDescent="0.25">
      <c r="A501" s="84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</row>
    <row r="502" spans="1:26" x14ac:dyDescent="0.25">
      <c r="A502" s="84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</row>
    <row r="503" spans="1:26" x14ac:dyDescent="0.25">
      <c r="A503" s="84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</row>
    <row r="504" spans="1:26" x14ac:dyDescent="0.25">
      <c r="A504" s="84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</row>
    <row r="505" spans="1:26" x14ac:dyDescent="0.25">
      <c r="A505" s="84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</row>
    <row r="506" spans="1:26" x14ac:dyDescent="0.25">
      <c r="A506" s="84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</row>
    <row r="507" spans="1:26" x14ac:dyDescent="0.25">
      <c r="A507" s="84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</row>
    <row r="508" spans="1:26" x14ac:dyDescent="0.25">
      <c r="A508" s="84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</row>
    <row r="509" spans="1:26" x14ac:dyDescent="0.25">
      <c r="A509" s="84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</row>
    <row r="510" spans="1:26" x14ac:dyDescent="0.25">
      <c r="A510" s="84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</row>
    <row r="511" spans="1:26" x14ac:dyDescent="0.25">
      <c r="A511" s="84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</row>
    <row r="512" spans="1:26" x14ac:dyDescent="0.25">
      <c r="A512" s="84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</row>
    <row r="513" spans="1:26" x14ac:dyDescent="0.25">
      <c r="A513" s="84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</row>
    <row r="514" spans="1:26" x14ac:dyDescent="0.25">
      <c r="A514" s="84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</row>
    <row r="515" spans="1:26" x14ac:dyDescent="0.25">
      <c r="A515" s="84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</row>
    <row r="516" spans="1:26" x14ac:dyDescent="0.25">
      <c r="A516" s="84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</row>
    <row r="517" spans="1:26" x14ac:dyDescent="0.25">
      <c r="A517" s="84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</row>
    <row r="518" spans="1:26" x14ac:dyDescent="0.25">
      <c r="A518" s="84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</row>
    <row r="519" spans="1:26" x14ac:dyDescent="0.25">
      <c r="A519" s="84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</row>
    <row r="520" spans="1:26" x14ac:dyDescent="0.25">
      <c r="A520" s="84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</row>
    <row r="521" spans="1:26" x14ac:dyDescent="0.25">
      <c r="A521" s="84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</row>
    <row r="522" spans="1:26" x14ac:dyDescent="0.25">
      <c r="A522" s="84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</row>
    <row r="523" spans="1:26" x14ac:dyDescent="0.25">
      <c r="A523" s="84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</row>
    <row r="524" spans="1:26" x14ac:dyDescent="0.25">
      <c r="A524" s="84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</row>
    <row r="525" spans="1:26" x14ac:dyDescent="0.25">
      <c r="A525" s="84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</row>
    <row r="526" spans="1:26" x14ac:dyDescent="0.25">
      <c r="A526" s="84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</row>
    <row r="527" spans="1:26" x14ac:dyDescent="0.25">
      <c r="A527" s="84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</row>
    <row r="528" spans="1:26" x14ac:dyDescent="0.25">
      <c r="A528" s="84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</row>
    <row r="529" spans="1:26" x14ac:dyDescent="0.25">
      <c r="A529" s="84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</row>
    <row r="530" spans="1:26" x14ac:dyDescent="0.25">
      <c r="A530" s="84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</row>
    <row r="531" spans="1:26" x14ac:dyDescent="0.25">
      <c r="A531" s="84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</row>
    <row r="532" spans="1:26" x14ac:dyDescent="0.25">
      <c r="A532" s="84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</row>
    <row r="533" spans="1:26" x14ac:dyDescent="0.25">
      <c r="A533" s="84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</row>
    <row r="534" spans="1:26" x14ac:dyDescent="0.25">
      <c r="A534" s="84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</row>
    <row r="535" spans="1:26" x14ac:dyDescent="0.25">
      <c r="A535" s="84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</row>
    <row r="536" spans="1:26" x14ac:dyDescent="0.25">
      <c r="A536" s="84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</row>
    <row r="537" spans="1:26" x14ac:dyDescent="0.25">
      <c r="A537" s="84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</row>
    <row r="538" spans="1:26" x14ac:dyDescent="0.25">
      <c r="A538" s="84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</row>
    <row r="539" spans="1:26" x14ac:dyDescent="0.25">
      <c r="A539" s="84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</row>
    <row r="540" spans="1:26" x14ac:dyDescent="0.25">
      <c r="A540" s="84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</row>
    <row r="541" spans="1:26" x14ac:dyDescent="0.25">
      <c r="A541" s="84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</row>
    <row r="542" spans="1:26" x14ac:dyDescent="0.25">
      <c r="A542" s="84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</row>
    <row r="543" spans="1:26" x14ac:dyDescent="0.25">
      <c r="A543" s="84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</row>
    <row r="544" spans="1:26" x14ac:dyDescent="0.25">
      <c r="A544" s="84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</row>
    <row r="545" spans="1:26" x14ac:dyDescent="0.25">
      <c r="A545" s="84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</row>
    <row r="546" spans="1:26" x14ac:dyDescent="0.25">
      <c r="A546" s="84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</row>
    <row r="547" spans="1:26" x14ac:dyDescent="0.25">
      <c r="A547" s="84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</row>
    <row r="548" spans="1:26" x14ac:dyDescent="0.25">
      <c r="A548" s="84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</row>
    <row r="549" spans="1:26" x14ac:dyDescent="0.25">
      <c r="A549" s="84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</row>
    <row r="550" spans="1:26" x14ac:dyDescent="0.25">
      <c r="A550" s="84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</row>
    <row r="551" spans="1:26" x14ac:dyDescent="0.25">
      <c r="A551" s="84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</row>
    <row r="552" spans="1:26" x14ac:dyDescent="0.25">
      <c r="A552" s="84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</row>
    <row r="553" spans="1:26" x14ac:dyDescent="0.25">
      <c r="A553" s="84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</row>
    <row r="554" spans="1:26" x14ac:dyDescent="0.25">
      <c r="A554" s="84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</row>
    <row r="555" spans="1:26" x14ac:dyDescent="0.25">
      <c r="A555" s="84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</row>
    <row r="556" spans="1:26" x14ac:dyDescent="0.25">
      <c r="A556" s="84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</row>
    <row r="557" spans="1:26" x14ac:dyDescent="0.25">
      <c r="A557" s="84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</row>
    <row r="558" spans="1:26" x14ac:dyDescent="0.25">
      <c r="A558" s="84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</row>
    <row r="559" spans="1:26" x14ac:dyDescent="0.25">
      <c r="A559" s="84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</row>
    <row r="560" spans="1:26" x14ac:dyDescent="0.25">
      <c r="A560" s="84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</row>
    <row r="561" spans="1:26" x14ac:dyDescent="0.25">
      <c r="A561" s="84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</row>
    <row r="562" spans="1:26" x14ac:dyDescent="0.25">
      <c r="A562" s="84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</row>
    <row r="563" spans="1:26" x14ac:dyDescent="0.25">
      <c r="A563" s="84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</row>
    <row r="564" spans="1:26" x14ac:dyDescent="0.25">
      <c r="A564" s="84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</row>
    <row r="565" spans="1:26" x14ac:dyDescent="0.25">
      <c r="A565" s="84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</row>
    <row r="566" spans="1:26" x14ac:dyDescent="0.25">
      <c r="A566" s="84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</row>
    <row r="567" spans="1:26" x14ac:dyDescent="0.25">
      <c r="A567" s="84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</row>
    <row r="568" spans="1:26" x14ac:dyDescent="0.25">
      <c r="A568" s="84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</row>
    <row r="569" spans="1:26" x14ac:dyDescent="0.25">
      <c r="A569" s="84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</row>
    <row r="570" spans="1:26" x14ac:dyDescent="0.25">
      <c r="A570" s="84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</row>
    <row r="571" spans="1:26" x14ac:dyDescent="0.25">
      <c r="A571" s="84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</row>
    <row r="572" spans="1:26" x14ac:dyDescent="0.25">
      <c r="A572" s="84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</row>
    <row r="573" spans="1:26" x14ac:dyDescent="0.25">
      <c r="A573" s="84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</row>
    <row r="574" spans="1:26" x14ac:dyDescent="0.25">
      <c r="A574" s="84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</row>
    <row r="575" spans="1:26" x14ac:dyDescent="0.25">
      <c r="A575" s="84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</row>
    <row r="576" spans="1:26" x14ac:dyDescent="0.25">
      <c r="A576" s="84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</row>
    <row r="577" spans="1:26" x14ac:dyDescent="0.25">
      <c r="A577" s="84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</row>
    <row r="578" spans="1:26" x14ac:dyDescent="0.25">
      <c r="A578" s="84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</row>
    <row r="579" spans="1:26" x14ac:dyDescent="0.25">
      <c r="A579" s="84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</row>
    <row r="580" spans="1:26" x14ac:dyDescent="0.25">
      <c r="A580" s="84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</row>
    <row r="581" spans="1:26" x14ac:dyDescent="0.25">
      <c r="A581" s="84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</row>
    <row r="582" spans="1:26" x14ac:dyDescent="0.25">
      <c r="A582" s="84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</row>
    <row r="583" spans="1:26" x14ac:dyDescent="0.25">
      <c r="A583" s="84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</row>
    <row r="584" spans="1:26" x14ac:dyDescent="0.25">
      <c r="A584" s="84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</row>
    <row r="585" spans="1:26" x14ac:dyDescent="0.25">
      <c r="A585" s="84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</row>
    <row r="586" spans="1:26" x14ac:dyDescent="0.25">
      <c r="A586" s="84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</row>
    <row r="587" spans="1:26" x14ac:dyDescent="0.25">
      <c r="A587" s="84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</row>
    <row r="588" spans="1:26" x14ac:dyDescent="0.25">
      <c r="A588" s="84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</row>
    <row r="589" spans="1:26" x14ac:dyDescent="0.25">
      <c r="A589" s="84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</row>
    <row r="590" spans="1:26" x14ac:dyDescent="0.25">
      <c r="A590" s="84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</row>
    <row r="591" spans="1:26" x14ac:dyDescent="0.25">
      <c r="A591" s="84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</row>
    <row r="592" spans="1:26" x14ac:dyDescent="0.25">
      <c r="A592" s="84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</row>
    <row r="593" spans="1:26" x14ac:dyDescent="0.25">
      <c r="A593" s="84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</row>
    <row r="594" spans="1:26" x14ac:dyDescent="0.25">
      <c r="A594" s="84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</row>
    <row r="595" spans="1:26" x14ac:dyDescent="0.25">
      <c r="A595" s="84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</row>
    <row r="596" spans="1:26" x14ac:dyDescent="0.25">
      <c r="A596" s="84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</row>
    <row r="597" spans="1:26" x14ac:dyDescent="0.25">
      <c r="A597" s="84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</row>
    <row r="598" spans="1:26" x14ac:dyDescent="0.25">
      <c r="A598" s="84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</row>
    <row r="599" spans="1:26" x14ac:dyDescent="0.25">
      <c r="A599" s="84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</row>
    <row r="600" spans="1:26" x14ac:dyDescent="0.25">
      <c r="A600" s="84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topLeftCell="A43" workbookViewId="0"/>
  </sheetViews>
  <sheetFormatPr defaultColWidth="9.140625" defaultRowHeight="15.75" x14ac:dyDescent="0.25"/>
  <cols>
    <col min="1" max="3" width="9.140625" style="83"/>
    <col min="4" max="4" width="18.28515625" style="83" customWidth="1"/>
    <col min="5" max="6" width="9.140625" style="83"/>
    <col min="7" max="7" width="18.28515625" style="83" customWidth="1"/>
    <col min="8" max="16384" width="9.140625" style="83"/>
  </cols>
  <sheetData>
    <row r="1" spans="1:26" ht="26.25" x14ac:dyDescent="0.4">
      <c r="B1" s="90" t="s">
        <v>177</v>
      </c>
      <c r="C1" s="90"/>
      <c r="D1" s="90"/>
      <c r="E1" s="90" t="s">
        <v>130</v>
      </c>
      <c r="F1" s="90"/>
      <c r="G1" s="90"/>
      <c r="H1" s="90" t="s">
        <v>174</v>
      </c>
    </row>
    <row r="3" spans="1:26" ht="20.25" x14ac:dyDescent="0.3">
      <c r="F3" s="95" t="str">
        <f>Season</f>
        <v>2022/2023</v>
      </c>
    </row>
    <row r="4" spans="1:26" x14ac:dyDescent="0.25">
      <c r="C4" s="83" t="s">
        <v>163</v>
      </c>
    </row>
    <row r="5" spans="1:26" x14ac:dyDescent="0.25">
      <c r="A5" s="84" t="s">
        <v>172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</row>
    <row r="6" spans="1:26" x14ac:dyDescent="0.2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</row>
    <row r="7" spans="1:26" ht="16.5" thickBot="1" x14ac:dyDescent="0.3">
      <c r="A7" s="84"/>
      <c r="B7" s="84" t="s">
        <v>113</v>
      </c>
      <c r="C7" s="84" t="s">
        <v>91</v>
      </c>
      <c r="D7" s="85"/>
      <c r="E7" s="85"/>
      <c r="F7" s="85"/>
      <c r="G7" s="85"/>
      <c r="H7" s="85"/>
      <c r="I7" s="85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</row>
    <row r="8" spans="1:26" x14ac:dyDescent="0.25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</row>
    <row r="9" spans="1:26" ht="16.5" thickBot="1" x14ac:dyDescent="0.3">
      <c r="A9" s="84"/>
      <c r="B9" s="84" t="s">
        <v>114</v>
      </c>
      <c r="C9" s="84" t="s">
        <v>91</v>
      </c>
      <c r="D9" s="85"/>
      <c r="E9" s="85"/>
      <c r="F9" s="85"/>
      <c r="G9" s="85"/>
      <c r="H9" s="85"/>
      <c r="I9" s="85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</row>
    <row r="10" spans="1:26" x14ac:dyDescent="0.25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 spans="1:26" ht="16.5" thickBot="1" x14ac:dyDescent="0.3">
      <c r="A11" s="84"/>
      <c r="B11" s="84" t="s">
        <v>115</v>
      </c>
      <c r="C11" s="84" t="s">
        <v>91</v>
      </c>
      <c r="D11" s="85"/>
      <c r="E11" s="85"/>
      <c r="F11" s="85"/>
      <c r="G11" s="85"/>
      <c r="H11" s="85"/>
      <c r="I11" s="85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</row>
    <row r="12" spans="1:26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1:26" ht="16.5" thickBot="1" x14ac:dyDescent="0.3">
      <c r="A13" s="84"/>
      <c r="B13" s="84" t="s">
        <v>126</v>
      </c>
      <c r="C13" s="84" t="s">
        <v>91</v>
      </c>
      <c r="D13" s="85"/>
      <c r="E13" s="85"/>
      <c r="F13" s="85"/>
      <c r="G13" s="85"/>
      <c r="H13" s="85"/>
      <c r="I13" s="85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</row>
    <row r="14" spans="1:26" x14ac:dyDescent="0.25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</row>
    <row r="15" spans="1:26" ht="16.5" thickBot="1" x14ac:dyDescent="0.3">
      <c r="A15" s="84"/>
      <c r="B15" s="84" t="s">
        <v>151</v>
      </c>
      <c r="C15" s="84" t="s">
        <v>91</v>
      </c>
      <c r="D15" s="85"/>
      <c r="E15" s="85"/>
      <c r="F15" s="85"/>
      <c r="G15" s="85"/>
      <c r="H15" s="85"/>
      <c r="I15" s="85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</row>
    <row r="16" spans="1:26" x14ac:dyDescent="0.25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</row>
    <row r="17" spans="1:26" x14ac:dyDescent="0.25">
      <c r="A17" s="84" t="s">
        <v>173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</row>
    <row r="18" spans="1:26" x14ac:dyDescent="0.25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</row>
    <row r="19" spans="1:26" ht="16.5" thickBot="1" x14ac:dyDescent="0.3">
      <c r="A19" s="84"/>
      <c r="B19" s="84" t="s">
        <v>106</v>
      </c>
      <c r="C19" s="84" t="s">
        <v>91</v>
      </c>
      <c r="D19" s="85"/>
      <c r="E19" s="85"/>
      <c r="F19" s="85"/>
      <c r="G19" s="85"/>
      <c r="H19" s="85"/>
      <c r="I19" s="85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</row>
    <row r="20" spans="1:26" x14ac:dyDescent="0.25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</row>
    <row r="21" spans="1:26" ht="16.5" thickBot="1" x14ac:dyDescent="0.3">
      <c r="A21" s="84"/>
      <c r="B21" s="84" t="s">
        <v>107</v>
      </c>
      <c r="C21" s="84" t="s">
        <v>91</v>
      </c>
      <c r="D21" s="85"/>
      <c r="E21" s="85"/>
      <c r="F21" s="85"/>
      <c r="G21" s="85"/>
      <c r="H21" s="85"/>
      <c r="I21" s="85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</row>
    <row r="22" spans="1:26" x14ac:dyDescent="0.2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</row>
    <row r="23" spans="1:26" ht="16.5" thickBot="1" x14ac:dyDescent="0.3">
      <c r="A23" s="84"/>
      <c r="B23" s="84" t="s">
        <v>108</v>
      </c>
      <c r="C23" s="84" t="s">
        <v>91</v>
      </c>
      <c r="D23" s="85"/>
      <c r="E23" s="85"/>
      <c r="F23" s="85"/>
      <c r="G23" s="85"/>
      <c r="H23" s="85"/>
      <c r="I23" s="85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</row>
    <row r="24" spans="1:26" x14ac:dyDescent="0.25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</row>
    <row r="25" spans="1:26" ht="16.5" thickBot="1" x14ac:dyDescent="0.3">
      <c r="A25" s="84"/>
      <c r="B25" s="84" t="s">
        <v>109</v>
      </c>
      <c r="C25" s="84" t="s">
        <v>91</v>
      </c>
      <c r="D25" s="85"/>
      <c r="E25" s="85"/>
      <c r="F25" s="85"/>
      <c r="G25" s="85"/>
      <c r="H25" s="85"/>
      <c r="I25" s="85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</row>
    <row r="26" spans="1:26" x14ac:dyDescent="0.2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</row>
    <row r="27" spans="1:26" ht="16.5" thickBot="1" x14ac:dyDescent="0.3">
      <c r="A27" s="84"/>
      <c r="B27" s="84" t="s">
        <v>110</v>
      </c>
      <c r="C27" s="84" t="s">
        <v>91</v>
      </c>
      <c r="D27" s="85"/>
      <c r="E27" s="85"/>
      <c r="F27" s="85"/>
      <c r="G27" s="85"/>
      <c r="H27" s="85"/>
      <c r="I27" s="85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</row>
    <row r="28" spans="1:26" x14ac:dyDescent="0.2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</row>
    <row r="29" spans="1:26" ht="16.5" thickBot="1" x14ac:dyDescent="0.3">
      <c r="A29" s="84"/>
      <c r="B29" s="84" t="s">
        <v>111</v>
      </c>
      <c r="C29" s="84" t="s">
        <v>91</v>
      </c>
      <c r="D29" s="85"/>
      <c r="E29" s="85"/>
      <c r="F29" s="85"/>
      <c r="G29" s="85"/>
      <c r="H29" s="85"/>
      <c r="I29" s="85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</row>
    <row r="30" spans="1:26" x14ac:dyDescent="0.2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</row>
    <row r="31" spans="1:26" ht="16.5" thickBot="1" x14ac:dyDescent="0.3">
      <c r="A31" s="84"/>
      <c r="B31" s="84" t="s">
        <v>112</v>
      </c>
      <c r="C31" s="84" t="s">
        <v>95</v>
      </c>
      <c r="D31" s="85"/>
      <c r="E31" s="85"/>
      <c r="F31" s="85"/>
      <c r="G31" s="85"/>
      <c r="H31" s="85"/>
      <c r="I31" s="85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</row>
    <row r="32" spans="1:26" x14ac:dyDescent="0.2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</row>
    <row r="33" spans="1:26" ht="16.5" thickBot="1" x14ac:dyDescent="0.3">
      <c r="A33" s="84"/>
      <c r="B33" s="84" t="s">
        <v>113</v>
      </c>
      <c r="C33" s="84" t="s">
        <v>91</v>
      </c>
      <c r="D33" s="85"/>
      <c r="E33" s="85"/>
      <c r="F33" s="85"/>
      <c r="G33" s="85"/>
      <c r="H33" s="85"/>
      <c r="I33" s="85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</row>
    <row r="34" spans="1:26" x14ac:dyDescent="0.25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</row>
    <row r="35" spans="1:26" ht="16.5" thickBot="1" x14ac:dyDescent="0.3">
      <c r="A35" s="84"/>
      <c r="B35" s="84" t="s">
        <v>114</v>
      </c>
      <c r="C35" s="84" t="s">
        <v>91</v>
      </c>
      <c r="D35" s="85"/>
      <c r="E35" s="85"/>
      <c r="F35" s="85"/>
      <c r="G35" s="85"/>
      <c r="H35" s="85"/>
      <c r="I35" s="85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</row>
    <row r="36" spans="1:26" x14ac:dyDescent="0.25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</row>
    <row r="37" spans="1:26" ht="16.5" thickBot="1" x14ac:dyDescent="0.3">
      <c r="A37" s="84"/>
      <c r="B37" s="84" t="s">
        <v>115</v>
      </c>
      <c r="C37" s="84" t="s">
        <v>91</v>
      </c>
      <c r="D37" s="85"/>
      <c r="E37" s="85"/>
      <c r="F37" s="85"/>
      <c r="G37" s="85"/>
      <c r="H37" s="85"/>
      <c r="I37" s="85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</row>
    <row r="38" spans="1:26" x14ac:dyDescent="0.25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</row>
    <row r="39" spans="1:26" x14ac:dyDescent="0.25">
      <c r="A39" s="84" t="s">
        <v>175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</row>
    <row r="40" spans="1:26" x14ac:dyDescent="0.2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</row>
    <row r="41" spans="1:26" ht="16.5" thickBot="1" x14ac:dyDescent="0.3">
      <c r="A41" s="84"/>
      <c r="B41" s="84" t="s">
        <v>108</v>
      </c>
      <c r="C41" s="84" t="s">
        <v>7</v>
      </c>
      <c r="D41" s="85"/>
      <c r="E41" s="85"/>
      <c r="F41" s="85"/>
      <c r="G41" s="85"/>
      <c r="H41" s="85"/>
      <c r="I41" s="85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</row>
    <row r="42" spans="1:26" x14ac:dyDescent="0.25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</row>
    <row r="43" spans="1:26" ht="16.5" thickBot="1" x14ac:dyDescent="0.3">
      <c r="A43" s="84"/>
      <c r="B43" s="84" t="s">
        <v>109</v>
      </c>
      <c r="C43" s="84" t="s">
        <v>85</v>
      </c>
      <c r="D43" s="85"/>
      <c r="E43" s="85"/>
      <c r="F43" s="85"/>
      <c r="G43" s="85"/>
      <c r="H43" s="85"/>
      <c r="I43" s="85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</row>
    <row r="44" spans="1:26" x14ac:dyDescent="0.25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</row>
    <row r="45" spans="1:26" ht="16.5" thickBot="1" x14ac:dyDescent="0.3">
      <c r="A45" s="84"/>
      <c r="B45" s="84" t="s">
        <v>110</v>
      </c>
      <c r="C45" s="84" t="s">
        <v>41</v>
      </c>
      <c r="D45" s="85"/>
      <c r="E45" s="85"/>
      <c r="F45" s="85"/>
      <c r="G45" s="85"/>
      <c r="H45" s="85"/>
      <c r="I45" s="85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</row>
    <row r="46" spans="1:26" x14ac:dyDescent="0.25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</row>
    <row r="47" spans="1:26" ht="16.5" thickBot="1" x14ac:dyDescent="0.3">
      <c r="A47" s="84"/>
      <c r="B47" s="84" t="s">
        <v>111</v>
      </c>
      <c r="C47" s="84" t="s">
        <v>41</v>
      </c>
      <c r="D47" s="85"/>
      <c r="E47" s="85"/>
      <c r="F47" s="85"/>
      <c r="G47" s="85"/>
      <c r="H47" s="85"/>
      <c r="I47" s="85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</row>
    <row r="48" spans="1:26" x14ac:dyDescent="0.25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</row>
    <row r="49" spans="1:26" ht="16.5" thickBot="1" x14ac:dyDescent="0.3">
      <c r="A49" s="84"/>
      <c r="B49" s="84" t="s">
        <v>112</v>
      </c>
      <c r="C49" s="84" t="s">
        <v>12</v>
      </c>
      <c r="D49" s="85"/>
      <c r="E49" s="85"/>
      <c r="F49" s="85"/>
      <c r="G49" s="85"/>
      <c r="H49" s="85"/>
      <c r="I49" s="85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</row>
    <row r="50" spans="1:26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</row>
    <row r="51" spans="1:26" ht="16.5" thickBot="1" x14ac:dyDescent="0.3">
      <c r="A51" s="84"/>
      <c r="B51" s="84" t="s">
        <v>113</v>
      </c>
      <c r="C51" s="84" t="s">
        <v>90</v>
      </c>
      <c r="D51" s="85"/>
      <c r="E51" s="85"/>
      <c r="F51" s="85"/>
      <c r="G51" s="85"/>
      <c r="H51" s="85"/>
      <c r="I51" s="85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</row>
    <row r="52" spans="1:26" x14ac:dyDescent="0.25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</row>
    <row r="53" spans="1:26" ht="16.5" thickBot="1" x14ac:dyDescent="0.3">
      <c r="A53" s="84"/>
      <c r="B53" s="84" t="s">
        <v>114</v>
      </c>
      <c r="C53" s="84" t="s">
        <v>44</v>
      </c>
      <c r="D53" s="85"/>
      <c r="E53" s="85"/>
      <c r="F53" s="85"/>
      <c r="G53" s="85"/>
      <c r="H53" s="85"/>
      <c r="I53" s="85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</row>
    <row r="54" spans="1:26" x14ac:dyDescent="0.25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</row>
    <row r="55" spans="1:26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</row>
    <row r="56" spans="1:26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</row>
    <row r="57" spans="1:26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</row>
    <row r="58" spans="1:26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</row>
    <row r="59" spans="1:26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</row>
    <row r="60" spans="1:26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</row>
    <row r="61" spans="1:26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</row>
    <row r="62" spans="1:26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</row>
    <row r="63" spans="1:26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</row>
    <row r="64" spans="1:26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</row>
    <row r="65" spans="1:26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</row>
    <row r="66" spans="1:26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</row>
    <row r="67" spans="1:26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</row>
    <row r="68" spans="1:26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</row>
    <row r="69" spans="1:26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</row>
    <row r="70" spans="1:26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</row>
    <row r="71" spans="1:26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</row>
    <row r="72" spans="1:26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</row>
    <row r="73" spans="1:26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</row>
    <row r="74" spans="1:26" x14ac:dyDescent="0.25">
      <c r="A74" s="84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</row>
    <row r="75" spans="1:26" x14ac:dyDescent="0.25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</row>
    <row r="76" spans="1:26" x14ac:dyDescent="0.25">
      <c r="A76" s="84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</row>
    <row r="77" spans="1:26" x14ac:dyDescent="0.25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</row>
    <row r="78" spans="1:26" x14ac:dyDescent="0.25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</row>
    <row r="79" spans="1:26" x14ac:dyDescent="0.25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</row>
    <row r="80" spans="1:26" x14ac:dyDescent="0.25">
      <c r="A80" s="84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</row>
    <row r="81" spans="1:26" x14ac:dyDescent="0.25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</row>
    <row r="82" spans="1:26" x14ac:dyDescent="0.25">
      <c r="A82" s="84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</row>
    <row r="83" spans="1:26" x14ac:dyDescent="0.25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</row>
    <row r="84" spans="1:26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</row>
    <row r="85" spans="1:26" x14ac:dyDescent="0.25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</row>
    <row r="86" spans="1:26" x14ac:dyDescent="0.25">
      <c r="A86" s="84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</row>
    <row r="87" spans="1:26" x14ac:dyDescent="0.25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</row>
    <row r="88" spans="1:26" x14ac:dyDescent="0.25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</row>
    <row r="89" spans="1:26" x14ac:dyDescent="0.25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</row>
    <row r="90" spans="1:26" x14ac:dyDescent="0.25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</row>
    <row r="91" spans="1:26" x14ac:dyDescent="0.25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</row>
    <row r="92" spans="1:26" x14ac:dyDescent="0.25">
      <c r="A92" s="84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</row>
    <row r="93" spans="1:26" x14ac:dyDescent="0.25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</row>
    <row r="94" spans="1:26" x14ac:dyDescent="0.25">
      <c r="A94" s="84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</row>
    <row r="95" spans="1:26" x14ac:dyDescent="0.25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</row>
    <row r="96" spans="1:26" x14ac:dyDescent="0.25">
      <c r="A96" s="84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</row>
    <row r="97" spans="1:26" x14ac:dyDescent="0.25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</row>
    <row r="98" spans="1:26" x14ac:dyDescent="0.25">
      <c r="A98" s="84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</row>
    <row r="99" spans="1:26" x14ac:dyDescent="0.25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</row>
    <row r="100" spans="1:26" x14ac:dyDescent="0.25">
      <c r="A100" s="84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</row>
    <row r="101" spans="1:26" x14ac:dyDescent="0.25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</row>
    <row r="102" spans="1:26" x14ac:dyDescent="0.25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</row>
    <row r="103" spans="1:26" x14ac:dyDescent="0.25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</row>
    <row r="104" spans="1:26" x14ac:dyDescent="0.25">
      <c r="A104" s="84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</row>
    <row r="105" spans="1:26" x14ac:dyDescent="0.25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</row>
    <row r="106" spans="1:26" x14ac:dyDescent="0.25">
      <c r="A106" s="84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</row>
    <row r="107" spans="1:26" x14ac:dyDescent="0.25">
      <c r="A107" s="84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</row>
    <row r="108" spans="1:26" x14ac:dyDescent="0.25">
      <c r="A108" s="84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</row>
    <row r="109" spans="1:26" x14ac:dyDescent="0.25">
      <c r="A109" s="84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</row>
    <row r="110" spans="1:26" x14ac:dyDescent="0.25">
      <c r="A110" s="84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</row>
    <row r="111" spans="1:26" x14ac:dyDescent="0.25">
      <c r="A111" s="84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</row>
    <row r="112" spans="1:26" x14ac:dyDescent="0.25">
      <c r="A112" s="84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</row>
    <row r="113" spans="1:26" x14ac:dyDescent="0.25">
      <c r="A113" s="84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</row>
    <row r="114" spans="1:26" x14ac:dyDescent="0.25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</row>
    <row r="115" spans="1:26" x14ac:dyDescent="0.25">
      <c r="A115" s="84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</row>
    <row r="116" spans="1:26" x14ac:dyDescent="0.2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</row>
    <row r="117" spans="1:26" x14ac:dyDescent="0.2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</row>
    <row r="118" spans="1:26" x14ac:dyDescent="0.2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</row>
    <row r="119" spans="1:26" x14ac:dyDescent="0.2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</row>
    <row r="120" spans="1:26" x14ac:dyDescent="0.2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</row>
    <row r="121" spans="1:26" x14ac:dyDescent="0.2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</row>
    <row r="122" spans="1:26" x14ac:dyDescent="0.2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</row>
    <row r="123" spans="1:26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</row>
    <row r="124" spans="1:26" x14ac:dyDescent="0.2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</row>
    <row r="125" spans="1:26" x14ac:dyDescent="0.2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</row>
    <row r="126" spans="1:26" x14ac:dyDescent="0.2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</row>
    <row r="127" spans="1:26" x14ac:dyDescent="0.2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</row>
    <row r="128" spans="1:26" x14ac:dyDescent="0.2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</row>
    <row r="129" spans="1:26" x14ac:dyDescent="0.2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</row>
    <row r="130" spans="1:26" x14ac:dyDescent="0.2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</row>
    <row r="131" spans="1:26" x14ac:dyDescent="0.2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</row>
    <row r="132" spans="1:26" x14ac:dyDescent="0.2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</row>
    <row r="133" spans="1:26" x14ac:dyDescent="0.2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</row>
    <row r="134" spans="1:26" x14ac:dyDescent="0.2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</row>
    <row r="135" spans="1:26" x14ac:dyDescent="0.2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</row>
    <row r="136" spans="1:26" x14ac:dyDescent="0.2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</row>
    <row r="137" spans="1:26" x14ac:dyDescent="0.2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</row>
    <row r="138" spans="1:26" x14ac:dyDescent="0.2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</row>
    <row r="139" spans="1:26" x14ac:dyDescent="0.2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</row>
    <row r="140" spans="1:26" x14ac:dyDescent="0.2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</row>
    <row r="141" spans="1:26" x14ac:dyDescent="0.2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</row>
    <row r="142" spans="1:26" x14ac:dyDescent="0.2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</row>
    <row r="143" spans="1:26" x14ac:dyDescent="0.2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</row>
    <row r="144" spans="1:26" x14ac:dyDescent="0.2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</row>
    <row r="145" spans="1:26" x14ac:dyDescent="0.2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</row>
    <row r="146" spans="1:26" x14ac:dyDescent="0.2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</row>
    <row r="147" spans="1:26" x14ac:dyDescent="0.2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</row>
    <row r="148" spans="1:26" x14ac:dyDescent="0.25">
      <c r="A148" s="84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</row>
    <row r="149" spans="1:26" x14ac:dyDescent="0.25">
      <c r="A149" s="84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</row>
    <row r="150" spans="1:26" x14ac:dyDescent="0.25">
      <c r="A150" s="84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</row>
    <row r="151" spans="1:26" x14ac:dyDescent="0.25">
      <c r="A151" s="84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</row>
    <row r="152" spans="1:26" x14ac:dyDescent="0.25">
      <c r="A152" s="84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</row>
    <row r="153" spans="1:26" x14ac:dyDescent="0.25">
      <c r="A153" s="84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</row>
    <row r="154" spans="1:26" x14ac:dyDescent="0.25">
      <c r="A154" s="84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</row>
    <row r="155" spans="1:26" x14ac:dyDescent="0.25">
      <c r="A155" s="84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</row>
    <row r="156" spans="1:26" x14ac:dyDescent="0.25">
      <c r="A156" s="84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</row>
    <row r="157" spans="1:26" x14ac:dyDescent="0.25">
      <c r="A157" s="84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</row>
    <row r="158" spans="1:26" x14ac:dyDescent="0.25">
      <c r="A158" s="84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</row>
    <row r="159" spans="1:26" x14ac:dyDescent="0.25">
      <c r="A159" s="84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</row>
    <row r="160" spans="1:26" x14ac:dyDescent="0.25">
      <c r="A160" s="84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</row>
    <row r="161" spans="1:26" x14ac:dyDescent="0.25">
      <c r="A161" s="84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</row>
    <row r="162" spans="1:26" x14ac:dyDescent="0.25">
      <c r="A162" s="84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</row>
    <row r="163" spans="1:26" x14ac:dyDescent="0.25">
      <c r="A163" s="84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</row>
    <row r="164" spans="1:26" x14ac:dyDescent="0.25">
      <c r="A164" s="84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</row>
    <row r="165" spans="1:26" x14ac:dyDescent="0.25">
      <c r="A165" s="84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</row>
    <row r="166" spans="1:26" x14ac:dyDescent="0.25">
      <c r="A166" s="84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</row>
    <row r="167" spans="1:26" x14ac:dyDescent="0.25">
      <c r="A167" s="84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</row>
    <row r="168" spans="1:26" x14ac:dyDescent="0.25">
      <c r="A168" s="84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</row>
    <row r="169" spans="1:26" x14ac:dyDescent="0.25">
      <c r="A169" s="84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</row>
    <row r="170" spans="1:26" x14ac:dyDescent="0.25">
      <c r="A170" s="84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</row>
    <row r="171" spans="1:26" x14ac:dyDescent="0.25">
      <c r="A171" s="84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</row>
    <row r="172" spans="1:26" x14ac:dyDescent="0.25">
      <c r="A172" s="84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</row>
    <row r="173" spans="1:26" x14ac:dyDescent="0.25">
      <c r="A173" s="84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</row>
    <row r="174" spans="1:26" x14ac:dyDescent="0.25">
      <c r="A174" s="84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</row>
    <row r="175" spans="1:26" x14ac:dyDescent="0.25">
      <c r="A175" s="84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</row>
    <row r="176" spans="1:26" x14ac:dyDescent="0.25">
      <c r="A176" s="84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</row>
    <row r="177" spans="1:26" x14ac:dyDescent="0.25">
      <c r="A177" s="84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</row>
    <row r="178" spans="1:26" x14ac:dyDescent="0.25">
      <c r="A178" s="84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</row>
    <row r="179" spans="1:26" x14ac:dyDescent="0.25">
      <c r="A179" s="84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</row>
    <row r="180" spans="1:26" x14ac:dyDescent="0.25">
      <c r="A180" s="84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</row>
    <row r="181" spans="1:26" x14ac:dyDescent="0.25">
      <c r="A181" s="84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</row>
    <row r="182" spans="1:26" x14ac:dyDescent="0.25">
      <c r="A182" s="84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</row>
    <row r="183" spans="1:26" x14ac:dyDescent="0.25">
      <c r="A183" s="84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</row>
    <row r="184" spans="1:26" x14ac:dyDescent="0.25">
      <c r="A184" s="84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</row>
    <row r="185" spans="1:26" x14ac:dyDescent="0.25">
      <c r="A185" s="84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</row>
    <row r="186" spans="1:26" x14ac:dyDescent="0.25">
      <c r="A186" s="84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</row>
    <row r="187" spans="1:26" x14ac:dyDescent="0.25">
      <c r="A187" s="84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</row>
    <row r="188" spans="1:26" x14ac:dyDescent="0.25">
      <c r="A188" s="84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</row>
    <row r="189" spans="1:26" x14ac:dyDescent="0.25">
      <c r="A189" s="84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</row>
    <row r="190" spans="1:26" x14ac:dyDescent="0.25">
      <c r="A190" s="84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</row>
    <row r="191" spans="1:26" x14ac:dyDescent="0.25">
      <c r="A191" s="84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</row>
    <row r="192" spans="1:26" x14ac:dyDescent="0.25">
      <c r="A192" s="84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</row>
    <row r="193" spans="1:26" x14ac:dyDescent="0.25">
      <c r="A193" s="84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</row>
    <row r="194" spans="1:26" x14ac:dyDescent="0.25">
      <c r="A194" s="84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</row>
    <row r="195" spans="1:26" x14ac:dyDescent="0.25">
      <c r="A195" s="84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</row>
    <row r="196" spans="1:26" x14ac:dyDescent="0.25">
      <c r="A196" s="84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</row>
    <row r="197" spans="1:26" x14ac:dyDescent="0.25">
      <c r="A197" s="84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</row>
    <row r="198" spans="1:26" x14ac:dyDescent="0.25">
      <c r="A198" s="84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</row>
    <row r="199" spans="1:26" x14ac:dyDescent="0.25">
      <c r="A199" s="84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</row>
    <row r="200" spans="1:26" x14ac:dyDescent="0.25">
      <c r="A200" s="84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</row>
    <row r="201" spans="1:26" x14ac:dyDescent="0.25">
      <c r="A201" s="84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</row>
    <row r="202" spans="1:26" x14ac:dyDescent="0.25">
      <c r="A202" s="84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</row>
    <row r="203" spans="1:26" x14ac:dyDescent="0.25">
      <c r="A203" s="84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</row>
    <row r="204" spans="1:26" x14ac:dyDescent="0.25">
      <c r="A204" s="84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</row>
    <row r="205" spans="1:26" x14ac:dyDescent="0.25">
      <c r="A205" s="84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</row>
    <row r="206" spans="1:26" x14ac:dyDescent="0.25">
      <c r="A206" s="84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</row>
    <row r="207" spans="1:26" x14ac:dyDescent="0.25">
      <c r="A207" s="84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</row>
    <row r="208" spans="1:26" x14ac:dyDescent="0.25">
      <c r="A208" s="84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</row>
    <row r="209" spans="1:26" x14ac:dyDescent="0.25">
      <c r="A209" s="84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</row>
    <row r="210" spans="1:26" x14ac:dyDescent="0.25">
      <c r="A210" s="84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</row>
    <row r="211" spans="1:26" x14ac:dyDescent="0.25">
      <c r="A211" s="84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</row>
    <row r="212" spans="1:26" x14ac:dyDescent="0.25">
      <c r="A212" s="84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</row>
    <row r="213" spans="1:26" x14ac:dyDescent="0.25">
      <c r="A213" s="84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</row>
    <row r="214" spans="1:26" x14ac:dyDescent="0.25">
      <c r="A214" s="84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</row>
    <row r="215" spans="1:26" x14ac:dyDescent="0.25">
      <c r="A215" s="84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</row>
    <row r="216" spans="1:26" x14ac:dyDescent="0.25">
      <c r="A216" s="84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</row>
    <row r="217" spans="1:26" x14ac:dyDescent="0.25">
      <c r="A217" s="84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</row>
    <row r="218" spans="1:26" x14ac:dyDescent="0.25">
      <c r="A218" s="84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</row>
    <row r="219" spans="1:26" x14ac:dyDescent="0.25">
      <c r="A219" s="84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</row>
    <row r="220" spans="1:26" x14ac:dyDescent="0.25">
      <c r="A220" s="84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</row>
    <row r="221" spans="1:26" x14ac:dyDescent="0.25">
      <c r="A221" s="84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</row>
    <row r="222" spans="1:26" x14ac:dyDescent="0.25">
      <c r="A222" s="84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</row>
    <row r="223" spans="1:26" x14ac:dyDescent="0.25">
      <c r="A223" s="84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</row>
    <row r="224" spans="1:26" x14ac:dyDescent="0.25">
      <c r="A224" s="84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</row>
    <row r="225" spans="1:26" x14ac:dyDescent="0.25">
      <c r="A225" s="84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</row>
    <row r="226" spans="1:26" x14ac:dyDescent="0.25">
      <c r="A226" s="84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</row>
    <row r="227" spans="1:26" x14ac:dyDescent="0.25">
      <c r="A227" s="84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</row>
    <row r="228" spans="1:26" x14ac:dyDescent="0.25">
      <c r="A228" s="84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</row>
    <row r="229" spans="1:26" x14ac:dyDescent="0.25">
      <c r="A229" s="84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</row>
    <row r="230" spans="1:26" x14ac:dyDescent="0.25">
      <c r="A230" s="84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</row>
    <row r="231" spans="1:26" x14ac:dyDescent="0.25">
      <c r="A231" s="84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</row>
    <row r="232" spans="1:26" x14ac:dyDescent="0.25">
      <c r="A232" s="84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</row>
    <row r="233" spans="1:26" x14ac:dyDescent="0.25">
      <c r="A233" s="84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</row>
    <row r="234" spans="1:26" x14ac:dyDescent="0.25">
      <c r="A234" s="84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</row>
    <row r="235" spans="1:26" x14ac:dyDescent="0.25">
      <c r="A235" s="84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</row>
    <row r="236" spans="1:26" x14ac:dyDescent="0.25">
      <c r="A236" s="84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</row>
    <row r="237" spans="1:26" x14ac:dyDescent="0.25">
      <c r="A237" s="84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</row>
    <row r="238" spans="1:26" x14ac:dyDescent="0.25">
      <c r="A238" s="84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</row>
    <row r="239" spans="1:26" x14ac:dyDescent="0.25">
      <c r="A239" s="84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</row>
    <row r="240" spans="1:26" x14ac:dyDescent="0.25">
      <c r="A240" s="84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</row>
    <row r="241" spans="1:26" x14ac:dyDescent="0.25">
      <c r="A241" s="84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</row>
    <row r="242" spans="1:26" x14ac:dyDescent="0.25">
      <c r="A242" s="84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</row>
    <row r="243" spans="1:26" x14ac:dyDescent="0.25">
      <c r="A243" s="84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</row>
    <row r="244" spans="1:26" x14ac:dyDescent="0.25">
      <c r="A244" s="84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</row>
    <row r="245" spans="1:26" x14ac:dyDescent="0.25">
      <c r="A245" s="84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</row>
    <row r="246" spans="1:26" x14ac:dyDescent="0.25">
      <c r="A246" s="84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</row>
    <row r="247" spans="1:26" x14ac:dyDescent="0.25">
      <c r="A247" s="84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</row>
    <row r="248" spans="1:26" x14ac:dyDescent="0.25">
      <c r="A248" s="84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</row>
    <row r="249" spans="1:26" x14ac:dyDescent="0.25">
      <c r="A249" s="84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</row>
    <row r="250" spans="1:26" x14ac:dyDescent="0.25">
      <c r="A250" s="84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</row>
    <row r="251" spans="1:26" x14ac:dyDescent="0.25">
      <c r="A251" s="84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</row>
    <row r="252" spans="1:26" x14ac:dyDescent="0.25">
      <c r="A252" s="84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</row>
    <row r="253" spans="1:26" x14ac:dyDescent="0.25">
      <c r="A253" s="84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</row>
    <row r="254" spans="1:26" x14ac:dyDescent="0.25">
      <c r="A254" s="84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</row>
    <row r="255" spans="1:26" x14ac:dyDescent="0.25">
      <c r="A255" s="84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</row>
    <row r="256" spans="1:26" x14ac:dyDescent="0.25">
      <c r="A256" s="84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</row>
    <row r="257" spans="1:26" x14ac:dyDescent="0.25">
      <c r="A257" s="84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</row>
    <row r="258" spans="1:26" x14ac:dyDescent="0.25">
      <c r="A258" s="84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</row>
    <row r="259" spans="1:26" x14ac:dyDescent="0.25">
      <c r="A259" s="84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</row>
    <row r="260" spans="1:26" x14ac:dyDescent="0.25">
      <c r="A260" s="84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</row>
    <row r="261" spans="1:26" x14ac:dyDescent="0.25">
      <c r="A261" s="84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</row>
    <row r="262" spans="1:26" x14ac:dyDescent="0.25">
      <c r="A262" s="84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</row>
    <row r="263" spans="1:26" x14ac:dyDescent="0.25">
      <c r="A263" s="84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</row>
    <row r="264" spans="1:26" x14ac:dyDescent="0.25">
      <c r="A264" s="84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</row>
    <row r="265" spans="1:26" x14ac:dyDescent="0.25">
      <c r="A265" s="84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</row>
    <row r="266" spans="1:26" x14ac:dyDescent="0.25">
      <c r="A266" s="84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</row>
    <row r="267" spans="1:26" x14ac:dyDescent="0.25">
      <c r="A267" s="84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</row>
    <row r="268" spans="1:26" x14ac:dyDescent="0.25">
      <c r="A268" s="84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</row>
    <row r="269" spans="1:26" x14ac:dyDescent="0.25">
      <c r="A269" s="84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</row>
    <row r="270" spans="1:26" x14ac:dyDescent="0.25">
      <c r="A270" s="84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</row>
    <row r="271" spans="1:26" x14ac:dyDescent="0.25">
      <c r="A271" s="84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</row>
    <row r="272" spans="1:26" x14ac:dyDescent="0.25">
      <c r="A272" s="84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</row>
    <row r="273" spans="1:26" x14ac:dyDescent="0.25">
      <c r="A273" s="84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</row>
    <row r="274" spans="1:26" x14ac:dyDescent="0.25">
      <c r="A274" s="84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</row>
    <row r="275" spans="1:26" x14ac:dyDescent="0.25">
      <c r="A275" s="84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</row>
    <row r="276" spans="1:26" x14ac:dyDescent="0.25">
      <c r="A276" s="84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</row>
    <row r="277" spans="1:26" x14ac:dyDescent="0.25">
      <c r="A277" s="84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</row>
    <row r="278" spans="1:26" x14ac:dyDescent="0.25">
      <c r="A278" s="84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</row>
    <row r="279" spans="1:26" x14ac:dyDescent="0.25">
      <c r="A279" s="84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</row>
    <row r="280" spans="1:26" x14ac:dyDescent="0.25">
      <c r="A280" s="84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</row>
    <row r="281" spans="1:26" x14ac:dyDescent="0.25">
      <c r="A281" s="84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</row>
    <row r="282" spans="1:26" x14ac:dyDescent="0.25">
      <c r="A282" s="84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</row>
    <row r="283" spans="1:26" x14ac:dyDescent="0.25">
      <c r="A283" s="84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</row>
    <row r="284" spans="1:26" x14ac:dyDescent="0.25">
      <c r="A284" s="84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</row>
    <row r="285" spans="1:26" x14ac:dyDescent="0.25">
      <c r="A285" s="84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</row>
    <row r="286" spans="1:26" x14ac:dyDescent="0.25">
      <c r="A286" s="84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</row>
    <row r="287" spans="1:26" x14ac:dyDescent="0.25">
      <c r="A287" s="84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</row>
    <row r="288" spans="1:26" x14ac:dyDescent="0.25">
      <c r="A288" s="84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</row>
    <row r="289" spans="1:26" x14ac:dyDescent="0.25">
      <c r="A289" s="84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</row>
    <row r="290" spans="1:26" x14ac:dyDescent="0.25">
      <c r="A290" s="84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</row>
    <row r="291" spans="1:26" x14ac:dyDescent="0.25">
      <c r="A291" s="84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</row>
    <row r="292" spans="1:26" x14ac:dyDescent="0.25">
      <c r="A292" s="84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</row>
    <row r="293" spans="1:26" x14ac:dyDescent="0.25">
      <c r="A293" s="84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</row>
    <row r="294" spans="1:26" x14ac:dyDescent="0.25">
      <c r="A294" s="84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</row>
    <row r="295" spans="1:26" x14ac:dyDescent="0.25">
      <c r="A295" s="84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</row>
    <row r="296" spans="1:26" x14ac:dyDescent="0.25">
      <c r="A296" s="84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</row>
    <row r="297" spans="1:26" x14ac:dyDescent="0.25">
      <c r="A297" s="84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</row>
    <row r="298" spans="1:26" x14ac:dyDescent="0.25">
      <c r="A298" s="84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</row>
    <row r="299" spans="1:26" x14ac:dyDescent="0.25">
      <c r="A299" s="84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</row>
    <row r="300" spans="1:26" x14ac:dyDescent="0.25">
      <c r="A300" s="84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</row>
    <row r="301" spans="1:26" x14ac:dyDescent="0.25">
      <c r="A301" s="84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</row>
    <row r="302" spans="1:26" x14ac:dyDescent="0.25">
      <c r="A302" s="84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</row>
    <row r="303" spans="1:26" x14ac:dyDescent="0.25">
      <c r="A303" s="84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</row>
    <row r="304" spans="1:26" x14ac:dyDescent="0.25">
      <c r="A304" s="84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</row>
    <row r="305" spans="1:26" x14ac:dyDescent="0.25">
      <c r="A305" s="84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</row>
    <row r="306" spans="1:26" x14ac:dyDescent="0.25">
      <c r="A306" s="84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</row>
    <row r="307" spans="1:26" x14ac:dyDescent="0.25">
      <c r="A307" s="84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</row>
    <row r="308" spans="1:26" x14ac:dyDescent="0.25">
      <c r="A308" s="84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</row>
    <row r="309" spans="1:26" x14ac:dyDescent="0.25">
      <c r="A309" s="84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</row>
    <row r="310" spans="1:26" x14ac:dyDescent="0.25">
      <c r="A310" s="84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</row>
    <row r="311" spans="1:26" x14ac:dyDescent="0.25">
      <c r="A311" s="84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</row>
    <row r="312" spans="1:26" x14ac:dyDescent="0.25">
      <c r="A312" s="84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</row>
    <row r="313" spans="1:26" x14ac:dyDescent="0.25">
      <c r="A313" s="84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</row>
    <row r="314" spans="1:26" x14ac:dyDescent="0.25">
      <c r="A314" s="84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</row>
    <row r="315" spans="1:26" x14ac:dyDescent="0.25">
      <c r="A315" s="84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</row>
    <row r="316" spans="1:26" x14ac:dyDescent="0.25">
      <c r="A316" s="84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</row>
    <row r="317" spans="1:26" x14ac:dyDescent="0.25">
      <c r="A317" s="84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</row>
    <row r="318" spans="1:26" x14ac:dyDescent="0.25">
      <c r="A318" s="84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</row>
    <row r="319" spans="1:26" x14ac:dyDescent="0.25">
      <c r="A319" s="84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</row>
    <row r="320" spans="1:26" x14ac:dyDescent="0.25">
      <c r="A320" s="84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</row>
    <row r="321" spans="1:26" x14ac:dyDescent="0.25">
      <c r="A321" s="84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</row>
    <row r="322" spans="1:26" x14ac:dyDescent="0.25">
      <c r="A322" s="84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</row>
    <row r="323" spans="1:26" x14ac:dyDescent="0.25">
      <c r="A323" s="84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</row>
    <row r="324" spans="1:26" x14ac:dyDescent="0.25">
      <c r="A324" s="84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</row>
    <row r="325" spans="1:26" x14ac:dyDescent="0.25">
      <c r="A325" s="84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</row>
    <row r="326" spans="1:26" x14ac:dyDescent="0.25">
      <c r="A326" s="84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</row>
    <row r="327" spans="1:26" x14ac:dyDescent="0.25">
      <c r="A327" s="84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</row>
    <row r="328" spans="1:26" x14ac:dyDescent="0.25">
      <c r="A328" s="84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</row>
    <row r="329" spans="1:26" x14ac:dyDescent="0.25">
      <c r="A329" s="84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</row>
    <row r="330" spans="1:26" x14ac:dyDescent="0.25">
      <c r="A330" s="84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</row>
    <row r="331" spans="1:26" x14ac:dyDescent="0.25">
      <c r="A331" s="84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</row>
    <row r="332" spans="1:26" x14ac:dyDescent="0.25">
      <c r="A332" s="84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</row>
    <row r="333" spans="1:26" x14ac:dyDescent="0.25">
      <c r="A333" s="84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</row>
    <row r="334" spans="1:26" x14ac:dyDescent="0.25">
      <c r="A334" s="84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</row>
    <row r="335" spans="1:26" x14ac:dyDescent="0.25">
      <c r="A335" s="84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</row>
    <row r="336" spans="1:26" x14ac:dyDescent="0.25">
      <c r="A336" s="84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</row>
    <row r="337" spans="1:26" x14ac:dyDescent="0.25">
      <c r="A337" s="84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</row>
    <row r="338" spans="1:26" x14ac:dyDescent="0.25">
      <c r="A338" s="84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</row>
    <row r="339" spans="1:26" x14ac:dyDescent="0.25">
      <c r="A339" s="84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</row>
    <row r="340" spans="1:26" x14ac:dyDescent="0.25">
      <c r="A340" s="84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</row>
    <row r="341" spans="1:26" x14ac:dyDescent="0.25">
      <c r="A341" s="84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</row>
    <row r="342" spans="1:26" x14ac:dyDescent="0.25">
      <c r="A342" s="84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</row>
    <row r="343" spans="1:26" x14ac:dyDescent="0.25">
      <c r="A343" s="84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</row>
    <row r="344" spans="1:26" x14ac:dyDescent="0.25">
      <c r="A344" s="84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</row>
    <row r="345" spans="1:26" x14ac:dyDescent="0.25">
      <c r="A345" s="84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</row>
    <row r="346" spans="1:26" x14ac:dyDescent="0.25">
      <c r="A346" s="84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</row>
    <row r="347" spans="1:26" x14ac:dyDescent="0.25">
      <c r="A347" s="84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</row>
    <row r="348" spans="1:26" x14ac:dyDescent="0.25">
      <c r="A348" s="84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</row>
    <row r="349" spans="1:26" x14ac:dyDescent="0.25">
      <c r="A349" s="84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</row>
    <row r="350" spans="1:26" x14ac:dyDescent="0.25">
      <c r="A350" s="84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</row>
    <row r="351" spans="1:26" x14ac:dyDescent="0.25">
      <c r="A351" s="84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</row>
    <row r="352" spans="1:26" x14ac:dyDescent="0.25">
      <c r="A352" s="84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</row>
    <row r="353" spans="1:26" x14ac:dyDescent="0.25">
      <c r="A353" s="84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</row>
    <row r="354" spans="1:26" x14ac:dyDescent="0.25">
      <c r="A354" s="84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</row>
    <row r="355" spans="1:26" x14ac:dyDescent="0.25">
      <c r="A355" s="84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</row>
    <row r="356" spans="1:26" x14ac:dyDescent="0.25">
      <c r="A356" s="84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</row>
    <row r="357" spans="1:26" x14ac:dyDescent="0.25">
      <c r="A357" s="84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</row>
    <row r="358" spans="1:26" x14ac:dyDescent="0.25">
      <c r="A358" s="84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</row>
    <row r="359" spans="1:26" x14ac:dyDescent="0.25">
      <c r="A359" s="84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</row>
    <row r="360" spans="1:26" x14ac:dyDescent="0.25">
      <c r="A360" s="84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</row>
    <row r="361" spans="1:26" x14ac:dyDescent="0.25">
      <c r="A361" s="84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</row>
    <row r="362" spans="1:26" x14ac:dyDescent="0.25">
      <c r="A362" s="84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</row>
    <row r="363" spans="1:26" x14ac:dyDescent="0.25">
      <c r="A363" s="84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</row>
    <row r="364" spans="1:26" x14ac:dyDescent="0.25">
      <c r="A364" s="84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</row>
    <row r="365" spans="1:26" x14ac:dyDescent="0.25">
      <c r="A365" s="84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</row>
    <row r="366" spans="1:26" x14ac:dyDescent="0.25">
      <c r="A366" s="84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</row>
    <row r="367" spans="1:26" x14ac:dyDescent="0.25">
      <c r="A367" s="84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</row>
    <row r="368" spans="1:26" x14ac:dyDescent="0.25">
      <c r="A368" s="84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</row>
    <row r="369" spans="1:26" x14ac:dyDescent="0.25">
      <c r="A369" s="84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</row>
    <row r="370" spans="1:26" x14ac:dyDescent="0.25">
      <c r="A370" s="84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</row>
    <row r="371" spans="1:26" x14ac:dyDescent="0.25">
      <c r="A371" s="84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</row>
    <row r="372" spans="1:26" x14ac:dyDescent="0.25">
      <c r="A372" s="84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</row>
    <row r="373" spans="1:26" x14ac:dyDescent="0.25">
      <c r="A373" s="84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</row>
    <row r="374" spans="1:26" x14ac:dyDescent="0.25">
      <c r="A374" s="84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</row>
    <row r="375" spans="1:26" x14ac:dyDescent="0.25">
      <c r="A375" s="84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</row>
    <row r="376" spans="1:26" x14ac:dyDescent="0.25">
      <c r="A376" s="84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</row>
    <row r="377" spans="1:26" x14ac:dyDescent="0.25">
      <c r="A377" s="84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</row>
    <row r="378" spans="1:26" x14ac:dyDescent="0.25">
      <c r="A378" s="84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</row>
    <row r="379" spans="1:26" x14ac:dyDescent="0.25">
      <c r="A379" s="84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</row>
    <row r="380" spans="1:26" x14ac:dyDescent="0.25">
      <c r="A380" s="84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</row>
    <row r="381" spans="1:26" x14ac:dyDescent="0.25">
      <c r="A381" s="84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</row>
    <row r="382" spans="1:26" x14ac:dyDescent="0.25">
      <c r="A382" s="84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</row>
    <row r="383" spans="1:26" x14ac:dyDescent="0.25">
      <c r="A383" s="84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</row>
    <row r="384" spans="1:26" x14ac:dyDescent="0.25">
      <c r="A384" s="84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</row>
    <row r="385" spans="1:26" x14ac:dyDescent="0.25">
      <c r="A385" s="84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</row>
    <row r="386" spans="1:26" x14ac:dyDescent="0.25">
      <c r="A386" s="84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</row>
    <row r="387" spans="1:26" x14ac:dyDescent="0.25">
      <c r="A387" s="84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</row>
    <row r="388" spans="1:26" x14ac:dyDescent="0.25">
      <c r="A388" s="84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</row>
    <row r="389" spans="1:26" x14ac:dyDescent="0.25">
      <c r="A389" s="84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</row>
    <row r="390" spans="1:26" x14ac:dyDescent="0.25">
      <c r="A390" s="84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</row>
    <row r="391" spans="1:26" x14ac:dyDescent="0.25">
      <c r="A391" s="84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</row>
    <row r="392" spans="1:26" x14ac:dyDescent="0.25">
      <c r="A392" s="84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</row>
    <row r="393" spans="1:26" x14ac:dyDescent="0.25">
      <c r="A393" s="84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</row>
    <row r="394" spans="1:26" x14ac:dyDescent="0.25">
      <c r="A394" s="84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</row>
    <row r="395" spans="1:26" x14ac:dyDescent="0.25">
      <c r="A395" s="84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</row>
    <row r="396" spans="1:26" x14ac:dyDescent="0.25">
      <c r="A396" s="84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</row>
    <row r="397" spans="1:26" x14ac:dyDescent="0.25">
      <c r="A397" s="84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</row>
    <row r="398" spans="1:26" x14ac:dyDescent="0.25">
      <c r="A398" s="84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</row>
    <row r="399" spans="1:26" x14ac:dyDescent="0.25">
      <c r="A399" s="84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</row>
    <row r="400" spans="1:26" x14ac:dyDescent="0.25">
      <c r="A400" s="84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</row>
    <row r="401" spans="1:26" x14ac:dyDescent="0.25">
      <c r="A401" s="84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</row>
    <row r="402" spans="1:26" x14ac:dyDescent="0.25">
      <c r="A402" s="84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</row>
    <row r="403" spans="1:26" x14ac:dyDescent="0.25">
      <c r="A403" s="84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</row>
    <row r="404" spans="1:26" x14ac:dyDescent="0.25">
      <c r="A404" s="84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</row>
    <row r="405" spans="1:26" x14ac:dyDescent="0.25">
      <c r="A405" s="84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</row>
    <row r="406" spans="1:26" x14ac:dyDescent="0.25">
      <c r="A406" s="84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</row>
    <row r="407" spans="1:26" x14ac:dyDescent="0.25">
      <c r="A407" s="84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</row>
    <row r="408" spans="1:26" x14ac:dyDescent="0.25">
      <c r="A408" s="84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</row>
    <row r="409" spans="1:26" x14ac:dyDescent="0.25">
      <c r="A409" s="84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</row>
    <row r="410" spans="1:26" x14ac:dyDescent="0.25">
      <c r="A410" s="84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</row>
    <row r="411" spans="1:26" x14ac:dyDescent="0.25">
      <c r="A411" s="84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</row>
    <row r="412" spans="1:26" x14ac:dyDescent="0.25">
      <c r="A412" s="84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</row>
    <row r="413" spans="1:26" x14ac:dyDescent="0.25">
      <c r="A413" s="84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</row>
    <row r="414" spans="1:26" x14ac:dyDescent="0.25">
      <c r="A414" s="84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</row>
    <row r="415" spans="1:26" x14ac:dyDescent="0.25">
      <c r="A415" s="84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</row>
    <row r="416" spans="1:26" x14ac:dyDescent="0.25">
      <c r="A416" s="84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</row>
    <row r="417" spans="1:26" x14ac:dyDescent="0.25">
      <c r="A417" s="84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</row>
    <row r="418" spans="1:26" x14ac:dyDescent="0.25">
      <c r="A418" s="84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</row>
    <row r="419" spans="1:26" x14ac:dyDescent="0.25">
      <c r="A419" s="84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</row>
    <row r="420" spans="1:26" x14ac:dyDescent="0.25">
      <c r="A420" s="84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</row>
    <row r="421" spans="1:26" x14ac:dyDescent="0.25">
      <c r="A421" s="84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</row>
    <row r="422" spans="1:26" x14ac:dyDescent="0.25">
      <c r="A422" s="84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</row>
    <row r="423" spans="1:26" x14ac:dyDescent="0.25">
      <c r="A423" s="84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</row>
    <row r="424" spans="1:26" x14ac:dyDescent="0.25">
      <c r="A424" s="84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</row>
    <row r="425" spans="1:26" x14ac:dyDescent="0.25">
      <c r="A425" s="84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</row>
    <row r="426" spans="1:26" x14ac:dyDescent="0.25">
      <c r="A426" s="84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</row>
    <row r="427" spans="1:26" x14ac:dyDescent="0.25">
      <c r="A427" s="84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</row>
    <row r="428" spans="1:26" x14ac:dyDescent="0.25">
      <c r="A428" s="84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</row>
    <row r="429" spans="1:26" x14ac:dyDescent="0.25">
      <c r="A429" s="84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</row>
    <row r="430" spans="1:26" x14ac:dyDescent="0.25">
      <c r="A430" s="84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</row>
    <row r="431" spans="1:26" x14ac:dyDescent="0.25">
      <c r="A431" s="84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</row>
    <row r="432" spans="1:26" x14ac:dyDescent="0.25">
      <c r="A432" s="84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</row>
    <row r="433" spans="1:26" x14ac:dyDescent="0.25">
      <c r="A433" s="84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</row>
    <row r="434" spans="1:26" x14ac:dyDescent="0.25">
      <c r="A434" s="84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</row>
    <row r="435" spans="1:26" x14ac:dyDescent="0.25">
      <c r="A435" s="84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</row>
    <row r="436" spans="1:26" x14ac:dyDescent="0.25">
      <c r="A436" s="84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</row>
    <row r="437" spans="1:26" x14ac:dyDescent="0.25">
      <c r="A437" s="84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</row>
    <row r="438" spans="1:26" x14ac:dyDescent="0.25">
      <c r="A438" s="84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</row>
    <row r="439" spans="1:26" x14ac:dyDescent="0.25">
      <c r="A439" s="84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</row>
    <row r="440" spans="1:26" x14ac:dyDescent="0.25">
      <c r="A440" s="84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</row>
    <row r="441" spans="1:26" x14ac:dyDescent="0.25">
      <c r="A441" s="84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</row>
    <row r="442" spans="1:26" x14ac:dyDescent="0.25">
      <c r="A442" s="84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</row>
    <row r="443" spans="1:26" x14ac:dyDescent="0.25">
      <c r="A443" s="84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</row>
    <row r="444" spans="1:26" x14ac:dyDescent="0.25">
      <c r="A444" s="84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</row>
    <row r="445" spans="1:26" x14ac:dyDescent="0.25">
      <c r="A445" s="84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</row>
    <row r="446" spans="1:26" x14ac:dyDescent="0.25">
      <c r="A446" s="84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</row>
    <row r="447" spans="1:26" x14ac:dyDescent="0.25">
      <c r="A447" s="84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</row>
    <row r="448" spans="1:26" x14ac:dyDescent="0.25">
      <c r="A448" s="84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</row>
    <row r="449" spans="1:26" x14ac:dyDescent="0.25">
      <c r="A449" s="84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</row>
    <row r="450" spans="1:26" x14ac:dyDescent="0.25">
      <c r="A450" s="84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</row>
    <row r="451" spans="1:26" x14ac:dyDescent="0.25">
      <c r="A451" s="84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</row>
    <row r="452" spans="1:26" x14ac:dyDescent="0.25">
      <c r="A452" s="84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</row>
    <row r="453" spans="1:26" x14ac:dyDescent="0.25">
      <c r="A453" s="84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</row>
    <row r="454" spans="1:26" x14ac:dyDescent="0.25">
      <c r="A454" s="84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</row>
    <row r="455" spans="1:26" x14ac:dyDescent="0.25">
      <c r="A455" s="84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</row>
    <row r="456" spans="1:26" x14ac:dyDescent="0.25">
      <c r="A456" s="84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</row>
    <row r="457" spans="1:26" x14ac:dyDescent="0.25">
      <c r="A457" s="84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</row>
    <row r="458" spans="1:26" x14ac:dyDescent="0.25">
      <c r="A458" s="84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</row>
    <row r="459" spans="1:26" x14ac:dyDescent="0.25">
      <c r="A459" s="84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</row>
    <row r="460" spans="1:26" x14ac:dyDescent="0.25">
      <c r="A460" s="84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</row>
    <row r="461" spans="1:26" x14ac:dyDescent="0.25">
      <c r="A461" s="84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</row>
    <row r="462" spans="1:26" x14ac:dyDescent="0.25">
      <c r="A462" s="84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</row>
    <row r="463" spans="1:26" x14ac:dyDescent="0.25">
      <c r="A463" s="84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</row>
    <row r="464" spans="1:26" x14ac:dyDescent="0.25">
      <c r="A464" s="84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</row>
    <row r="465" spans="1:26" x14ac:dyDescent="0.25">
      <c r="A465" s="84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</row>
    <row r="466" spans="1:26" x14ac:dyDescent="0.25">
      <c r="A466" s="84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</row>
    <row r="467" spans="1:26" x14ac:dyDescent="0.25">
      <c r="A467" s="84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</row>
    <row r="468" spans="1:26" x14ac:dyDescent="0.25">
      <c r="A468" s="84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</row>
    <row r="469" spans="1:26" x14ac:dyDescent="0.25">
      <c r="A469" s="84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</row>
    <row r="470" spans="1:26" x14ac:dyDescent="0.25">
      <c r="A470" s="84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</row>
    <row r="471" spans="1:26" x14ac:dyDescent="0.25">
      <c r="A471" s="84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</row>
    <row r="472" spans="1:26" x14ac:dyDescent="0.25">
      <c r="A472" s="84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</row>
    <row r="473" spans="1:26" x14ac:dyDescent="0.25">
      <c r="A473" s="84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</row>
    <row r="474" spans="1:26" x14ac:dyDescent="0.25">
      <c r="A474" s="84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</row>
    <row r="475" spans="1:26" x14ac:dyDescent="0.25">
      <c r="A475" s="84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</row>
    <row r="476" spans="1:26" x14ac:dyDescent="0.25">
      <c r="A476" s="84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</row>
    <row r="477" spans="1:26" x14ac:dyDescent="0.25">
      <c r="A477" s="84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</row>
    <row r="478" spans="1:26" x14ac:dyDescent="0.25">
      <c r="A478" s="84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</row>
    <row r="479" spans="1:26" x14ac:dyDescent="0.25">
      <c r="A479" s="84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</row>
    <row r="480" spans="1:26" x14ac:dyDescent="0.25">
      <c r="A480" s="84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</row>
    <row r="481" spans="1:26" x14ac:dyDescent="0.25">
      <c r="A481" s="84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</row>
    <row r="482" spans="1:26" x14ac:dyDescent="0.25">
      <c r="A482" s="84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</row>
    <row r="483" spans="1:26" x14ac:dyDescent="0.25">
      <c r="A483" s="84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</row>
    <row r="484" spans="1:26" x14ac:dyDescent="0.25">
      <c r="A484" s="84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</row>
    <row r="485" spans="1:26" x14ac:dyDescent="0.25">
      <c r="A485" s="84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</row>
    <row r="486" spans="1:26" x14ac:dyDescent="0.25">
      <c r="A486" s="84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</row>
    <row r="487" spans="1:26" x14ac:dyDescent="0.25">
      <c r="A487" s="84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</row>
    <row r="488" spans="1:26" x14ac:dyDescent="0.25">
      <c r="A488" s="84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</row>
    <row r="489" spans="1:26" x14ac:dyDescent="0.25">
      <c r="A489" s="84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</row>
    <row r="490" spans="1:26" x14ac:dyDescent="0.25">
      <c r="A490" s="84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</row>
    <row r="491" spans="1:26" x14ac:dyDescent="0.25">
      <c r="A491" s="84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</row>
    <row r="492" spans="1:26" x14ac:dyDescent="0.25">
      <c r="A492" s="84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</row>
    <row r="493" spans="1:26" x14ac:dyDescent="0.25">
      <c r="A493" s="84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</row>
    <row r="494" spans="1:26" x14ac:dyDescent="0.25">
      <c r="A494" s="84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</row>
    <row r="495" spans="1:26" x14ac:dyDescent="0.25">
      <c r="A495" s="84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</row>
    <row r="496" spans="1:26" x14ac:dyDescent="0.25">
      <c r="A496" s="84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</row>
    <row r="497" spans="1:26" x14ac:dyDescent="0.25">
      <c r="A497" s="84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</row>
    <row r="498" spans="1:26" x14ac:dyDescent="0.25">
      <c r="A498" s="84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</row>
    <row r="499" spans="1:26" x14ac:dyDescent="0.25">
      <c r="A499" s="84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</row>
    <row r="500" spans="1:26" x14ac:dyDescent="0.25">
      <c r="A500" s="84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</row>
    <row r="501" spans="1:26" x14ac:dyDescent="0.25">
      <c r="A501" s="84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</row>
    <row r="502" spans="1:26" x14ac:dyDescent="0.25">
      <c r="A502" s="84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</row>
    <row r="503" spans="1:26" x14ac:dyDescent="0.25">
      <c r="A503" s="84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</row>
    <row r="504" spans="1:26" x14ac:dyDescent="0.25">
      <c r="A504" s="84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</row>
    <row r="505" spans="1:26" x14ac:dyDescent="0.25">
      <c r="A505" s="84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</row>
    <row r="506" spans="1:26" x14ac:dyDescent="0.25">
      <c r="A506" s="84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</row>
    <row r="507" spans="1:26" x14ac:dyDescent="0.25">
      <c r="A507" s="84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</row>
    <row r="508" spans="1:26" x14ac:dyDescent="0.25">
      <c r="A508" s="84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</row>
    <row r="509" spans="1:26" x14ac:dyDescent="0.25">
      <c r="A509" s="84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</row>
    <row r="510" spans="1:26" x14ac:dyDescent="0.25">
      <c r="A510" s="84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</row>
    <row r="511" spans="1:26" x14ac:dyDescent="0.25">
      <c r="A511" s="84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</row>
    <row r="512" spans="1:26" x14ac:dyDescent="0.25">
      <c r="A512" s="84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</row>
    <row r="513" spans="1:26" x14ac:dyDescent="0.25">
      <c r="A513" s="84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</row>
    <row r="514" spans="1:26" x14ac:dyDescent="0.25">
      <c r="A514" s="84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</row>
    <row r="515" spans="1:26" x14ac:dyDescent="0.25">
      <c r="A515" s="84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</row>
    <row r="516" spans="1:26" x14ac:dyDescent="0.25">
      <c r="A516" s="84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</row>
    <row r="517" spans="1:26" x14ac:dyDescent="0.25">
      <c r="A517" s="84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</row>
    <row r="518" spans="1:26" x14ac:dyDescent="0.25">
      <c r="A518" s="84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</row>
    <row r="519" spans="1:26" x14ac:dyDescent="0.25">
      <c r="A519" s="84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</row>
    <row r="520" spans="1:26" x14ac:dyDescent="0.25">
      <c r="A520" s="84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</row>
    <row r="521" spans="1:26" x14ac:dyDescent="0.25">
      <c r="A521" s="84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</row>
    <row r="522" spans="1:26" x14ac:dyDescent="0.25">
      <c r="A522" s="84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</row>
    <row r="523" spans="1:26" x14ac:dyDescent="0.25">
      <c r="A523" s="84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</row>
    <row r="524" spans="1:26" x14ac:dyDescent="0.25">
      <c r="A524" s="84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</row>
    <row r="525" spans="1:26" x14ac:dyDescent="0.25">
      <c r="A525" s="84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</row>
    <row r="526" spans="1:26" x14ac:dyDescent="0.25">
      <c r="A526" s="84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</row>
    <row r="527" spans="1:26" x14ac:dyDescent="0.25">
      <c r="A527" s="84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</row>
    <row r="528" spans="1:26" x14ac:dyDescent="0.25">
      <c r="A528" s="84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</row>
    <row r="529" spans="1:26" x14ac:dyDescent="0.25">
      <c r="A529" s="84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</row>
    <row r="530" spans="1:26" x14ac:dyDescent="0.25">
      <c r="A530" s="84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</row>
    <row r="531" spans="1:26" x14ac:dyDescent="0.25">
      <c r="A531" s="84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</row>
    <row r="532" spans="1:26" x14ac:dyDescent="0.25">
      <c r="A532" s="84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</row>
    <row r="533" spans="1:26" x14ac:dyDescent="0.25">
      <c r="A533" s="84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</row>
    <row r="534" spans="1:26" x14ac:dyDescent="0.25">
      <c r="A534" s="84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</row>
    <row r="535" spans="1:26" x14ac:dyDescent="0.25">
      <c r="A535" s="84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</row>
    <row r="536" spans="1:26" x14ac:dyDescent="0.25">
      <c r="A536" s="84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</row>
    <row r="537" spans="1:26" x14ac:dyDescent="0.25">
      <c r="A537" s="84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</row>
    <row r="538" spans="1:26" x14ac:dyDescent="0.25">
      <c r="A538" s="84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</row>
    <row r="539" spans="1:26" x14ac:dyDescent="0.25">
      <c r="A539" s="84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</row>
    <row r="540" spans="1:26" x14ac:dyDescent="0.25">
      <c r="A540" s="84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</row>
    <row r="541" spans="1:26" x14ac:dyDescent="0.25">
      <c r="A541" s="84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</row>
    <row r="542" spans="1:26" x14ac:dyDescent="0.25">
      <c r="A542" s="84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</row>
    <row r="543" spans="1:26" x14ac:dyDescent="0.25">
      <c r="A543" s="84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</row>
    <row r="544" spans="1:26" x14ac:dyDescent="0.25">
      <c r="A544" s="84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</row>
    <row r="545" spans="1:26" x14ac:dyDescent="0.25">
      <c r="A545" s="84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</row>
    <row r="546" spans="1:26" x14ac:dyDescent="0.25">
      <c r="A546" s="84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</row>
    <row r="547" spans="1:26" x14ac:dyDescent="0.25">
      <c r="A547" s="84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</row>
    <row r="548" spans="1:26" x14ac:dyDescent="0.25">
      <c r="A548" s="84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</row>
    <row r="549" spans="1:26" x14ac:dyDescent="0.25">
      <c r="A549" s="84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</row>
    <row r="550" spans="1:26" x14ac:dyDescent="0.25">
      <c r="A550" s="84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</row>
    <row r="551" spans="1:26" x14ac:dyDescent="0.25">
      <c r="A551" s="84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</row>
    <row r="552" spans="1:26" x14ac:dyDescent="0.25">
      <c r="A552" s="84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</row>
    <row r="553" spans="1:26" x14ac:dyDescent="0.25">
      <c r="A553" s="84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</row>
    <row r="554" spans="1:26" x14ac:dyDescent="0.25">
      <c r="A554" s="84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</row>
    <row r="555" spans="1:26" x14ac:dyDescent="0.25">
      <c r="A555" s="84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</row>
    <row r="556" spans="1:26" x14ac:dyDescent="0.25">
      <c r="A556" s="84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</row>
    <row r="557" spans="1:26" x14ac:dyDescent="0.25">
      <c r="A557" s="84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</row>
    <row r="558" spans="1:26" x14ac:dyDescent="0.25">
      <c r="A558" s="84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</row>
    <row r="559" spans="1:26" x14ac:dyDescent="0.25">
      <c r="A559" s="84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</row>
    <row r="560" spans="1:26" x14ac:dyDescent="0.25">
      <c r="A560" s="84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</row>
    <row r="561" spans="1:26" x14ac:dyDescent="0.25">
      <c r="A561" s="84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</row>
    <row r="562" spans="1:26" x14ac:dyDescent="0.25">
      <c r="A562" s="84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</row>
    <row r="563" spans="1:26" x14ac:dyDescent="0.25">
      <c r="A563" s="84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</row>
    <row r="564" spans="1:26" x14ac:dyDescent="0.25">
      <c r="A564" s="84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</row>
    <row r="565" spans="1:26" x14ac:dyDescent="0.25">
      <c r="A565" s="84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</row>
    <row r="566" spans="1:26" x14ac:dyDescent="0.25">
      <c r="A566" s="84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</row>
    <row r="567" spans="1:26" x14ac:dyDescent="0.25">
      <c r="A567" s="84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</row>
    <row r="568" spans="1:26" x14ac:dyDescent="0.25">
      <c r="A568" s="84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</row>
    <row r="569" spans="1:26" x14ac:dyDescent="0.25">
      <c r="A569" s="84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</row>
    <row r="570" spans="1:26" x14ac:dyDescent="0.25">
      <c r="A570" s="84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</row>
    <row r="571" spans="1:26" x14ac:dyDescent="0.25">
      <c r="A571" s="84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</row>
    <row r="572" spans="1:26" x14ac:dyDescent="0.25">
      <c r="A572" s="84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</row>
    <row r="573" spans="1:26" x14ac:dyDescent="0.25">
      <c r="A573" s="84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</row>
    <row r="574" spans="1:26" x14ac:dyDescent="0.25">
      <c r="A574" s="84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</row>
    <row r="575" spans="1:26" x14ac:dyDescent="0.25">
      <c r="A575" s="84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</row>
    <row r="576" spans="1:26" x14ac:dyDescent="0.25">
      <c r="A576" s="84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</row>
    <row r="577" spans="1:26" x14ac:dyDescent="0.25">
      <c r="A577" s="84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</row>
    <row r="578" spans="1:26" x14ac:dyDescent="0.25">
      <c r="A578" s="84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</row>
    <row r="579" spans="1:26" x14ac:dyDescent="0.25">
      <c r="A579" s="84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</row>
    <row r="580" spans="1:26" x14ac:dyDescent="0.25">
      <c r="A580" s="84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</row>
    <row r="581" spans="1:26" x14ac:dyDescent="0.25">
      <c r="A581" s="84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</row>
    <row r="582" spans="1:26" x14ac:dyDescent="0.25">
      <c r="A582" s="84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</row>
    <row r="583" spans="1:26" x14ac:dyDescent="0.25">
      <c r="A583" s="84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</row>
    <row r="584" spans="1:26" x14ac:dyDescent="0.25">
      <c r="A584" s="84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</row>
    <row r="585" spans="1:26" x14ac:dyDescent="0.25">
      <c r="A585" s="84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</row>
    <row r="586" spans="1:26" x14ac:dyDescent="0.25">
      <c r="A586" s="84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</row>
    <row r="587" spans="1:26" x14ac:dyDescent="0.25">
      <c r="A587" s="84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</row>
    <row r="588" spans="1:26" x14ac:dyDescent="0.25">
      <c r="A588" s="84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</row>
    <row r="589" spans="1:26" x14ac:dyDescent="0.25">
      <c r="A589" s="84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</row>
    <row r="590" spans="1:26" x14ac:dyDescent="0.25">
      <c r="A590" s="84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</row>
    <row r="591" spans="1:26" x14ac:dyDescent="0.25">
      <c r="A591" s="84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</row>
    <row r="592" spans="1:26" x14ac:dyDescent="0.25">
      <c r="A592" s="84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</row>
    <row r="593" spans="1:26" x14ac:dyDescent="0.25">
      <c r="A593" s="84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</row>
    <row r="594" spans="1:26" x14ac:dyDescent="0.25">
      <c r="A594" s="84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</row>
    <row r="595" spans="1:26" x14ac:dyDescent="0.25">
      <c r="A595" s="84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</row>
    <row r="596" spans="1:26" x14ac:dyDescent="0.25">
      <c r="A596" s="84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</row>
    <row r="597" spans="1:26" x14ac:dyDescent="0.25">
      <c r="A597" s="84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</row>
    <row r="598" spans="1:26" x14ac:dyDescent="0.25">
      <c r="A598" s="84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</row>
    <row r="599" spans="1:26" x14ac:dyDescent="0.25">
      <c r="A599" s="84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</row>
    <row r="600" spans="1:26" x14ac:dyDescent="0.25">
      <c r="A600" s="84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25" workbookViewId="0"/>
  </sheetViews>
  <sheetFormatPr defaultColWidth="9.140625" defaultRowHeight="15.75" x14ac:dyDescent="0.25"/>
  <cols>
    <col min="1" max="3" width="9.140625" style="83"/>
    <col min="4" max="4" width="16" style="83" customWidth="1"/>
    <col min="5" max="5" width="13.7109375" style="83" customWidth="1"/>
    <col min="6" max="6" width="9.140625" style="83"/>
    <col min="7" max="7" width="27.42578125" style="83" customWidth="1"/>
    <col min="8" max="16384" width="9.140625" style="83"/>
  </cols>
  <sheetData>
    <row r="1" spans="1:26" ht="26.25" x14ac:dyDescent="0.4">
      <c r="B1" s="90" t="s">
        <v>177</v>
      </c>
      <c r="C1" s="90"/>
      <c r="D1" s="90"/>
      <c r="E1" s="90" t="s">
        <v>176</v>
      </c>
      <c r="F1" s="90"/>
      <c r="G1" s="90"/>
      <c r="H1" s="90" t="s">
        <v>174</v>
      </c>
    </row>
    <row r="3" spans="1:26" ht="20.25" x14ac:dyDescent="0.3">
      <c r="F3" s="95" t="str">
        <f>Season</f>
        <v>2022/2023</v>
      </c>
    </row>
    <row r="4" spans="1:26" x14ac:dyDescent="0.25">
      <c r="C4" s="83" t="s">
        <v>163</v>
      </c>
    </row>
    <row r="5" spans="1:26" x14ac:dyDescent="0.25">
      <c r="A5" s="84" t="s">
        <v>172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</row>
    <row r="6" spans="1:26" x14ac:dyDescent="0.25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</row>
    <row r="7" spans="1:26" ht="16.5" thickBot="1" x14ac:dyDescent="0.3">
      <c r="A7" s="84"/>
      <c r="B7" s="84" t="s">
        <v>113</v>
      </c>
      <c r="C7" s="84" t="s">
        <v>44</v>
      </c>
      <c r="D7" s="85"/>
      <c r="E7" s="85"/>
      <c r="F7" s="85"/>
      <c r="G7" s="85"/>
      <c r="H7" s="85"/>
      <c r="I7" s="85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</row>
    <row r="8" spans="1:26" x14ac:dyDescent="0.25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</row>
    <row r="9" spans="1:26" ht="16.5" thickBot="1" x14ac:dyDescent="0.3">
      <c r="A9" s="84"/>
      <c r="B9" s="84" t="s">
        <v>114</v>
      </c>
      <c r="C9" s="84" t="s">
        <v>44</v>
      </c>
      <c r="D9" s="85"/>
      <c r="E9" s="85"/>
      <c r="F9" s="85"/>
      <c r="G9" s="85"/>
      <c r="H9" s="85"/>
      <c r="I9" s="85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</row>
    <row r="10" spans="1:26" x14ac:dyDescent="0.25">
      <c r="A10" s="84"/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</row>
    <row r="11" spans="1:26" ht="16.5" thickBot="1" x14ac:dyDescent="0.3">
      <c r="A11" s="84"/>
      <c r="B11" s="84" t="s">
        <v>115</v>
      </c>
      <c r="C11" s="84" t="s">
        <v>48</v>
      </c>
      <c r="D11" s="85"/>
      <c r="E11" s="85"/>
      <c r="F11" s="85"/>
      <c r="G11" s="85"/>
      <c r="H11" s="85"/>
      <c r="I11" s="85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</row>
    <row r="12" spans="1:26" x14ac:dyDescent="0.25">
      <c r="A12" s="84"/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1:26" ht="16.5" thickBot="1" x14ac:dyDescent="0.3">
      <c r="A13" s="84"/>
      <c r="B13" s="84" t="s">
        <v>126</v>
      </c>
      <c r="C13" s="84" t="s">
        <v>48</v>
      </c>
      <c r="D13" s="85"/>
      <c r="E13" s="85"/>
      <c r="F13" s="85"/>
      <c r="G13" s="85"/>
      <c r="H13" s="85"/>
      <c r="I13" s="85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</row>
    <row r="14" spans="1:26" x14ac:dyDescent="0.25">
      <c r="A14" s="84"/>
      <c r="B14" s="84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</row>
    <row r="15" spans="1:26" ht="16.5" thickBot="1" x14ac:dyDescent="0.3">
      <c r="A15" s="84"/>
      <c r="B15" s="84" t="s">
        <v>151</v>
      </c>
      <c r="C15" s="84" t="s">
        <v>48</v>
      </c>
      <c r="D15" s="85"/>
      <c r="E15" s="85"/>
      <c r="F15" s="85"/>
      <c r="G15" s="85"/>
      <c r="H15" s="85"/>
      <c r="I15" s="85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</row>
    <row r="16" spans="1:26" x14ac:dyDescent="0.25">
      <c r="A16" s="84"/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</row>
    <row r="17" spans="1:26" x14ac:dyDescent="0.25">
      <c r="A17" s="84" t="s">
        <v>173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</row>
    <row r="18" spans="1:26" x14ac:dyDescent="0.25">
      <c r="A18" s="84"/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</row>
    <row r="19" spans="1:26" ht="16.5" thickBot="1" x14ac:dyDescent="0.3">
      <c r="A19" s="84"/>
      <c r="B19" s="84" t="s">
        <v>106</v>
      </c>
      <c r="C19" s="84" t="s">
        <v>260</v>
      </c>
      <c r="D19" s="85"/>
      <c r="E19" s="85"/>
      <c r="F19" s="85"/>
      <c r="G19" s="85"/>
      <c r="H19" s="85"/>
      <c r="I19" s="85"/>
      <c r="J19" s="84"/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</row>
    <row r="20" spans="1:26" x14ac:dyDescent="0.25">
      <c r="A20" s="84"/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</row>
    <row r="21" spans="1:26" ht="16.5" thickBot="1" x14ac:dyDescent="0.3">
      <c r="A21" s="84"/>
      <c r="B21" s="84" t="s">
        <v>107</v>
      </c>
      <c r="C21" s="84" t="s">
        <v>260</v>
      </c>
      <c r="D21" s="85"/>
      <c r="E21" s="85"/>
      <c r="F21" s="85"/>
      <c r="G21" s="85"/>
      <c r="H21" s="85"/>
      <c r="I21" s="85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</row>
    <row r="22" spans="1:26" x14ac:dyDescent="0.25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</row>
    <row r="23" spans="1:26" ht="16.5" thickBot="1" x14ac:dyDescent="0.3">
      <c r="A23" s="84"/>
      <c r="B23" s="84" t="s">
        <v>108</v>
      </c>
      <c r="C23" s="84" t="s">
        <v>90</v>
      </c>
      <c r="D23" s="85"/>
      <c r="E23" s="85"/>
      <c r="F23" s="85"/>
      <c r="G23" s="85"/>
      <c r="H23" s="85"/>
      <c r="I23" s="85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</row>
    <row r="24" spans="1:26" x14ac:dyDescent="0.25">
      <c r="A24" s="84"/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</row>
    <row r="25" spans="1:26" ht="16.5" thickBot="1" x14ac:dyDescent="0.3">
      <c r="A25" s="84"/>
      <c r="B25" s="84" t="s">
        <v>109</v>
      </c>
      <c r="C25" s="84" t="s">
        <v>90</v>
      </c>
      <c r="D25" s="85"/>
      <c r="E25" s="85"/>
      <c r="F25" s="85"/>
      <c r="G25" s="85"/>
      <c r="H25" s="85"/>
      <c r="I25" s="85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</row>
    <row r="26" spans="1:26" x14ac:dyDescent="0.25">
      <c r="A26" s="84"/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</row>
    <row r="27" spans="1:26" ht="16.5" thickBot="1" x14ac:dyDescent="0.3">
      <c r="A27" s="84"/>
      <c r="B27" s="84" t="s">
        <v>110</v>
      </c>
      <c r="C27" s="84" t="s">
        <v>96</v>
      </c>
      <c r="D27" s="85"/>
      <c r="E27" s="85"/>
      <c r="F27" s="85"/>
      <c r="G27" s="85"/>
      <c r="H27" s="85"/>
      <c r="I27" s="85"/>
      <c r="J27" s="84"/>
      <c r="K27" s="84"/>
      <c r="L27" s="84"/>
      <c r="M27" s="84"/>
      <c r="N27" s="84"/>
      <c r="O27" s="84"/>
      <c r="P27" s="84"/>
      <c r="Q27" s="84"/>
      <c r="R27" s="84"/>
      <c r="S27" s="84"/>
      <c r="T27" s="84"/>
      <c r="U27" s="84"/>
      <c r="V27" s="84"/>
      <c r="W27" s="84"/>
      <c r="X27" s="84"/>
      <c r="Y27" s="84"/>
      <c r="Z27" s="84"/>
    </row>
    <row r="28" spans="1:26" x14ac:dyDescent="0.25">
      <c r="A28" s="84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</row>
    <row r="29" spans="1:26" ht="16.5" thickBot="1" x14ac:dyDescent="0.3">
      <c r="A29" s="84"/>
      <c r="B29" s="84" t="s">
        <v>111</v>
      </c>
      <c r="C29" s="84" t="s">
        <v>315</v>
      </c>
      <c r="D29" s="85"/>
      <c r="E29" s="85"/>
      <c r="F29" s="85"/>
      <c r="G29" s="85"/>
      <c r="H29" s="85"/>
      <c r="I29" s="85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</row>
    <row r="30" spans="1:26" x14ac:dyDescent="0.25">
      <c r="A30" s="84"/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</row>
    <row r="31" spans="1:26" ht="16.5" thickBot="1" x14ac:dyDescent="0.3">
      <c r="A31" s="84"/>
      <c r="B31" s="84" t="s">
        <v>112</v>
      </c>
      <c r="C31" s="84" t="s">
        <v>90</v>
      </c>
      <c r="D31" s="85"/>
      <c r="E31" s="85"/>
      <c r="F31" s="85"/>
      <c r="G31" s="85"/>
      <c r="H31" s="85"/>
      <c r="I31" s="85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84"/>
    </row>
    <row r="32" spans="1:26" x14ac:dyDescent="0.25">
      <c r="A32" s="84"/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</row>
    <row r="33" spans="1:26" ht="16.5" thickBot="1" x14ac:dyDescent="0.3">
      <c r="A33" s="84"/>
      <c r="B33" s="84" t="s">
        <v>113</v>
      </c>
      <c r="C33" s="84" t="s">
        <v>315</v>
      </c>
      <c r="D33" s="85"/>
      <c r="E33" s="85"/>
      <c r="F33" s="85"/>
      <c r="G33" s="85"/>
      <c r="H33" s="85"/>
      <c r="I33" s="85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</row>
    <row r="34" spans="1:26" x14ac:dyDescent="0.25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</row>
    <row r="35" spans="1:26" ht="16.5" thickBot="1" x14ac:dyDescent="0.3">
      <c r="A35" s="84"/>
      <c r="B35" s="84" t="s">
        <v>114</v>
      </c>
      <c r="C35" s="84" t="s">
        <v>44</v>
      </c>
      <c r="D35" s="85"/>
      <c r="E35" s="85"/>
      <c r="F35" s="85"/>
      <c r="G35" s="85"/>
      <c r="H35" s="85"/>
      <c r="I35" s="85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</row>
    <row r="36" spans="1:26" x14ac:dyDescent="0.25">
      <c r="A36" s="84"/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</row>
    <row r="37" spans="1:26" ht="16.5" thickBot="1" x14ac:dyDescent="0.3">
      <c r="A37" s="84"/>
      <c r="B37" s="84" t="s">
        <v>115</v>
      </c>
      <c r="C37" s="84" t="s">
        <v>44</v>
      </c>
      <c r="D37" s="85"/>
      <c r="E37" s="85"/>
      <c r="F37" s="85"/>
      <c r="G37" s="85"/>
      <c r="H37" s="85"/>
      <c r="I37" s="85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</row>
    <row r="38" spans="1:26" x14ac:dyDescent="0.25">
      <c r="A38" s="84"/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</row>
    <row r="39" spans="1:26" x14ac:dyDescent="0.25">
      <c r="A39" s="84" t="s">
        <v>175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</row>
    <row r="40" spans="1:26" x14ac:dyDescent="0.2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</row>
    <row r="41" spans="1:26" ht="16.5" thickBot="1" x14ac:dyDescent="0.3">
      <c r="A41" s="84"/>
      <c r="B41" s="84" t="s">
        <v>108</v>
      </c>
      <c r="C41" s="84" t="s">
        <v>267</v>
      </c>
      <c r="D41" s="85"/>
      <c r="E41" s="85"/>
      <c r="F41" s="85"/>
      <c r="G41" s="85"/>
      <c r="H41" s="85"/>
      <c r="I41" s="85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</row>
    <row r="42" spans="1:26" x14ac:dyDescent="0.25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</row>
    <row r="43" spans="1:26" ht="16.5" thickBot="1" x14ac:dyDescent="0.3">
      <c r="A43" s="84"/>
      <c r="B43" s="84" t="s">
        <v>109</v>
      </c>
      <c r="C43" s="84" t="s">
        <v>96</v>
      </c>
      <c r="D43" s="85"/>
      <c r="E43" s="85"/>
      <c r="F43" s="85"/>
      <c r="G43" s="85"/>
      <c r="H43" s="85"/>
      <c r="I43" s="85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</row>
    <row r="44" spans="1:26" x14ac:dyDescent="0.25">
      <c r="A44" s="84"/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</row>
    <row r="45" spans="1:26" ht="16.5" thickBot="1" x14ac:dyDescent="0.3">
      <c r="A45" s="84"/>
      <c r="B45" s="84" t="s">
        <v>110</v>
      </c>
      <c r="C45" s="84" t="s">
        <v>94</v>
      </c>
      <c r="D45" s="85"/>
      <c r="E45" s="85"/>
      <c r="F45" s="85"/>
      <c r="G45" s="85"/>
      <c r="H45" s="85"/>
      <c r="I45" s="85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</row>
    <row r="46" spans="1:26" x14ac:dyDescent="0.25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</row>
    <row r="47" spans="1:26" ht="16.5" thickBot="1" x14ac:dyDescent="0.3">
      <c r="A47" s="84"/>
      <c r="B47" s="84" t="s">
        <v>111</v>
      </c>
      <c r="C47" s="84" t="s">
        <v>23</v>
      </c>
      <c r="D47" s="85"/>
      <c r="E47" s="85"/>
      <c r="F47" s="85"/>
      <c r="G47" s="85"/>
      <c r="H47" s="85"/>
      <c r="I47" s="85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</row>
    <row r="48" spans="1:26" x14ac:dyDescent="0.25">
      <c r="A48" s="84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</row>
    <row r="49" spans="1:26" ht="16.5" thickBot="1" x14ac:dyDescent="0.3">
      <c r="A49" s="84"/>
      <c r="B49" s="84" t="s">
        <v>112</v>
      </c>
      <c r="C49" s="84" t="s">
        <v>90</v>
      </c>
      <c r="D49" s="85"/>
      <c r="E49" s="85"/>
      <c r="F49" s="85"/>
      <c r="G49" s="85"/>
      <c r="H49" s="85"/>
      <c r="I49" s="85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</row>
    <row r="50" spans="1:26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</row>
    <row r="51" spans="1:26" ht="16.5" thickBot="1" x14ac:dyDescent="0.3">
      <c r="A51" s="84"/>
      <c r="B51" s="84" t="s">
        <v>113</v>
      </c>
      <c r="C51" s="84" t="s">
        <v>44</v>
      </c>
      <c r="D51" s="85"/>
      <c r="E51" s="85"/>
      <c r="F51" s="85"/>
      <c r="G51" s="85"/>
      <c r="H51" s="85"/>
      <c r="I51" s="85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</row>
    <row r="52" spans="1:26" x14ac:dyDescent="0.25">
      <c r="A52" s="84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</row>
    <row r="53" spans="1:26" ht="16.5" thickBot="1" x14ac:dyDescent="0.3">
      <c r="A53" s="84"/>
      <c r="B53" s="84" t="s">
        <v>114</v>
      </c>
      <c r="C53" s="84" t="s">
        <v>101</v>
      </c>
      <c r="D53" s="85"/>
      <c r="E53" s="85"/>
      <c r="F53" s="85"/>
      <c r="G53" s="85"/>
      <c r="H53" s="85"/>
      <c r="I53" s="85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</row>
    <row r="54" spans="1:26" x14ac:dyDescent="0.25">
      <c r="A54" s="84"/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</row>
    <row r="55" spans="1:26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</row>
    <row r="56" spans="1:26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</row>
    <row r="57" spans="1:26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</row>
    <row r="58" spans="1:26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</row>
    <row r="59" spans="1:26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</row>
    <row r="60" spans="1:26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</row>
    <row r="61" spans="1:26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</row>
    <row r="62" spans="1:26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</row>
    <row r="63" spans="1:26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</row>
    <row r="64" spans="1:26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</row>
    <row r="65" spans="1:26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</row>
    <row r="66" spans="1:26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</row>
    <row r="67" spans="1:26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</row>
    <row r="68" spans="1:26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</row>
    <row r="69" spans="1:26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</row>
    <row r="70" spans="1:26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</row>
    <row r="71" spans="1:26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</row>
    <row r="72" spans="1:26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</row>
    <row r="73" spans="1:26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</row>
    <row r="74" spans="1:26" x14ac:dyDescent="0.25">
      <c r="A74" s="84"/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</row>
    <row r="75" spans="1:26" x14ac:dyDescent="0.25">
      <c r="A75" s="84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</row>
    <row r="76" spans="1:26" x14ac:dyDescent="0.25">
      <c r="A76" s="84"/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</row>
    <row r="77" spans="1:26" x14ac:dyDescent="0.25">
      <c r="A77" s="84"/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</row>
    <row r="78" spans="1:26" x14ac:dyDescent="0.25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</row>
    <row r="79" spans="1:26" x14ac:dyDescent="0.25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</row>
    <row r="80" spans="1:26" x14ac:dyDescent="0.25">
      <c r="A80" s="84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</row>
    <row r="81" spans="1:26" x14ac:dyDescent="0.25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  <c r="S81" s="84"/>
      <c r="T81" s="84"/>
      <c r="U81" s="84"/>
      <c r="V81" s="84"/>
      <c r="W81" s="84"/>
      <c r="X81" s="84"/>
      <c r="Y81" s="84"/>
      <c r="Z81" s="84"/>
    </row>
    <row r="82" spans="1:26" x14ac:dyDescent="0.25">
      <c r="A82" s="84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</row>
    <row r="83" spans="1:26" x14ac:dyDescent="0.25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</row>
    <row r="84" spans="1:26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  <c r="V84" s="84"/>
      <c r="W84" s="84"/>
      <c r="X84" s="84"/>
      <c r="Y84" s="84"/>
      <c r="Z84" s="84"/>
    </row>
    <row r="85" spans="1:26" x14ac:dyDescent="0.25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  <c r="S85" s="84"/>
      <c r="T85" s="84"/>
      <c r="U85" s="84"/>
      <c r="V85" s="84"/>
      <c r="W85" s="84"/>
      <c r="X85" s="84"/>
      <c r="Y85" s="84"/>
      <c r="Z85" s="84"/>
    </row>
    <row r="86" spans="1:26" x14ac:dyDescent="0.25">
      <c r="A86" s="84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</row>
    <row r="87" spans="1:26" x14ac:dyDescent="0.25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</row>
    <row r="88" spans="1:26" x14ac:dyDescent="0.25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  <c r="O88" s="84"/>
      <c r="P88" s="84"/>
      <c r="Q88" s="84"/>
      <c r="R88" s="84"/>
      <c r="S88" s="84"/>
      <c r="T88" s="84"/>
      <c r="U88" s="84"/>
      <c r="V88" s="84"/>
      <c r="W88" s="84"/>
      <c r="X88" s="84"/>
      <c r="Y88" s="84"/>
      <c r="Z88" s="84"/>
    </row>
    <row r="89" spans="1:26" x14ac:dyDescent="0.25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  <c r="O89" s="84"/>
      <c r="P89" s="84"/>
      <c r="Q89" s="84"/>
      <c r="R89" s="84"/>
      <c r="S89" s="84"/>
      <c r="T89" s="84"/>
      <c r="U89" s="84"/>
      <c r="V89" s="84"/>
      <c r="W89" s="84"/>
      <c r="X89" s="84"/>
      <c r="Y89" s="84"/>
      <c r="Z89" s="84"/>
    </row>
    <row r="90" spans="1:26" x14ac:dyDescent="0.25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</row>
    <row r="91" spans="1:26" x14ac:dyDescent="0.25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</row>
    <row r="92" spans="1:26" x14ac:dyDescent="0.25">
      <c r="A92" s="84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  <c r="O92" s="84"/>
      <c r="P92" s="84"/>
      <c r="Q92" s="84"/>
      <c r="R92" s="84"/>
      <c r="S92" s="84"/>
      <c r="T92" s="84"/>
      <c r="U92" s="84"/>
      <c r="V92" s="84"/>
      <c r="W92" s="84"/>
      <c r="X92" s="84"/>
      <c r="Y92" s="84"/>
      <c r="Z92" s="84"/>
    </row>
    <row r="93" spans="1:26" x14ac:dyDescent="0.25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</row>
    <row r="94" spans="1:26" x14ac:dyDescent="0.25">
      <c r="A94" s="84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84"/>
      <c r="S94" s="84"/>
      <c r="T94" s="84"/>
      <c r="U94" s="84"/>
      <c r="V94" s="84"/>
      <c r="W94" s="84"/>
      <c r="X94" s="84"/>
      <c r="Y94" s="84"/>
      <c r="Z94" s="84"/>
    </row>
    <row r="95" spans="1:26" x14ac:dyDescent="0.25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</row>
    <row r="96" spans="1:26" x14ac:dyDescent="0.25">
      <c r="A96" s="84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  <c r="S96" s="84"/>
      <c r="T96" s="84"/>
      <c r="U96" s="84"/>
      <c r="V96" s="84"/>
      <c r="W96" s="84"/>
      <c r="X96" s="84"/>
      <c r="Y96" s="84"/>
      <c r="Z96" s="84"/>
    </row>
    <row r="97" spans="1:26" x14ac:dyDescent="0.25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  <c r="S97" s="84"/>
      <c r="T97" s="84"/>
      <c r="U97" s="84"/>
      <c r="V97" s="84"/>
      <c r="W97" s="84"/>
      <c r="X97" s="84"/>
      <c r="Y97" s="84"/>
      <c r="Z97" s="84"/>
    </row>
    <row r="98" spans="1:26" x14ac:dyDescent="0.25">
      <c r="A98" s="84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</row>
    <row r="99" spans="1:26" x14ac:dyDescent="0.25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</row>
    <row r="100" spans="1:26" x14ac:dyDescent="0.25">
      <c r="A100" s="84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  <c r="S100" s="84"/>
      <c r="T100" s="84"/>
      <c r="U100" s="84"/>
      <c r="V100" s="84"/>
      <c r="W100" s="84"/>
      <c r="X100" s="84"/>
      <c r="Y100" s="84"/>
      <c r="Z100" s="84"/>
    </row>
    <row r="101" spans="1:26" x14ac:dyDescent="0.25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84"/>
      <c r="T101" s="84"/>
      <c r="U101" s="84"/>
      <c r="V101" s="84"/>
      <c r="W101" s="84"/>
      <c r="X101" s="84"/>
      <c r="Y101" s="84"/>
      <c r="Z101" s="84"/>
    </row>
    <row r="102" spans="1:26" x14ac:dyDescent="0.25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  <c r="S102" s="84"/>
      <c r="T102" s="84"/>
      <c r="U102" s="84"/>
      <c r="V102" s="84"/>
      <c r="W102" s="84"/>
      <c r="X102" s="84"/>
      <c r="Y102" s="84"/>
      <c r="Z102" s="84"/>
    </row>
    <row r="103" spans="1:26" x14ac:dyDescent="0.25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</row>
    <row r="104" spans="1:26" x14ac:dyDescent="0.25">
      <c r="A104" s="84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  <c r="S104" s="84"/>
      <c r="T104" s="84"/>
      <c r="U104" s="84"/>
      <c r="V104" s="84"/>
      <c r="W104" s="84"/>
      <c r="X104" s="84"/>
      <c r="Y104" s="84"/>
      <c r="Z104" s="84"/>
    </row>
    <row r="105" spans="1:26" x14ac:dyDescent="0.25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  <c r="S105" s="84"/>
      <c r="T105" s="84"/>
      <c r="U105" s="84"/>
      <c r="V105" s="84"/>
      <c r="W105" s="84"/>
      <c r="X105" s="84"/>
      <c r="Y105" s="84"/>
      <c r="Z105" s="84"/>
    </row>
    <row r="106" spans="1:26" x14ac:dyDescent="0.25">
      <c r="A106" s="84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  <c r="S106" s="84"/>
      <c r="T106" s="84"/>
      <c r="U106" s="84"/>
      <c r="V106" s="84"/>
      <c r="W106" s="84"/>
      <c r="X106" s="84"/>
      <c r="Y106" s="84"/>
      <c r="Z106" s="84"/>
    </row>
    <row r="107" spans="1:26" x14ac:dyDescent="0.25">
      <c r="A107" s="84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  <c r="S107" s="84"/>
      <c r="T107" s="84"/>
      <c r="U107" s="84"/>
      <c r="V107" s="84"/>
      <c r="W107" s="84"/>
      <c r="X107" s="84"/>
      <c r="Y107" s="84"/>
      <c r="Z107" s="84"/>
    </row>
    <row r="108" spans="1:26" x14ac:dyDescent="0.25">
      <c r="A108" s="84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</row>
    <row r="109" spans="1:26" x14ac:dyDescent="0.25">
      <c r="A109" s="84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  <c r="S109" s="84"/>
      <c r="T109" s="84"/>
      <c r="U109" s="84"/>
      <c r="V109" s="84"/>
      <c r="W109" s="84"/>
      <c r="X109" s="84"/>
      <c r="Y109" s="84"/>
      <c r="Z109" s="84"/>
    </row>
    <row r="110" spans="1:26" x14ac:dyDescent="0.25">
      <c r="A110" s="84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4"/>
      <c r="Z110" s="84"/>
    </row>
    <row r="111" spans="1:26" x14ac:dyDescent="0.25">
      <c r="A111" s="84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  <c r="S111" s="84"/>
      <c r="T111" s="84"/>
      <c r="U111" s="84"/>
      <c r="V111" s="84"/>
      <c r="W111" s="84"/>
      <c r="X111" s="84"/>
      <c r="Y111" s="84"/>
      <c r="Z111" s="84"/>
    </row>
    <row r="112" spans="1:26" x14ac:dyDescent="0.25">
      <c r="A112" s="84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84"/>
      <c r="T112" s="84"/>
      <c r="U112" s="84"/>
      <c r="V112" s="84"/>
      <c r="W112" s="84"/>
      <c r="X112" s="84"/>
      <c r="Y112" s="84"/>
      <c r="Z112" s="84"/>
    </row>
    <row r="113" spans="1:26" x14ac:dyDescent="0.25">
      <c r="A113" s="84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</row>
    <row r="114" spans="1:26" x14ac:dyDescent="0.25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</row>
    <row r="115" spans="1:26" x14ac:dyDescent="0.25">
      <c r="A115" s="84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</row>
    <row r="116" spans="1:26" x14ac:dyDescent="0.25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</row>
    <row r="117" spans="1:26" x14ac:dyDescent="0.25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</row>
    <row r="118" spans="1:26" x14ac:dyDescent="0.25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</row>
    <row r="119" spans="1:26" x14ac:dyDescent="0.25">
      <c r="A119" s="84"/>
      <c r="B119" s="84"/>
      <c r="C119" s="84"/>
      <c r="D119" s="84"/>
      <c r="E119" s="84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</row>
    <row r="120" spans="1:26" x14ac:dyDescent="0.25">
      <c r="A120" s="84"/>
      <c r="B120" s="84"/>
      <c r="C120" s="84"/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</row>
    <row r="121" spans="1:26" x14ac:dyDescent="0.25">
      <c r="A121" s="84"/>
      <c r="B121" s="84"/>
      <c r="C121" s="84"/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</row>
    <row r="122" spans="1:26" x14ac:dyDescent="0.25">
      <c r="A122" s="84"/>
      <c r="B122" s="84"/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</row>
    <row r="123" spans="1:26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</row>
    <row r="124" spans="1:26" x14ac:dyDescent="0.25">
      <c r="A124" s="84"/>
      <c r="B124" s="84"/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</row>
    <row r="125" spans="1:26" x14ac:dyDescent="0.25">
      <c r="A125" s="84"/>
      <c r="B125" s="84"/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</row>
    <row r="126" spans="1:26" x14ac:dyDescent="0.25">
      <c r="A126" s="84"/>
      <c r="B126" s="84"/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</row>
    <row r="127" spans="1:26" x14ac:dyDescent="0.25">
      <c r="A127" s="84"/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</row>
    <row r="128" spans="1:26" x14ac:dyDescent="0.25">
      <c r="A128" s="84"/>
      <c r="B128" s="84"/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</row>
    <row r="129" spans="1:26" x14ac:dyDescent="0.25">
      <c r="A129" s="84"/>
      <c r="B129" s="84"/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84"/>
      <c r="U129" s="84"/>
      <c r="V129" s="84"/>
      <c r="W129" s="84"/>
      <c r="X129" s="84"/>
      <c r="Y129" s="84"/>
      <c r="Z129" s="84"/>
    </row>
    <row r="130" spans="1:26" x14ac:dyDescent="0.25">
      <c r="A130" s="84"/>
      <c r="B130" s="84"/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84"/>
      <c r="U130" s="84"/>
      <c r="V130" s="84"/>
      <c r="W130" s="84"/>
      <c r="X130" s="84"/>
      <c r="Y130" s="84"/>
      <c r="Z130" s="84"/>
    </row>
    <row r="131" spans="1:26" x14ac:dyDescent="0.25">
      <c r="A131" s="84"/>
      <c r="B131" s="84"/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</row>
    <row r="132" spans="1:26" x14ac:dyDescent="0.25">
      <c r="A132" s="84"/>
      <c r="B132" s="84"/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</row>
    <row r="133" spans="1:26" x14ac:dyDescent="0.25">
      <c r="A133" s="84"/>
      <c r="B133" s="84"/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84"/>
      <c r="U133" s="84"/>
      <c r="V133" s="84"/>
      <c r="W133" s="84"/>
      <c r="X133" s="84"/>
      <c r="Y133" s="84"/>
      <c r="Z133" s="84"/>
    </row>
    <row r="134" spans="1:26" x14ac:dyDescent="0.25">
      <c r="A134" s="84"/>
      <c r="B134" s="84"/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84"/>
      <c r="U134" s="84"/>
      <c r="V134" s="84"/>
      <c r="W134" s="84"/>
      <c r="X134" s="84"/>
      <c r="Y134" s="84"/>
      <c r="Z134" s="84"/>
    </row>
    <row r="135" spans="1:26" x14ac:dyDescent="0.25">
      <c r="A135" s="84"/>
      <c r="B135" s="84"/>
      <c r="C135" s="84"/>
      <c r="D135" s="84"/>
      <c r="E135" s="84"/>
      <c r="F135" s="84"/>
      <c r="G135" s="84"/>
      <c r="H135" s="84"/>
      <c r="I135" s="84"/>
      <c r="J135" s="84"/>
      <c r="K135" s="84"/>
      <c r="L135" s="84"/>
      <c r="M135" s="84"/>
      <c r="N135" s="84"/>
      <c r="O135" s="84"/>
      <c r="P135" s="84"/>
      <c r="Q135" s="84"/>
      <c r="R135" s="84"/>
      <c r="S135" s="84"/>
      <c r="T135" s="84"/>
      <c r="U135" s="84"/>
      <c r="V135" s="84"/>
      <c r="W135" s="84"/>
      <c r="X135" s="84"/>
      <c r="Y135" s="84"/>
      <c r="Z135" s="84"/>
    </row>
    <row r="136" spans="1:26" x14ac:dyDescent="0.25">
      <c r="A136" s="84"/>
      <c r="B136" s="84"/>
      <c r="C136" s="84"/>
      <c r="D136" s="84"/>
      <c r="E136" s="84"/>
      <c r="F136" s="84"/>
      <c r="G136" s="84"/>
      <c r="H136" s="84"/>
      <c r="I136" s="84"/>
      <c r="J136" s="84"/>
      <c r="K136" s="84"/>
      <c r="L136" s="84"/>
      <c r="M136" s="84"/>
      <c r="N136" s="84"/>
      <c r="O136" s="84"/>
      <c r="P136" s="84"/>
      <c r="Q136" s="84"/>
      <c r="R136" s="84"/>
      <c r="S136" s="84"/>
      <c r="T136" s="84"/>
      <c r="U136" s="84"/>
      <c r="V136" s="84"/>
      <c r="W136" s="84"/>
      <c r="X136" s="84"/>
      <c r="Y136" s="84"/>
      <c r="Z136" s="84"/>
    </row>
    <row r="137" spans="1:26" x14ac:dyDescent="0.25">
      <c r="A137" s="84"/>
      <c r="B137" s="84"/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</row>
    <row r="138" spans="1:26" x14ac:dyDescent="0.25">
      <c r="A138" s="84"/>
      <c r="B138" s="84"/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</row>
    <row r="139" spans="1:26" x14ac:dyDescent="0.25">
      <c r="A139" s="84"/>
      <c r="B139" s="84"/>
      <c r="C139" s="84"/>
      <c r="D139" s="84"/>
      <c r="E139" s="84"/>
      <c r="F139" s="84"/>
      <c r="G139" s="84"/>
      <c r="H139" s="84"/>
      <c r="I139" s="84"/>
      <c r="J139" s="84"/>
      <c r="K139" s="84"/>
      <c r="L139" s="84"/>
      <c r="M139" s="84"/>
      <c r="N139" s="84"/>
      <c r="O139" s="84"/>
      <c r="P139" s="84"/>
      <c r="Q139" s="84"/>
      <c r="R139" s="84"/>
      <c r="S139" s="84"/>
      <c r="T139" s="84"/>
      <c r="U139" s="84"/>
      <c r="V139" s="84"/>
      <c r="W139" s="84"/>
      <c r="X139" s="84"/>
      <c r="Y139" s="84"/>
      <c r="Z139" s="84"/>
    </row>
    <row r="140" spans="1:26" x14ac:dyDescent="0.25">
      <c r="A140" s="84"/>
      <c r="B140" s="84"/>
      <c r="C140" s="84"/>
      <c r="D140" s="84"/>
      <c r="E140" s="84"/>
      <c r="F140" s="84"/>
      <c r="G140" s="84"/>
      <c r="H140" s="84"/>
      <c r="I140" s="84"/>
      <c r="J140" s="84"/>
      <c r="K140" s="84"/>
      <c r="L140" s="84"/>
      <c r="M140" s="84"/>
      <c r="N140" s="84"/>
      <c r="O140" s="84"/>
      <c r="P140" s="84"/>
      <c r="Q140" s="84"/>
      <c r="R140" s="84"/>
      <c r="S140" s="84"/>
      <c r="T140" s="84"/>
      <c r="U140" s="84"/>
      <c r="V140" s="84"/>
      <c r="W140" s="84"/>
      <c r="X140" s="84"/>
      <c r="Y140" s="84"/>
      <c r="Z140" s="84"/>
    </row>
    <row r="141" spans="1:26" x14ac:dyDescent="0.25">
      <c r="A141" s="84"/>
      <c r="B141" s="84"/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</row>
    <row r="142" spans="1:26" x14ac:dyDescent="0.25">
      <c r="A142" s="84"/>
      <c r="B142" s="84"/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</row>
    <row r="143" spans="1:26" x14ac:dyDescent="0.25">
      <c r="A143" s="84"/>
      <c r="B143" s="84"/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84"/>
      <c r="Y143" s="84"/>
      <c r="Z143" s="84"/>
    </row>
    <row r="144" spans="1:26" x14ac:dyDescent="0.25">
      <c r="A144" s="84"/>
      <c r="B144" s="84"/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84"/>
      <c r="Y144" s="84"/>
      <c r="Z144" s="84"/>
    </row>
    <row r="145" spans="1:26" x14ac:dyDescent="0.25">
      <c r="A145" s="84"/>
      <c r="B145" s="84"/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</row>
    <row r="146" spans="1:26" x14ac:dyDescent="0.25">
      <c r="A146" s="84"/>
      <c r="B146" s="84"/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</row>
    <row r="147" spans="1:26" x14ac:dyDescent="0.25">
      <c r="A147" s="84"/>
      <c r="B147" s="84"/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84"/>
      <c r="Y147" s="84"/>
      <c r="Z147" s="84"/>
    </row>
    <row r="148" spans="1:26" x14ac:dyDescent="0.25">
      <c r="A148" s="84"/>
      <c r="B148" s="84"/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</row>
    <row r="149" spans="1:26" x14ac:dyDescent="0.25">
      <c r="A149" s="84"/>
      <c r="B149" s="84"/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84"/>
      <c r="Y149" s="84"/>
      <c r="Z149" s="84"/>
    </row>
    <row r="150" spans="1:26" x14ac:dyDescent="0.25">
      <c r="A150" s="84"/>
      <c r="B150" s="84"/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84"/>
      <c r="Y150" s="84"/>
      <c r="Z150" s="84"/>
    </row>
    <row r="151" spans="1:26" x14ac:dyDescent="0.25">
      <c r="A151" s="84"/>
      <c r="B151" s="84"/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84"/>
      <c r="Y151" s="84"/>
      <c r="Z151" s="84"/>
    </row>
    <row r="152" spans="1:26" x14ac:dyDescent="0.25">
      <c r="A152" s="84"/>
      <c r="B152" s="84"/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84"/>
      <c r="Y152" s="84"/>
      <c r="Z152" s="84"/>
    </row>
    <row r="153" spans="1:26" x14ac:dyDescent="0.25">
      <c r="A153" s="84"/>
      <c r="B153" s="84"/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84"/>
      <c r="Y153" s="84"/>
      <c r="Z153" s="84"/>
    </row>
    <row r="154" spans="1:26" x14ac:dyDescent="0.25">
      <c r="A154" s="84"/>
      <c r="B154" s="84"/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84"/>
      <c r="Y154" s="84"/>
      <c r="Z154" s="84"/>
    </row>
    <row r="155" spans="1:26" x14ac:dyDescent="0.25">
      <c r="A155" s="84"/>
      <c r="B155" s="84"/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84"/>
      <c r="Y155" s="84"/>
      <c r="Z155" s="84"/>
    </row>
    <row r="156" spans="1:26" x14ac:dyDescent="0.25">
      <c r="A156" s="84"/>
      <c r="B156" s="84"/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84"/>
      <c r="Y156" s="84"/>
      <c r="Z156" s="84"/>
    </row>
    <row r="157" spans="1:26" x14ac:dyDescent="0.25">
      <c r="A157" s="84"/>
      <c r="B157" s="84"/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84"/>
      <c r="Y157" s="84"/>
      <c r="Z157" s="84"/>
    </row>
    <row r="158" spans="1:26" x14ac:dyDescent="0.25">
      <c r="A158" s="84"/>
      <c r="B158" s="84"/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</row>
    <row r="159" spans="1:26" x14ac:dyDescent="0.25">
      <c r="A159" s="84"/>
      <c r="B159" s="84"/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84"/>
      <c r="Y159" s="84"/>
      <c r="Z159" s="84"/>
    </row>
    <row r="160" spans="1:26" x14ac:dyDescent="0.25">
      <c r="A160" s="84"/>
      <c r="B160" s="84"/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  <c r="S160" s="84"/>
      <c r="T160" s="84"/>
      <c r="U160" s="84"/>
      <c r="V160" s="84"/>
      <c r="W160" s="84"/>
      <c r="X160" s="84"/>
      <c r="Y160" s="84"/>
      <c r="Z160" s="84"/>
    </row>
    <row r="161" spans="1:26" x14ac:dyDescent="0.25">
      <c r="A161" s="84"/>
      <c r="B161" s="84"/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  <c r="S161" s="84"/>
      <c r="T161" s="84"/>
      <c r="U161" s="84"/>
      <c r="V161" s="84"/>
      <c r="W161" s="84"/>
      <c r="X161" s="84"/>
      <c r="Y161" s="84"/>
      <c r="Z161" s="84"/>
    </row>
    <row r="162" spans="1:26" x14ac:dyDescent="0.25">
      <c r="A162" s="84"/>
      <c r="B162" s="84"/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4"/>
      <c r="Z162" s="84"/>
    </row>
    <row r="163" spans="1:26" x14ac:dyDescent="0.25">
      <c r="A163" s="84"/>
      <c r="B163" s="84"/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  <c r="S163" s="84"/>
      <c r="T163" s="84"/>
      <c r="U163" s="84"/>
      <c r="V163" s="84"/>
      <c r="W163" s="84"/>
      <c r="X163" s="84"/>
      <c r="Y163" s="84"/>
      <c r="Z163" s="84"/>
    </row>
    <row r="164" spans="1:26" x14ac:dyDescent="0.25">
      <c r="A164" s="84"/>
      <c r="B164" s="84"/>
      <c r="C164" s="84"/>
      <c r="D164" s="84"/>
      <c r="E164" s="84"/>
      <c r="F164" s="84"/>
      <c r="G164" s="84"/>
      <c r="H164" s="84"/>
      <c r="I164" s="84"/>
      <c r="J164" s="84"/>
      <c r="K164" s="84"/>
      <c r="L164" s="84"/>
      <c r="M164" s="84"/>
      <c r="N164" s="84"/>
      <c r="O164" s="84"/>
      <c r="P164" s="84"/>
      <c r="Q164" s="84"/>
      <c r="R164" s="84"/>
      <c r="S164" s="84"/>
      <c r="T164" s="84"/>
      <c r="U164" s="84"/>
      <c r="V164" s="84"/>
      <c r="W164" s="84"/>
      <c r="X164" s="84"/>
      <c r="Y164" s="84"/>
      <c r="Z164" s="84"/>
    </row>
    <row r="165" spans="1:26" x14ac:dyDescent="0.25">
      <c r="A165" s="84"/>
      <c r="B165" s="84"/>
      <c r="C165" s="84"/>
      <c r="D165" s="84"/>
      <c r="E165" s="84"/>
      <c r="F165" s="84"/>
      <c r="G165" s="84"/>
      <c r="H165" s="84"/>
      <c r="I165" s="84"/>
      <c r="J165" s="84"/>
      <c r="K165" s="84"/>
      <c r="L165" s="84"/>
      <c r="M165" s="84"/>
      <c r="N165" s="84"/>
      <c r="O165" s="84"/>
      <c r="P165" s="84"/>
      <c r="Q165" s="84"/>
      <c r="R165" s="84"/>
      <c r="S165" s="84"/>
      <c r="T165" s="84"/>
      <c r="U165" s="84"/>
      <c r="V165" s="84"/>
      <c r="W165" s="84"/>
      <c r="X165" s="84"/>
      <c r="Y165" s="84"/>
      <c r="Z165" s="84"/>
    </row>
    <row r="166" spans="1:26" x14ac:dyDescent="0.25">
      <c r="A166" s="84"/>
      <c r="B166" s="84"/>
      <c r="C166" s="84"/>
      <c r="D166" s="84"/>
      <c r="E166" s="84"/>
      <c r="F166" s="84"/>
      <c r="G166" s="84"/>
      <c r="H166" s="84"/>
      <c r="I166" s="84"/>
      <c r="J166" s="84"/>
      <c r="K166" s="84"/>
      <c r="L166" s="84"/>
      <c r="M166" s="84"/>
      <c r="N166" s="84"/>
      <c r="O166" s="84"/>
      <c r="P166" s="84"/>
      <c r="Q166" s="84"/>
      <c r="R166" s="84"/>
      <c r="S166" s="84"/>
      <c r="T166" s="84"/>
      <c r="U166" s="84"/>
      <c r="V166" s="84"/>
      <c r="W166" s="84"/>
      <c r="X166" s="84"/>
      <c r="Y166" s="84"/>
      <c r="Z166" s="84"/>
    </row>
    <row r="167" spans="1:26" x14ac:dyDescent="0.25">
      <c r="A167" s="84"/>
      <c r="B167" s="84"/>
      <c r="C167" s="84"/>
      <c r="D167" s="84"/>
      <c r="E167" s="84"/>
      <c r="F167" s="84"/>
      <c r="G167" s="84"/>
      <c r="H167" s="84"/>
      <c r="I167" s="84"/>
      <c r="J167" s="84"/>
      <c r="K167" s="84"/>
      <c r="L167" s="84"/>
      <c r="M167" s="84"/>
      <c r="N167" s="84"/>
      <c r="O167" s="84"/>
      <c r="P167" s="84"/>
      <c r="Q167" s="84"/>
      <c r="R167" s="84"/>
      <c r="S167" s="84"/>
      <c r="T167" s="84"/>
      <c r="U167" s="84"/>
      <c r="V167" s="84"/>
      <c r="W167" s="84"/>
      <c r="X167" s="84"/>
      <c r="Y167" s="84"/>
      <c r="Z167" s="84"/>
    </row>
    <row r="168" spans="1:26" x14ac:dyDescent="0.25">
      <c r="A168" s="84"/>
      <c r="B168" s="84"/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</row>
    <row r="169" spans="1:26" x14ac:dyDescent="0.25">
      <c r="A169" s="84"/>
      <c r="B169" s="84"/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</row>
    <row r="170" spans="1:26" x14ac:dyDescent="0.25">
      <c r="A170" s="84"/>
      <c r="B170" s="84"/>
      <c r="C170" s="84"/>
      <c r="D170" s="84"/>
      <c r="E170" s="84"/>
      <c r="F170" s="84"/>
      <c r="G170" s="84"/>
      <c r="H170" s="84"/>
      <c r="I170" s="84"/>
      <c r="J170" s="84"/>
      <c r="K170" s="84"/>
      <c r="L170" s="84"/>
      <c r="M170" s="84"/>
      <c r="N170" s="84"/>
      <c r="O170" s="84"/>
      <c r="P170" s="84"/>
      <c r="Q170" s="84"/>
      <c r="R170" s="84"/>
      <c r="S170" s="84"/>
      <c r="T170" s="84"/>
      <c r="U170" s="84"/>
      <c r="V170" s="84"/>
      <c r="W170" s="84"/>
      <c r="X170" s="84"/>
      <c r="Y170" s="84"/>
      <c r="Z170" s="84"/>
    </row>
    <row r="171" spans="1:26" x14ac:dyDescent="0.25">
      <c r="A171" s="84"/>
      <c r="B171" s="84"/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  <c r="S171" s="84"/>
      <c r="T171" s="84"/>
      <c r="U171" s="84"/>
      <c r="V171" s="84"/>
      <c r="W171" s="84"/>
      <c r="X171" s="84"/>
      <c r="Y171" s="84"/>
      <c r="Z171" s="84"/>
    </row>
    <row r="172" spans="1:26" x14ac:dyDescent="0.25">
      <c r="A172" s="84"/>
      <c r="B172" s="84"/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</row>
    <row r="173" spans="1:26" x14ac:dyDescent="0.25">
      <c r="A173" s="84"/>
      <c r="B173" s="84"/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</row>
    <row r="174" spans="1:26" x14ac:dyDescent="0.25">
      <c r="A174" s="84"/>
      <c r="B174" s="84"/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  <c r="S174" s="84"/>
      <c r="T174" s="84"/>
      <c r="U174" s="84"/>
      <c r="V174" s="84"/>
      <c r="W174" s="84"/>
      <c r="X174" s="84"/>
      <c r="Y174" s="84"/>
      <c r="Z174" s="84"/>
    </row>
    <row r="175" spans="1:26" x14ac:dyDescent="0.25">
      <c r="A175" s="84"/>
      <c r="B175" s="84"/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  <c r="S175" s="84"/>
      <c r="T175" s="84"/>
      <c r="U175" s="84"/>
      <c r="V175" s="84"/>
      <c r="W175" s="84"/>
      <c r="X175" s="84"/>
      <c r="Y175" s="84"/>
      <c r="Z175" s="84"/>
    </row>
    <row r="176" spans="1:26" x14ac:dyDescent="0.25">
      <c r="A176" s="84"/>
      <c r="B176" s="84"/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  <c r="S176" s="84"/>
      <c r="T176" s="84"/>
      <c r="U176" s="84"/>
      <c r="V176" s="84"/>
      <c r="W176" s="84"/>
      <c r="X176" s="84"/>
      <c r="Y176" s="84"/>
      <c r="Z176" s="84"/>
    </row>
    <row r="177" spans="1:26" x14ac:dyDescent="0.25">
      <c r="A177" s="84"/>
      <c r="B177" s="84"/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  <c r="S177" s="84"/>
      <c r="T177" s="84"/>
      <c r="U177" s="84"/>
      <c r="V177" s="84"/>
      <c r="W177" s="84"/>
      <c r="X177" s="84"/>
      <c r="Y177" s="84"/>
      <c r="Z177" s="84"/>
    </row>
    <row r="178" spans="1:26" x14ac:dyDescent="0.25">
      <c r="A178" s="84"/>
      <c r="B178" s="84"/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  <c r="S178" s="84"/>
      <c r="T178" s="84"/>
      <c r="U178" s="84"/>
      <c r="V178" s="84"/>
      <c r="W178" s="84"/>
      <c r="X178" s="84"/>
      <c r="Y178" s="84"/>
      <c r="Z178" s="84"/>
    </row>
    <row r="179" spans="1:26" x14ac:dyDescent="0.25">
      <c r="A179" s="84"/>
      <c r="B179" s="84"/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  <c r="S179" s="84"/>
      <c r="T179" s="84"/>
      <c r="U179" s="84"/>
      <c r="V179" s="84"/>
      <c r="W179" s="84"/>
      <c r="X179" s="84"/>
      <c r="Y179" s="84"/>
      <c r="Z179" s="84"/>
    </row>
    <row r="180" spans="1:26" x14ac:dyDescent="0.25">
      <c r="A180" s="84"/>
      <c r="B180" s="84"/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  <c r="S180" s="84"/>
      <c r="T180" s="84"/>
      <c r="U180" s="84"/>
      <c r="V180" s="84"/>
      <c r="W180" s="84"/>
      <c r="X180" s="84"/>
      <c r="Y180" s="84"/>
      <c r="Z180" s="84"/>
    </row>
    <row r="181" spans="1:26" x14ac:dyDescent="0.25">
      <c r="A181" s="84"/>
      <c r="B181" s="84"/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  <c r="S181" s="84"/>
      <c r="T181" s="84"/>
      <c r="U181" s="84"/>
      <c r="V181" s="84"/>
      <c r="W181" s="84"/>
      <c r="X181" s="84"/>
      <c r="Y181" s="84"/>
      <c r="Z181" s="84"/>
    </row>
    <row r="182" spans="1:26" x14ac:dyDescent="0.25">
      <c r="A182" s="84"/>
      <c r="B182" s="84"/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  <c r="S182" s="84"/>
      <c r="T182" s="84"/>
      <c r="U182" s="84"/>
      <c r="V182" s="84"/>
      <c r="W182" s="84"/>
      <c r="X182" s="84"/>
      <c r="Y182" s="84"/>
      <c r="Z182" s="84"/>
    </row>
    <row r="183" spans="1:26" x14ac:dyDescent="0.25">
      <c r="A183" s="84"/>
      <c r="B183" s="84"/>
      <c r="C183" s="84"/>
      <c r="D183" s="84"/>
      <c r="E183" s="84"/>
      <c r="F183" s="84"/>
      <c r="G183" s="84"/>
      <c r="H183" s="84"/>
      <c r="I183" s="84"/>
      <c r="J183" s="84"/>
      <c r="K183" s="84"/>
      <c r="L183" s="84"/>
      <c r="M183" s="84"/>
      <c r="N183" s="84"/>
      <c r="O183" s="84"/>
      <c r="P183" s="84"/>
      <c r="Q183" s="84"/>
      <c r="R183" s="84"/>
      <c r="S183" s="84"/>
      <c r="T183" s="84"/>
      <c r="U183" s="84"/>
      <c r="V183" s="84"/>
      <c r="W183" s="84"/>
      <c r="X183" s="84"/>
      <c r="Y183" s="84"/>
      <c r="Z183" s="84"/>
    </row>
    <row r="184" spans="1:26" x14ac:dyDescent="0.25">
      <c r="A184" s="84"/>
      <c r="B184" s="84"/>
      <c r="C184" s="84"/>
      <c r="D184" s="84"/>
      <c r="E184" s="84"/>
      <c r="F184" s="84"/>
      <c r="G184" s="84"/>
      <c r="H184" s="84"/>
      <c r="I184" s="84"/>
      <c r="J184" s="84"/>
      <c r="K184" s="84"/>
      <c r="L184" s="84"/>
      <c r="M184" s="84"/>
      <c r="N184" s="84"/>
      <c r="O184" s="84"/>
      <c r="P184" s="84"/>
      <c r="Q184" s="84"/>
      <c r="R184" s="84"/>
      <c r="S184" s="84"/>
      <c r="T184" s="84"/>
      <c r="U184" s="84"/>
      <c r="V184" s="84"/>
      <c r="W184" s="84"/>
      <c r="X184" s="84"/>
      <c r="Y184" s="84"/>
      <c r="Z184" s="84"/>
    </row>
    <row r="185" spans="1:26" x14ac:dyDescent="0.25">
      <c r="A185" s="84"/>
      <c r="B185" s="84"/>
      <c r="C185" s="84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4"/>
      <c r="O185" s="84"/>
      <c r="P185" s="84"/>
      <c r="Q185" s="84"/>
      <c r="R185" s="84"/>
      <c r="S185" s="84"/>
      <c r="T185" s="84"/>
      <c r="U185" s="84"/>
      <c r="V185" s="84"/>
      <c r="W185" s="84"/>
      <c r="X185" s="84"/>
      <c r="Y185" s="84"/>
      <c r="Z185" s="84"/>
    </row>
    <row r="186" spans="1:26" x14ac:dyDescent="0.25">
      <c r="A186" s="84"/>
      <c r="B186" s="84"/>
      <c r="C186" s="84"/>
      <c r="D186" s="84"/>
      <c r="E186" s="84"/>
      <c r="F186" s="84"/>
      <c r="G186" s="84"/>
      <c r="H186" s="84"/>
      <c r="I186" s="84"/>
      <c r="J186" s="84"/>
      <c r="K186" s="84"/>
      <c r="L186" s="84"/>
      <c r="M186" s="84"/>
      <c r="N186" s="84"/>
      <c r="O186" s="84"/>
      <c r="P186" s="84"/>
      <c r="Q186" s="84"/>
      <c r="R186" s="84"/>
      <c r="S186" s="84"/>
      <c r="T186" s="84"/>
      <c r="U186" s="84"/>
      <c r="V186" s="84"/>
      <c r="W186" s="84"/>
      <c r="X186" s="84"/>
      <c r="Y186" s="84"/>
      <c r="Z186" s="84"/>
    </row>
    <row r="187" spans="1:26" x14ac:dyDescent="0.25">
      <c r="A187" s="84"/>
      <c r="B187" s="84"/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  <c r="S187" s="84"/>
      <c r="T187" s="84"/>
      <c r="U187" s="84"/>
      <c r="V187" s="84"/>
      <c r="W187" s="84"/>
      <c r="X187" s="84"/>
      <c r="Y187" s="84"/>
      <c r="Z187" s="84"/>
    </row>
    <row r="188" spans="1:26" x14ac:dyDescent="0.25">
      <c r="A188" s="84"/>
      <c r="B188" s="84"/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  <c r="S188" s="84"/>
      <c r="T188" s="84"/>
      <c r="U188" s="84"/>
      <c r="V188" s="84"/>
      <c r="W188" s="84"/>
      <c r="X188" s="84"/>
      <c r="Y188" s="84"/>
      <c r="Z188" s="84"/>
    </row>
    <row r="189" spans="1:26" x14ac:dyDescent="0.25">
      <c r="A189" s="84"/>
      <c r="B189" s="84"/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  <c r="S189" s="84"/>
      <c r="T189" s="84"/>
      <c r="U189" s="84"/>
      <c r="V189" s="84"/>
      <c r="W189" s="84"/>
      <c r="X189" s="84"/>
      <c r="Y189" s="84"/>
      <c r="Z189" s="84"/>
    </row>
    <row r="190" spans="1:26" x14ac:dyDescent="0.25">
      <c r="A190" s="84"/>
      <c r="B190" s="84"/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  <c r="S190" s="84"/>
      <c r="T190" s="84"/>
      <c r="U190" s="84"/>
      <c r="V190" s="84"/>
      <c r="W190" s="84"/>
      <c r="X190" s="84"/>
      <c r="Y190" s="84"/>
      <c r="Z190" s="84"/>
    </row>
    <row r="191" spans="1:26" x14ac:dyDescent="0.25">
      <c r="A191" s="84"/>
      <c r="B191" s="84"/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Z191" s="84"/>
    </row>
    <row r="192" spans="1:26" x14ac:dyDescent="0.25">
      <c r="A192" s="84"/>
      <c r="B192" s="84"/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</row>
    <row r="193" spans="1:26" x14ac:dyDescent="0.25">
      <c r="A193" s="84"/>
      <c r="B193" s="84"/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</row>
    <row r="194" spans="1:26" x14ac:dyDescent="0.25">
      <c r="A194" s="84"/>
      <c r="B194" s="84"/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</row>
    <row r="195" spans="1:26" x14ac:dyDescent="0.25">
      <c r="A195" s="84"/>
      <c r="B195" s="84"/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  <c r="S195" s="84"/>
      <c r="T195" s="84"/>
      <c r="U195" s="84"/>
      <c r="V195" s="84"/>
      <c r="W195" s="84"/>
      <c r="X195" s="84"/>
      <c r="Y195" s="84"/>
      <c r="Z195" s="84"/>
    </row>
    <row r="196" spans="1:26" x14ac:dyDescent="0.25">
      <c r="A196" s="84"/>
      <c r="B196" s="84"/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</row>
    <row r="197" spans="1:26" x14ac:dyDescent="0.25">
      <c r="A197" s="84"/>
      <c r="B197" s="84"/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</row>
    <row r="198" spans="1:26" x14ac:dyDescent="0.25">
      <c r="A198" s="84"/>
      <c r="B198" s="84"/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  <c r="S198" s="84"/>
      <c r="T198" s="84"/>
      <c r="U198" s="84"/>
      <c r="V198" s="84"/>
      <c r="W198" s="84"/>
      <c r="X198" s="84"/>
      <c r="Y198" s="84"/>
      <c r="Z198" s="84"/>
    </row>
    <row r="199" spans="1:26" x14ac:dyDescent="0.25">
      <c r="A199" s="84"/>
      <c r="B199" s="84"/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  <c r="S199" s="84"/>
      <c r="T199" s="84"/>
      <c r="U199" s="84"/>
      <c r="V199" s="84"/>
      <c r="W199" s="84"/>
      <c r="X199" s="84"/>
      <c r="Y199" s="84"/>
      <c r="Z199" s="84"/>
    </row>
    <row r="200" spans="1:26" x14ac:dyDescent="0.25">
      <c r="A200" s="84"/>
      <c r="B200" s="84"/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</row>
    <row r="201" spans="1:26" x14ac:dyDescent="0.25">
      <c r="A201" s="84"/>
      <c r="B201" s="84"/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</row>
    <row r="202" spans="1:26" x14ac:dyDescent="0.25">
      <c r="A202" s="84"/>
      <c r="B202" s="84"/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  <c r="S202" s="84"/>
      <c r="T202" s="84"/>
      <c r="U202" s="84"/>
      <c r="V202" s="84"/>
      <c r="W202" s="84"/>
      <c r="X202" s="84"/>
      <c r="Y202" s="84"/>
      <c r="Z202" s="84"/>
    </row>
    <row r="203" spans="1:26" x14ac:dyDescent="0.25">
      <c r="A203" s="84"/>
      <c r="B203" s="84"/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  <c r="S203" s="84"/>
      <c r="T203" s="84"/>
      <c r="U203" s="84"/>
      <c r="V203" s="84"/>
      <c r="W203" s="84"/>
      <c r="X203" s="84"/>
      <c r="Y203" s="84"/>
      <c r="Z203" s="84"/>
    </row>
    <row r="204" spans="1:26" x14ac:dyDescent="0.25">
      <c r="A204" s="84"/>
      <c r="B204" s="84"/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  <c r="S204" s="84"/>
      <c r="T204" s="84"/>
      <c r="U204" s="84"/>
      <c r="V204" s="84"/>
      <c r="W204" s="84"/>
      <c r="X204" s="84"/>
      <c r="Y204" s="84"/>
      <c r="Z204" s="84"/>
    </row>
    <row r="205" spans="1:26" x14ac:dyDescent="0.25">
      <c r="A205" s="84"/>
      <c r="B205" s="84"/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  <c r="S205" s="84"/>
      <c r="T205" s="84"/>
      <c r="U205" s="84"/>
      <c r="V205" s="84"/>
      <c r="W205" s="84"/>
      <c r="X205" s="84"/>
      <c r="Y205" s="84"/>
      <c r="Z205" s="84"/>
    </row>
    <row r="206" spans="1:26" x14ac:dyDescent="0.25">
      <c r="A206" s="84"/>
      <c r="B206" s="84"/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  <c r="S206" s="84"/>
      <c r="T206" s="84"/>
      <c r="U206" s="84"/>
      <c r="V206" s="84"/>
      <c r="W206" s="84"/>
      <c r="X206" s="84"/>
      <c r="Y206" s="84"/>
      <c r="Z206" s="84"/>
    </row>
    <row r="207" spans="1:26" x14ac:dyDescent="0.25">
      <c r="A207" s="84"/>
      <c r="B207" s="84"/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</row>
    <row r="208" spans="1:26" x14ac:dyDescent="0.25">
      <c r="A208" s="84"/>
      <c r="B208" s="84"/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  <c r="S208" s="84"/>
      <c r="T208" s="84"/>
      <c r="U208" s="84"/>
      <c r="V208" s="84"/>
      <c r="W208" s="84"/>
      <c r="X208" s="84"/>
      <c r="Y208" s="84"/>
      <c r="Z208" s="84"/>
    </row>
    <row r="209" spans="1:26" x14ac:dyDescent="0.25">
      <c r="A209" s="84"/>
      <c r="B209" s="84"/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  <c r="S209" s="84"/>
      <c r="T209" s="84"/>
      <c r="U209" s="84"/>
      <c r="V209" s="84"/>
      <c r="W209" s="84"/>
      <c r="X209" s="84"/>
      <c r="Y209" s="84"/>
      <c r="Z209" s="84"/>
    </row>
    <row r="210" spans="1:26" x14ac:dyDescent="0.25">
      <c r="A210" s="84"/>
      <c r="B210" s="84"/>
      <c r="C210" s="84"/>
      <c r="D210" s="84"/>
      <c r="E210" s="84"/>
      <c r="F210" s="84"/>
      <c r="G210" s="84"/>
      <c r="H210" s="84"/>
      <c r="I210" s="84"/>
      <c r="J210" s="84"/>
      <c r="K210" s="84"/>
      <c r="L210" s="84"/>
      <c r="M210" s="84"/>
      <c r="N210" s="84"/>
      <c r="O210" s="84"/>
      <c r="P210" s="84"/>
      <c r="Q210" s="84"/>
      <c r="R210" s="84"/>
      <c r="S210" s="84"/>
      <c r="T210" s="84"/>
      <c r="U210" s="84"/>
      <c r="V210" s="84"/>
      <c r="W210" s="84"/>
      <c r="X210" s="84"/>
      <c r="Y210" s="84"/>
      <c r="Z210" s="84"/>
    </row>
    <row r="211" spans="1:26" x14ac:dyDescent="0.25">
      <c r="A211" s="84"/>
      <c r="B211" s="84"/>
      <c r="C211" s="84"/>
      <c r="D211" s="84"/>
      <c r="E211" s="84"/>
      <c r="F211" s="84"/>
      <c r="G211" s="84"/>
      <c r="H211" s="84"/>
      <c r="I211" s="84"/>
      <c r="J211" s="84"/>
      <c r="K211" s="84"/>
      <c r="L211" s="84"/>
      <c r="M211" s="84"/>
      <c r="N211" s="84"/>
      <c r="O211" s="84"/>
      <c r="P211" s="84"/>
      <c r="Q211" s="84"/>
      <c r="R211" s="84"/>
      <c r="S211" s="84"/>
      <c r="T211" s="84"/>
      <c r="U211" s="84"/>
      <c r="V211" s="84"/>
      <c r="W211" s="84"/>
      <c r="X211" s="84"/>
      <c r="Y211" s="84"/>
      <c r="Z211" s="84"/>
    </row>
    <row r="212" spans="1:26" x14ac:dyDescent="0.25">
      <c r="A212" s="84"/>
      <c r="B212" s="84"/>
      <c r="C212" s="84"/>
      <c r="D212" s="84"/>
      <c r="E212" s="84"/>
      <c r="F212" s="84"/>
      <c r="G212" s="84"/>
      <c r="H212" s="84"/>
      <c r="I212" s="84"/>
      <c r="J212" s="84"/>
      <c r="K212" s="84"/>
      <c r="L212" s="84"/>
      <c r="M212" s="84"/>
      <c r="N212" s="84"/>
      <c r="O212" s="84"/>
      <c r="P212" s="84"/>
      <c r="Q212" s="84"/>
      <c r="R212" s="84"/>
      <c r="S212" s="84"/>
      <c r="T212" s="84"/>
      <c r="U212" s="84"/>
      <c r="V212" s="84"/>
      <c r="W212" s="84"/>
      <c r="X212" s="84"/>
      <c r="Y212" s="84"/>
      <c r="Z212" s="84"/>
    </row>
    <row r="213" spans="1:26" x14ac:dyDescent="0.25">
      <c r="A213" s="84"/>
      <c r="B213" s="84"/>
      <c r="C213" s="84"/>
      <c r="D213" s="84"/>
      <c r="E213" s="84"/>
      <c r="F213" s="84"/>
      <c r="G213" s="84"/>
      <c r="H213" s="84"/>
      <c r="I213" s="84"/>
      <c r="J213" s="84"/>
      <c r="K213" s="84"/>
      <c r="L213" s="84"/>
      <c r="M213" s="84"/>
      <c r="N213" s="84"/>
      <c r="O213" s="84"/>
      <c r="P213" s="84"/>
      <c r="Q213" s="84"/>
      <c r="R213" s="84"/>
      <c r="S213" s="84"/>
      <c r="T213" s="84"/>
      <c r="U213" s="84"/>
      <c r="V213" s="84"/>
      <c r="W213" s="84"/>
      <c r="X213" s="84"/>
      <c r="Y213" s="84"/>
      <c r="Z213" s="84"/>
    </row>
    <row r="214" spans="1:26" x14ac:dyDescent="0.25">
      <c r="A214" s="84"/>
      <c r="B214" s="84"/>
      <c r="C214" s="84"/>
      <c r="D214" s="84"/>
      <c r="E214" s="84"/>
      <c r="F214" s="84"/>
      <c r="G214" s="84"/>
      <c r="H214" s="84"/>
      <c r="I214" s="84"/>
      <c r="J214" s="84"/>
      <c r="K214" s="84"/>
      <c r="L214" s="84"/>
      <c r="M214" s="84"/>
      <c r="N214" s="84"/>
      <c r="O214" s="84"/>
      <c r="P214" s="84"/>
      <c r="Q214" s="84"/>
      <c r="R214" s="84"/>
      <c r="S214" s="84"/>
      <c r="T214" s="84"/>
      <c r="U214" s="84"/>
      <c r="V214" s="84"/>
      <c r="W214" s="84"/>
      <c r="X214" s="84"/>
      <c r="Y214" s="84"/>
      <c r="Z214" s="84"/>
    </row>
    <row r="215" spans="1:26" x14ac:dyDescent="0.25">
      <c r="A215" s="84"/>
      <c r="B215" s="84"/>
      <c r="C215" s="84"/>
      <c r="D215" s="84"/>
      <c r="E215" s="84"/>
      <c r="F215" s="84"/>
      <c r="G215" s="84"/>
      <c r="H215" s="84"/>
      <c r="I215" s="84"/>
      <c r="J215" s="84"/>
      <c r="K215" s="84"/>
      <c r="L215" s="84"/>
      <c r="M215" s="84"/>
      <c r="N215" s="84"/>
      <c r="O215" s="84"/>
      <c r="P215" s="84"/>
      <c r="Q215" s="84"/>
      <c r="R215" s="84"/>
      <c r="S215" s="84"/>
      <c r="T215" s="84"/>
      <c r="U215" s="84"/>
      <c r="V215" s="84"/>
      <c r="W215" s="84"/>
      <c r="X215" s="84"/>
      <c r="Y215" s="84"/>
      <c r="Z215" s="84"/>
    </row>
    <row r="216" spans="1:26" x14ac:dyDescent="0.25">
      <c r="A216" s="84"/>
      <c r="B216" s="84"/>
      <c r="C216" s="84"/>
      <c r="D216" s="84"/>
      <c r="E216" s="84"/>
      <c r="F216" s="84"/>
      <c r="G216" s="84"/>
      <c r="H216" s="84"/>
      <c r="I216" s="84"/>
      <c r="J216" s="84"/>
      <c r="K216" s="84"/>
      <c r="L216" s="84"/>
      <c r="M216" s="84"/>
      <c r="N216" s="84"/>
      <c r="O216" s="84"/>
      <c r="P216" s="84"/>
      <c r="Q216" s="84"/>
      <c r="R216" s="84"/>
      <c r="S216" s="84"/>
      <c r="T216" s="84"/>
      <c r="U216" s="84"/>
      <c r="V216" s="84"/>
      <c r="W216" s="84"/>
      <c r="X216" s="84"/>
      <c r="Y216" s="84"/>
      <c r="Z216" s="84"/>
    </row>
    <row r="217" spans="1:26" x14ac:dyDescent="0.25">
      <c r="A217" s="84"/>
      <c r="B217" s="84"/>
      <c r="C217" s="84"/>
      <c r="D217" s="84"/>
      <c r="E217" s="84"/>
      <c r="F217" s="84"/>
      <c r="G217" s="84"/>
      <c r="H217" s="84"/>
      <c r="I217" s="84"/>
      <c r="J217" s="84"/>
      <c r="K217" s="84"/>
      <c r="L217" s="84"/>
      <c r="M217" s="84"/>
      <c r="N217" s="84"/>
      <c r="O217" s="84"/>
      <c r="P217" s="84"/>
      <c r="Q217" s="84"/>
      <c r="R217" s="84"/>
      <c r="S217" s="84"/>
      <c r="T217" s="84"/>
      <c r="U217" s="84"/>
      <c r="V217" s="84"/>
      <c r="W217" s="84"/>
      <c r="X217" s="84"/>
      <c r="Y217" s="84"/>
      <c r="Z217" s="84"/>
    </row>
    <row r="218" spans="1:26" x14ac:dyDescent="0.25">
      <c r="A218" s="84"/>
      <c r="B218" s="84"/>
      <c r="C218" s="84"/>
      <c r="D218" s="84"/>
      <c r="E218" s="84"/>
      <c r="F218" s="84"/>
      <c r="G218" s="84"/>
      <c r="H218" s="84"/>
      <c r="I218" s="84"/>
      <c r="J218" s="84"/>
      <c r="K218" s="84"/>
      <c r="L218" s="84"/>
      <c r="M218" s="84"/>
      <c r="N218" s="84"/>
      <c r="O218" s="84"/>
      <c r="P218" s="84"/>
      <c r="Q218" s="84"/>
      <c r="R218" s="84"/>
      <c r="S218" s="84"/>
      <c r="T218" s="84"/>
      <c r="U218" s="84"/>
      <c r="V218" s="84"/>
      <c r="W218" s="84"/>
      <c r="X218" s="84"/>
      <c r="Y218" s="84"/>
      <c r="Z218" s="84"/>
    </row>
    <row r="219" spans="1:26" x14ac:dyDescent="0.25">
      <c r="A219" s="84"/>
      <c r="B219" s="84"/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</row>
    <row r="220" spans="1:26" x14ac:dyDescent="0.25">
      <c r="A220" s="84"/>
      <c r="B220" s="84"/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  <c r="S220" s="84"/>
      <c r="T220" s="84"/>
      <c r="U220" s="84"/>
      <c r="V220" s="84"/>
      <c r="W220" s="84"/>
      <c r="X220" s="84"/>
      <c r="Y220" s="84"/>
      <c r="Z220" s="84"/>
    </row>
    <row r="221" spans="1:26" x14ac:dyDescent="0.25">
      <c r="A221" s="84"/>
      <c r="B221" s="84"/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  <c r="S221" s="84"/>
      <c r="T221" s="84"/>
      <c r="U221" s="84"/>
      <c r="V221" s="84"/>
      <c r="W221" s="84"/>
      <c r="X221" s="84"/>
      <c r="Y221" s="84"/>
      <c r="Z221" s="84"/>
    </row>
    <row r="222" spans="1:26" x14ac:dyDescent="0.25">
      <c r="A222" s="84"/>
      <c r="B222" s="84"/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  <c r="S222" s="84"/>
      <c r="T222" s="84"/>
      <c r="U222" s="84"/>
      <c r="V222" s="84"/>
      <c r="W222" s="84"/>
      <c r="X222" s="84"/>
      <c r="Y222" s="84"/>
      <c r="Z222" s="84"/>
    </row>
    <row r="223" spans="1:26" x14ac:dyDescent="0.25">
      <c r="A223" s="84"/>
      <c r="B223" s="84"/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</row>
    <row r="224" spans="1:26" x14ac:dyDescent="0.25">
      <c r="A224" s="84"/>
      <c r="B224" s="84"/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</row>
    <row r="225" spans="1:26" x14ac:dyDescent="0.25">
      <c r="A225" s="84"/>
      <c r="B225" s="84"/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</row>
    <row r="226" spans="1:26" x14ac:dyDescent="0.25">
      <c r="A226" s="84"/>
      <c r="B226" s="84"/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  <c r="S226" s="84"/>
      <c r="T226" s="84"/>
      <c r="U226" s="84"/>
      <c r="V226" s="84"/>
      <c r="W226" s="84"/>
      <c r="X226" s="84"/>
      <c r="Y226" s="84"/>
      <c r="Z226" s="84"/>
    </row>
    <row r="227" spans="1:26" x14ac:dyDescent="0.25">
      <c r="A227" s="84"/>
      <c r="B227" s="84"/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</row>
    <row r="228" spans="1:26" x14ac:dyDescent="0.25">
      <c r="A228" s="84"/>
      <c r="B228" s="84"/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</row>
    <row r="229" spans="1:26" x14ac:dyDescent="0.25">
      <c r="A229" s="84"/>
      <c r="B229" s="84"/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  <c r="S229" s="84"/>
      <c r="T229" s="84"/>
      <c r="U229" s="84"/>
      <c r="V229" s="84"/>
      <c r="W229" s="84"/>
      <c r="X229" s="84"/>
      <c r="Y229" s="84"/>
      <c r="Z229" s="84"/>
    </row>
    <row r="230" spans="1:26" x14ac:dyDescent="0.25">
      <c r="A230" s="84"/>
      <c r="B230" s="84"/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  <c r="S230" s="84"/>
      <c r="T230" s="84"/>
      <c r="U230" s="84"/>
      <c r="V230" s="84"/>
      <c r="W230" s="84"/>
      <c r="X230" s="84"/>
      <c r="Y230" s="84"/>
      <c r="Z230" s="84"/>
    </row>
    <row r="231" spans="1:26" x14ac:dyDescent="0.25">
      <c r="A231" s="84"/>
      <c r="B231" s="84"/>
      <c r="C231" s="84"/>
      <c r="D231" s="84"/>
      <c r="E231" s="84"/>
      <c r="F231" s="84"/>
      <c r="G231" s="84"/>
      <c r="H231" s="84"/>
      <c r="I231" s="84"/>
      <c r="J231" s="84"/>
      <c r="K231" s="84"/>
      <c r="L231" s="84"/>
      <c r="M231" s="84"/>
      <c r="N231" s="84"/>
      <c r="O231" s="84"/>
      <c r="P231" s="84"/>
      <c r="Q231" s="84"/>
      <c r="R231" s="84"/>
      <c r="S231" s="84"/>
      <c r="T231" s="84"/>
      <c r="U231" s="84"/>
      <c r="V231" s="84"/>
      <c r="W231" s="84"/>
      <c r="X231" s="84"/>
      <c r="Y231" s="84"/>
      <c r="Z231" s="84"/>
    </row>
    <row r="232" spans="1:26" x14ac:dyDescent="0.25">
      <c r="A232" s="84"/>
      <c r="B232" s="84"/>
      <c r="C232" s="84"/>
      <c r="D232" s="84"/>
      <c r="E232" s="84"/>
      <c r="F232" s="84"/>
      <c r="G232" s="84"/>
      <c r="H232" s="84"/>
      <c r="I232" s="84"/>
      <c r="J232" s="84"/>
      <c r="K232" s="84"/>
      <c r="L232" s="84"/>
      <c r="M232" s="84"/>
      <c r="N232" s="84"/>
      <c r="O232" s="84"/>
      <c r="P232" s="84"/>
      <c r="Q232" s="84"/>
      <c r="R232" s="84"/>
      <c r="S232" s="84"/>
      <c r="T232" s="84"/>
      <c r="U232" s="84"/>
      <c r="V232" s="84"/>
      <c r="W232" s="84"/>
      <c r="X232" s="84"/>
      <c r="Y232" s="84"/>
      <c r="Z232" s="84"/>
    </row>
    <row r="233" spans="1:26" x14ac:dyDescent="0.25">
      <c r="A233" s="84"/>
      <c r="B233" s="84"/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  <c r="S233" s="84"/>
      <c r="T233" s="84"/>
      <c r="U233" s="84"/>
      <c r="V233" s="84"/>
      <c r="W233" s="84"/>
      <c r="X233" s="84"/>
      <c r="Y233" s="84"/>
      <c r="Z233" s="84"/>
    </row>
    <row r="234" spans="1:26" x14ac:dyDescent="0.25">
      <c r="A234" s="84"/>
      <c r="B234" s="84"/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  <c r="S234" s="84"/>
      <c r="T234" s="84"/>
      <c r="U234" s="84"/>
      <c r="V234" s="84"/>
      <c r="W234" s="84"/>
      <c r="X234" s="84"/>
      <c r="Y234" s="84"/>
      <c r="Z234" s="84"/>
    </row>
    <row r="235" spans="1:26" x14ac:dyDescent="0.25">
      <c r="A235" s="84"/>
      <c r="B235" s="84"/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  <c r="S235" s="84"/>
      <c r="T235" s="84"/>
      <c r="U235" s="84"/>
      <c r="V235" s="84"/>
      <c r="W235" s="84"/>
      <c r="X235" s="84"/>
      <c r="Y235" s="84"/>
      <c r="Z235" s="84"/>
    </row>
    <row r="236" spans="1:26" x14ac:dyDescent="0.25">
      <c r="A236" s="84"/>
      <c r="B236" s="84"/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  <c r="S236" s="84"/>
      <c r="T236" s="84"/>
      <c r="U236" s="84"/>
      <c r="V236" s="84"/>
      <c r="W236" s="84"/>
      <c r="X236" s="84"/>
      <c r="Y236" s="84"/>
      <c r="Z236" s="84"/>
    </row>
    <row r="237" spans="1:26" x14ac:dyDescent="0.25">
      <c r="A237" s="84"/>
      <c r="B237" s="84"/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  <c r="S237" s="84"/>
      <c r="T237" s="84"/>
      <c r="U237" s="84"/>
      <c r="V237" s="84"/>
      <c r="W237" s="84"/>
      <c r="X237" s="84"/>
      <c r="Y237" s="84"/>
      <c r="Z237" s="84"/>
    </row>
    <row r="238" spans="1:26" x14ac:dyDescent="0.25">
      <c r="A238" s="84"/>
      <c r="B238" s="84"/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  <c r="S238" s="84"/>
      <c r="T238" s="84"/>
      <c r="U238" s="84"/>
      <c r="V238" s="84"/>
      <c r="W238" s="84"/>
      <c r="X238" s="84"/>
      <c r="Y238" s="84"/>
      <c r="Z238" s="84"/>
    </row>
    <row r="239" spans="1:26" x14ac:dyDescent="0.25">
      <c r="A239" s="84"/>
      <c r="B239" s="84"/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  <c r="S239" s="84"/>
      <c r="T239" s="84"/>
      <c r="U239" s="84"/>
      <c r="V239" s="84"/>
      <c r="W239" s="84"/>
      <c r="X239" s="84"/>
      <c r="Y239" s="84"/>
      <c r="Z239" s="84"/>
    </row>
    <row r="240" spans="1:26" x14ac:dyDescent="0.25">
      <c r="A240" s="84"/>
      <c r="B240" s="84"/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  <c r="S240" s="84"/>
      <c r="T240" s="84"/>
      <c r="U240" s="84"/>
      <c r="V240" s="84"/>
      <c r="W240" s="84"/>
      <c r="X240" s="84"/>
      <c r="Y240" s="84"/>
      <c r="Z240" s="84"/>
    </row>
    <row r="241" spans="1:26" x14ac:dyDescent="0.25">
      <c r="A241" s="84"/>
      <c r="B241" s="84"/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  <c r="S241" s="84"/>
      <c r="T241" s="84"/>
      <c r="U241" s="84"/>
      <c r="V241" s="84"/>
      <c r="W241" s="84"/>
      <c r="X241" s="84"/>
      <c r="Y241" s="84"/>
      <c r="Z241" s="84"/>
    </row>
    <row r="242" spans="1:26" x14ac:dyDescent="0.25">
      <c r="A242" s="84"/>
      <c r="B242" s="84"/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  <c r="S242" s="84"/>
      <c r="T242" s="84"/>
      <c r="U242" s="84"/>
      <c r="V242" s="84"/>
      <c r="W242" s="84"/>
      <c r="X242" s="84"/>
      <c r="Y242" s="84"/>
      <c r="Z242" s="84"/>
    </row>
    <row r="243" spans="1:26" x14ac:dyDescent="0.25">
      <c r="A243" s="84"/>
      <c r="B243" s="84"/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  <c r="S243" s="84"/>
      <c r="T243" s="84"/>
      <c r="U243" s="84"/>
      <c r="V243" s="84"/>
      <c r="W243" s="84"/>
      <c r="X243" s="84"/>
      <c r="Y243" s="84"/>
      <c r="Z243" s="84"/>
    </row>
    <row r="244" spans="1:26" x14ac:dyDescent="0.25">
      <c r="A244" s="84"/>
      <c r="B244" s="84"/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  <c r="S244" s="84"/>
      <c r="T244" s="84"/>
      <c r="U244" s="84"/>
      <c r="V244" s="84"/>
      <c r="W244" s="84"/>
      <c r="X244" s="84"/>
      <c r="Y244" s="84"/>
      <c r="Z244" s="84"/>
    </row>
    <row r="245" spans="1:26" x14ac:dyDescent="0.25">
      <c r="A245" s="84"/>
      <c r="B245" s="84"/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  <c r="S245" s="84"/>
      <c r="T245" s="84"/>
      <c r="U245" s="84"/>
      <c r="V245" s="84"/>
      <c r="W245" s="84"/>
      <c r="X245" s="84"/>
      <c r="Y245" s="84"/>
      <c r="Z245" s="84"/>
    </row>
    <row r="246" spans="1:26" x14ac:dyDescent="0.25">
      <c r="A246" s="84"/>
      <c r="B246" s="84"/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  <c r="S246" s="84"/>
      <c r="T246" s="84"/>
      <c r="U246" s="84"/>
      <c r="V246" s="84"/>
      <c r="W246" s="84"/>
      <c r="X246" s="84"/>
      <c r="Y246" s="84"/>
      <c r="Z246" s="84"/>
    </row>
    <row r="247" spans="1:26" x14ac:dyDescent="0.25">
      <c r="A247" s="84"/>
      <c r="B247" s="84"/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</row>
    <row r="248" spans="1:26" x14ac:dyDescent="0.25">
      <c r="A248" s="84"/>
      <c r="B248" s="84"/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</row>
    <row r="249" spans="1:26" x14ac:dyDescent="0.25">
      <c r="A249" s="84"/>
      <c r="B249" s="84"/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</row>
    <row r="250" spans="1:26" x14ac:dyDescent="0.25">
      <c r="A250" s="84"/>
      <c r="B250" s="84"/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  <c r="S250" s="84"/>
      <c r="T250" s="84"/>
      <c r="U250" s="84"/>
      <c r="V250" s="84"/>
      <c r="W250" s="84"/>
      <c r="X250" s="84"/>
      <c r="Y250" s="84"/>
      <c r="Z250" s="84"/>
    </row>
    <row r="251" spans="1:26" x14ac:dyDescent="0.25">
      <c r="A251" s="84"/>
      <c r="B251" s="84"/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</row>
    <row r="252" spans="1:26" x14ac:dyDescent="0.25">
      <c r="A252" s="84"/>
      <c r="B252" s="84"/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</row>
    <row r="253" spans="1:26" x14ac:dyDescent="0.25">
      <c r="A253" s="84"/>
      <c r="B253" s="84"/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  <c r="S253" s="84"/>
      <c r="T253" s="84"/>
      <c r="U253" s="84"/>
      <c r="V253" s="84"/>
      <c r="W253" s="84"/>
      <c r="X253" s="84"/>
      <c r="Y253" s="84"/>
      <c r="Z253" s="84"/>
    </row>
    <row r="254" spans="1:26" x14ac:dyDescent="0.25">
      <c r="A254" s="84"/>
      <c r="B254" s="84"/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  <c r="S254" s="84"/>
      <c r="T254" s="84"/>
      <c r="U254" s="84"/>
      <c r="V254" s="84"/>
      <c r="W254" s="84"/>
      <c r="X254" s="84"/>
      <c r="Y254" s="84"/>
      <c r="Z254" s="84"/>
    </row>
    <row r="255" spans="1:26" x14ac:dyDescent="0.25">
      <c r="A255" s="84"/>
      <c r="B255" s="84"/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</row>
    <row r="256" spans="1:26" x14ac:dyDescent="0.25">
      <c r="A256" s="84"/>
      <c r="B256" s="84"/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</row>
    <row r="257" spans="1:26" x14ac:dyDescent="0.25">
      <c r="A257" s="84"/>
      <c r="B257" s="84"/>
      <c r="C257" s="84"/>
      <c r="D257" s="84"/>
      <c r="E257" s="84"/>
      <c r="F257" s="84"/>
      <c r="G257" s="84"/>
      <c r="H257" s="84"/>
      <c r="I257" s="84"/>
      <c r="J257" s="84"/>
      <c r="K257" s="84"/>
      <c r="L257" s="84"/>
      <c r="M257" s="84"/>
      <c r="N257" s="84"/>
      <c r="O257" s="84"/>
      <c r="P257" s="84"/>
      <c r="Q257" s="84"/>
      <c r="R257" s="84"/>
      <c r="S257" s="84"/>
      <c r="T257" s="84"/>
      <c r="U257" s="84"/>
      <c r="V257" s="84"/>
      <c r="W257" s="84"/>
      <c r="X257" s="84"/>
      <c r="Y257" s="84"/>
      <c r="Z257" s="84"/>
    </row>
    <row r="258" spans="1:26" x14ac:dyDescent="0.25">
      <c r="A258" s="84"/>
      <c r="B258" s="84"/>
      <c r="C258" s="84"/>
      <c r="D258" s="84"/>
      <c r="E258" s="84"/>
      <c r="F258" s="84"/>
      <c r="G258" s="84"/>
      <c r="H258" s="84"/>
      <c r="I258" s="84"/>
      <c r="J258" s="84"/>
      <c r="K258" s="84"/>
      <c r="L258" s="84"/>
      <c r="M258" s="84"/>
      <c r="N258" s="84"/>
      <c r="O258" s="84"/>
      <c r="P258" s="84"/>
      <c r="Q258" s="84"/>
      <c r="R258" s="84"/>
      <c r="S258" s="84"/>
      <c r="T258" s="84"/>
      <c r="U258" s="84"/>
      <c r="V258" s="84"/>
      <c r="W258" s="84"/>
      <c r="X258" s="84"/>
      <c r="Y258" s="84"/>
      <c r="Z258" s="84"/>
    </row>
    <row r="259" spans="1:26" x14ac:dyDescent="0.25">
      <c r="A259" s="84"/>
      <c r="B259" s="84"/>
      <c r="C259" s="84"/>
      <c r="D259" s="84"/>
      <c r="E259" s="84"/>
      <c r="F259" s="84"/>
      <c r="G259" s="84"/>
      <c r="H259" s="84"/>
      <c r="I259" s="84"/>
      <c r="J259" s="84"/>
      <c r="K259" s="84"/>
      <c r="L259" s="84"/>
      <c r="M259" s="84"/>
      <c r="N259" s="84"/>
      <c r="O259" s="84"/>
      <c r="P259" s="84"/>
      <c r="Q259" s="84"/>
      <c r="R259" s="84"/>
      <c r="S259" s="84"/>
      <c r="T259" s="84"/>
      <c r="U259" s="84"/>
      <c r="V259" s="84"/>
      <c r="W259" s="84"/>
      <c r="X259" s="84"/>
      <c r="Y259" s="84"/>
      <c r="Z259" s="84"/>
    </row>
    <row r="260" spans="1:26" x14ac:dyDescent="0.25">
      <c r="A260" s="84"/>
      <c r="B260" s="84"/>
      <c r="C260" s="84"/>
      <c r="D260" s="84"/>
      <c r="E260" s="84"/>
      <c r="F260" s="84"/>
      <c r="G260" s="84"/>
      <c r="H260" s="84"/>
      <c r="I260" s="84"/>
      <c r="J260" s="84"/>
      <c r="K260" s="84"/>
      <c r="L260" s="84"/>
      <c r="M260" s="84"/>
      <c r="N260" s="84"/>
      <c r="O260" s="84"/>
      <c r="P260" s="84"/>
      <c r="Q260" s="84"/>
      <c r="R260" s="84"/>
      <c r="S260" s="84"/>
      <c r="T260" s="84"/>
      <c r="U260" s="84"/>
      <c r="V260" s="84"/>
      <c r="W260" s="84"/>
      <c r="X260" s="84"/>
      <c r="Y260" s="84"/>
      <c r="Z260" s="84"/>
    </row>
    <row r="261" spans="1:26" x14ac:dyDescent="0.25">
      <c r="A261" s="84"/>
      <c r="B261" s="84"/>
      <c r="C261" s="84"/>
      <c r="D261" s="84"/>
      <c r="E261" s="84"/>
      <c r="F261" s="84"/>
      <c r="G261" s="84"/>
      <c r="H261" s="84"/>
      <c r="I261" s="84"/>
      <c r="J261" s="84"/>
      <c r="K261" s="84"/>
      <c r="L261" s="84"/>
      <c r="M261" s="84"/>
      <c r="N261" s="84"/>
      <c r="O261" s="84"/>
      <c r="P261" s="84"/>
      <c r="Q261" s="84"/>
      <c r="R261" s="84"/>
      <c r="S261" s="84"/>
      <c r="T261" s="84"/>
      <c r="U261" s="84"/>
      <c r="V261" s="84"/>
      <c r="W261" s="84"/>
      <c r="X261" s="84"/>
      <c r="Y261" s="84"/>
      <c r="Z261" s="84"/>
    </row>
    <row r="262" spans="1:26" x14ac:dyDescent="0.25">
      <c r="A262" s="84"/>
      <c r="B262" s="84"/>
      <c r="C262" s="84"/>
      <c r="D262" s="84"/>
      <c r="E262" s="84"/>
      <c r="F262" s="84"/>
      <c r="G262" s="84"/>
      <c r="H262" s="84"/>
      <c r="I262" s="84"/>
      <c r="J262" s="84"/>
      <c r="K262" s="84"/>
      <c r="L262" s="84"/>
      <c r="M262" s="84"/>
      <c r="N262" s="84"/>
      <c r="O262" s="84"/>
      <c r="P262" s="84"/>
      <c r="Q262" s="84"/>
      <c r="R262" s="84"/>
      <c r="S262" s="84"/>
      <c r="T262" s="84"/>
      <c r="U262" s="84"/>
      <c r="V262" s="84"/>
      <c r="W262" s="84"/>
      <c r="X262" s="84"/>
      <c r="Y262" s="84"/>
      <c r="Z262" s="84"/>
    </row>
    <row r="263" spans="1:26" x14ac:dyDescent="0.25">
      <c r="A263" s="84"/>
      <c r="B263" s="84"/>
      <c r="C263" s="84"/>
      <c r="D263" s="84"/>
      <c r="E263" s="84"/>
      <c r="F263" s="84"/>
      <c r="G263" s="84"/>
      <c r="H263" s="84"/>
      <c r="I263" s="84"/>
      <c r="J263" s="84"/>
      <c r="K263" s="84"/>
      <c r="L263" s="84"/>
      <c r="M263" s="84"/>
      <c r="N263" s="84"/>
      <c r="O263" s="84"/>
      <c r="P263" s="84"/>
      <c r="Q263" s="84"/>
      <c r="R263" s="84"/>
      <c r="S263" s="84"/>
      <c r="T263" s="84"/>
      <c r="U263" s="84"/>
      <c r="V263" s="84"/>
      <c r="W263" s="84"/>
      <c r="X263" s="84"/>
      <c r="Y263" s="84"/>
      <c r="Z263" s="84"/>
    </row>
    <row r="264" spans="1:26" x14ac:dyDescent="0.25">
      <c r="A264" s="84"/>
      <c r="B264" s="84"/>
      <c r="C264" s="84"/>
      <c r="D264" s="84"/>
      <c r="E264" s="84"/>
      <c r="F264" s="84"/>
      <c r="G264" s="84"/>
      <c r="H264" s="84"/>
      <c r="I264" s="84"/>
      <c r="J264" s="84"/>
      <c r="K264" s="84"/>
      <c r="L264" s="84"/>
      <c r="M264" s="84"/>
      <c r="N264" s="84"/>
      <c r="O264" s="84"/>
      <c r="P264" s="84"/>
      <c r="Q264" s="84"/>
      <c r="R264" s="84"/>
      <c r="S264" s="84"/>
      <c r="T264" s="84"/>
      <c r="U264" s="84"/>
      <c r="V264" s="84"/>
      <c r="W264" s="84"/>
      <c r="X264" s="84"/>
      <c r="Y264" s="84"/>
      <c r="Z264" s="84"/>
    </row>
    <row r="265" spans="1:26" x14ac:dyDescent="0.25">
      <c r="A265" s="84"/>
      <c r="B265" s="84"/>
      <c r="C265" s="84"/>
      <c r="D265" s="84"/>
      <c r="E265" s="84"/>
      <c r="F265" s="84"/>
      <c r="G265" s="84"/>
      <c r="H265" s="84"/>
      <c r="I265" s="84"/>
      <c r="J265" s="84"/>
      <c r="K265" s="84"/>
      <c r="L265" s="84"/>
      <c r="M265" s="84"/>
      <c r="N265" s="84"/>
      <c r="O265" s="84"/>
      <c r="P265" s="84"/>
      <c r="Q265" s="84"/>
      <c r="R265" s="84"/>
      <c r="S265" s="84"/>
      <c r="T265" s="84"/>
      <c r="U265" s="84"/>
      <c r="V265" s="84"/>
      <c r="W265" s="84"/>
      <c r="X265" s="84"/>
      <c r="Y265" s="84"/>
      <c r="Z265" s="84"/>
    </row>
    <row r="266" spans="1:26" x14ac:dyDescent="0.25">
      <c r="A266" s="84"/>
      <c r="B266" s="84"/>
      <c r="C266" s="84"/>
      <c r="D266" s="84"/>
      <c r="E266" s="84"/>
      <c r="F266" s="84"/>
      <c r="G266" s="84"/>
      <c r="H266" s="84"/>
      <c r="I266" s="84"/>
      <c r="J266" s="84"/>
      <c r="K266" s="84"/>
      <c r="L266" s="84"/>
      <c r="M266" s="84"/>
      <c r="N266" s="84"/>
      <c r="O266" s="84"/>
      <c r="P266" s="84"/>
      <c r="Q266" s="84"/>
      <c r="R266" s="84"/>
      <c r="S266" s="84"/>
      <c r="T266" s="84"/>
      <c r="U266" s="84"/>
      <c r="V266" s="84"/>
      <c r="W266" s="84"/>
      <c r="X266" s="84"/>
      <c r="Y266" s="84"/>
      <c r="Z266" s="84"/>
    </row>
    <row r="267" spans="1:26" x14ac:dyDescent="0.25">
      <c r="A267" s="84"/>
      <c r="B267" s="84"/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  <c r="S267" s="84"/>
      <c r="T267" s="84"/>
      <c r="U267" s="84"/>
      <c r="V267" s="84"/>
      <c r="W267" s="84"/>
      <c r="X267" s="84"/>
      <c r="Y267" s="84"/>
      <c r="Z267" s="84"/>
    </row>
    <row r="268" spans="1:26" x14ac:dyDescent="0.25">
      <c r="A268" s="84"/>
      <c r="B268" s="84"/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  <c r="S268" s="84"/>
      <c r="T268" s="84"/>
      <c r="U268" s="84"/>
      <c r="V268" s="84"/>
      <c r="W268" s="84"/>
      <c r="X268" s="84"/>
      <c r="Y268" s="84"/>
      <c r="Z268" s="84"/>
    </row>
    <row r="269" spans="1:26" x14ac:dyDescent="0.25">
      <c r="A269" s="84"/>
      <c r="B269" s="84"/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  <c r="S269" s="84"/>
      <c r="T269" s="84"/>
      <c r="U269" s="84"/>
      <c r="V269" s="84"/>
      <c r="W269" s="84"/>
      <c r="X269" s="84"/>
      <c r="Y269" s="84"/>
      <c r="Z269" s="84"/>
    </row>
    <row r="270" spans="1:26" x14ac:dyDescent="0.25">
      <c r="A270" s="84"/>
      <c r="B270" s="84"/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  <c r="S270" s="84"/>
      <c r="T270" s="84"/>
      <c r="U270" s="84"/>
      <c r="V270" s="84"/>
      <c r="W270" s="84"/>
      <c r="X270" s="84"/>
      <c r="Y270" s="84"/>
      <c r="Z270" s="84"/>
    </row>
    <row r="271" spans="1:26" x14ac:dyDescent="0.25">
      <c r="A271" s="84"/>
      <c r="B271" s="84"/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  <c r="S271" s="84"/>
      <c r="T271" s="84"/>
      <c r="U271" s="84"/>
      <c r="V271" s="84"/>
      <c r="W271" s="84"/>
      <c r="X271" s="84"/>
      <c r="Y271" s="84"/>
      <c r="Z271" s="84"/>
    </row>
    <row r="272" spans="1:26" x14ac:dyDescent="0.25">
      <c r="A272" s="84"/>
      <c r="B272" s="84"/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  <c r="S272" s="84"/>
      <c r="T272" s="84"/>
      <c r="U272" s="84"/>
      <c r="V272" s="84"/>
      <c r="W272" s="84"/>
      <c r="X272" s="84"/>
      <c r="Y272" s="84"/>
      <c r="Z272" s="84"/>
    </row>
    <row r="273" spans="1:26" x14ac:dyDescent="0.25">
      <c r="A273" s="84"/>
      <c r="B273" s="84"/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  <c r="S273" s="84"/>
      <c r="T273" s="84"/>
      <c r="U273" s="84"/>
      <c r="V273" s="84"/>
      <c r="W273" s="84"/>
      <c r="X273" s="84"/>
      <c r="Y273" s="84"/>
      <c r="Z273" s="84"/>
    </row>
    <row r="274" spans="1:26" x14ac:dyDescent="0.25">
      <c r="A274" s="84"/>
      <c r="B274" s="84"/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  <c r="S274" s="84"/>
      <c r="T274" s="84"/>
      <c r="U274" s="84"/>
      <c r="V274" s="84"/>
      <c r="W274" s="84"/>
      <c r="X274" s="84"/>
      <c r="Y274" s="84"/>
      <c r="Z274" s="84"/>
    </row>
    <row r="275" spans="1:26" x14ac:dyDescent="0.25">
      <c r="A275" s="84"/>
      <c r="B275" s="84"/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</row>
    <row r="276" spans="1:26" x14ac:dyDescent="0.25">
      <c r="A276" s="84"/>
      <c r="B276" s="84"/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</row>
    <row r="277" spans="1:26" x14ac:dyDescent="0.25">
      <c r="A277" s="84"/>
      <c r="B277" s="84"/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</row>
    <row r="278" spans="1:26" x14ac:dyDescent="0.25">
      <c r="A278" s="84"/>
      <c r="B278" s="84"/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</row>
    <row r="279" spans="1:26" x14ac:dyDescent="0.25">
      <c r="A279" s="84"/>
      <c r="B279" s="84"/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</row>
    <row r="280" spans="1:26" x14ac:dyDescent="0.25">
      <c r="A280" s="84"/>
      <c r="B280" s="84"/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</row>
    <row r="281" spans="1:26" x14ac:dyDescent="0.25">
      <c r="A281" s="84"/>
      <c r="B281" s="84"/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</row>
    <row r="282" spans="1:26" x14ac:dyDescent="0.25">
      <c r="A282" s="84"/>
      <c r="B282" s="84"/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  <c r="S282" s="84"/>
      <c r="T282" s="84"/>
      <c r="U282" s="84"/>
      <c r="V282" s="84"/>
      <c r="W282" s="84"/>
      <c r="X282" s="84"/>
      <c r="Y282" s="84"/>
      <c r="Z282" s="84"/>
    </row>
    <row r="283" spans="1:26" x14ac:dyDescent="0.25">
      <c r="A283" s="84"/>
      <c r="B283" s="84"/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  <c r="S283" s="84"/>
      <c r="T283" s="84"/>
      <c r="U283" s="84"/>
      <c r="V283" s="84"/>
      <c r="W283" s="84"/>
      <c r="X283" s="84"/>
      <c r="Y283" s="84"/>
      <c r="Z283" s="84"/>
    </row>
    <row r="284" spans="1:26" x14ac:dyDescent="0.25">
      <c r="A284" s="84"/>
      <c r="B284" s="84"/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  <c r="S284" s="84"/>
      <c r="T284" s="84"/>
      <c r="U284" s="84"/>
      <c r="V284" s="84"/>
      <c r="W284" s="84"/>
      <c r="X284" s="84"/>
      <c r="Y284" s="84"/>
      <c r="Z284" s="84"/>
    </row>
    <row r="285" spans="1:26" x14ac:dyDescent="0.25">
      <c r="A285" s="84"/>
      <c r="B285" s="84"/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  <c r="S285" s="84"/>
      <c r="T285" s="84"/>
      <c r="U285" s="84"/>
      <c r="V285" s="84"/>
      <c r="W285" s="84"/>
      <c r="X285" s="84"/>
      <c r="Y285" s="84"/>
      <c r="Z285" s="84"/>
    </row>
    <row r="286" spans="1:26" x14ac:dyDescent="0.25">
      <c r="A286" s="84"/>
      <c r="B286" s="84"/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  <c r="S286" s="84"/>
      <c r="T286" s="84"/>
      <c r="U286" s="84"/>
      <c r="V286" s="84"/>
      <c r="W286" s="84"/>
      <c r="X286" s="84"/>
      <c r="Y286" s="84"/>
      <c r="Z286" s="84"/>
    </row>
    <row r="287" spans="1:26" x14ac:dyDescent="0.25">
      <c r="A287" s="84"/>
      <c r="B287" s="84"/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  <c r="S287" s="84"/>
      <c r="T287" s="84"/>
      <c r="U287" s="84"/>
      <c r="V287" s="84"/>
      <c r="W287" s="84"/>
      <c r="X287" s="84"/>
      <c r="Y287" s="84"/>
      <c r="Z287" s="84"/>
    </row>
    <row r="288" spans="1:26" x14ac:dyDescent="0.25">
      <c r="A288" s="84"/>
      <c r="B288" s="84"/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  <c r="S288" s="84"/>
      <c r="T288" s="84"/>
      <c r="U288" s="84"/>
      <c r="V288" s="84"/>
      <c r="W288" s="84"/>
      <c r="X288" s="84"/>
      <c r="Y288" s="84"/>
      <c r="Z288" s="84"/>
    </row>
    <row r="289" spans="1:26" x14ac:dyDescent="0.25">
      <c r="A289" s="84"/>
      <c r="B289" s="84"/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  <c r="S289" s="84"/>
      <c r="T289" s="84"/>
      <c r="U289" s="84"/>
      <c r="V289" s="84"/>
      <c r="W289" s="84"/>
      <c r="X289" s="84"/>
      <c r="Y289" s="84"/>
      <c r="Z289" s="84"/>
    </row>
    <row r="290" spans="1:26" x14ac:dyDescent="0.25">
      <c r="A290" s="84"/>
      <c r="B290" s="84"/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  <c r="S290" s="84"/>
      <c r="T290" s="84"/>
      <c r="U290" s="84"/>
      <c r="V290" s="84"/>
      <c r="W290" s="84"/>
      <c r="X290" s="84"/>
      <c r="Y290" s="84"/>
      <c r="Z290" s="84"/>
    </row>
    <row r="291" spans="1:26" x14ac:dyDescent="0.25">
      <c r="A291" s="84"/>
      <c r="B291" s="84"/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  <c r="S291" s="84"/>
      <c r="T291" s="84"/>
      <c r="U291" s="84"/>
      <c r="V291" s="84"/>
      <c r="W291" s="84"/>
      <c r="X291" s="84"/>
      <c r="Y291" s="84"/>
      <c r="Z291" s="84"/>
    </row>
    <row r="292" spans="1:26" x14ac:dyDescent="0.25">
      <c r="A292" s="84"/>
      <c r="B292" s="84"/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  <c r="S292" s="84"/>
      <c r="T292" s="84"/>
      <c r="U292" s="84"/>
      <c r="V292" s="84"/>
      <c r="W292" s="84"/>
      <c r="X292" s="84"/>
      <c r="Y292" s="84"/>
      <c r="Z292" s="84"/>
    </row>
    <row r="293" spans="1:26" x14ac:dyDescent="0.25">
      <c r="A293" s="84"/>
      <c r="B293" s="84"/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  <c r="S293" s="84"/>
      <c r="T293" s="84"/>
      <c r="U293" s="84"/>
      <c r="V293" s="84"/>
      <c r="W293" s="84"/>
      <c r="X293" s="84"/>
      <c r="Y293" s="84"/>
      <c r="Z293" s="84"/>
    </row>
    <row r="294" spans="1:26" x14ac:dyDescent="0.25">
      <c r="A294" s="84"/>
      <c r="B294" s="84"/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  <c r="S294" s="84"/>
      <c r="T294" s="84"/>
      <c r="U294" s="84"/>
      <c r="V294" s="84"/>
      <c r="W294" s="84"/>
      <c r="X294" s="84"/>
      <c r="Y294" s="84"/>
      <c r="Z294" s="84"/>
    </row>
    <row r="295" spans="1:26" x14ac:dyDescent="0.25">
      <c r="A295" s="84"/>
      <c r="B295" s="84"/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  <c r="S295" s="84"/>
      <c r="T295" s="84"/>
      <c r="U295" s="84"/>
      <c r="V295" s="84"/>
      <c r="W295" s="84"/>
      <c r="X295" s="84"/>
      <c r="Y295" s="84"/>
      <c r="Z295" s="84"/>
    </row>
    <row r="296" spans="1:26" x14ac:dyDescent="0.25">
      <c r="A296" s="84"/>
      <c r="B296" s="84"/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  <c r="S296" s="84"/>
      <c r="T296" s="84"/>
      <c r="U296" s="84"/>
      <c r="V296" s="84"/>
      <c r="W296" s="84"/>
      <c r="X296" s="84"/>
      <c r="Y296" s="84"/>
      <c r="Z296" s="84"/>
    </row>
    <row r="297" spans="1:26" x14ac:dyDescent="0.25">
      <c r="A297" s="84"/>
      <c r="B297" s="84"/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  <c r="S297" s="84"/>
      <c r="T297" s="84"/>
      <c r="U297" s="84"/>
      <c r="V297" s="84"/>
      <c r="W297" s="84"/>
      <c r="X297" s="84"/>
      <c r="Y297" s="84"/>
      <c r="Z297" s="84"/>
    </row>
    <row r="298" spans="1:26" x14ac:dyDescent="0.25">
      <c r="A298" s="84"/>
      <c r="B298" s="84"/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  <c r="S298" s="84"/>
      <c r="T298" s="84"/>
      <c r="U298" s="84"/>
      <c r="V298" s="84"/>
      <c r="W298" s="84"/>
      <c r="X298" s="84"/>
      <c r="Y298" s="84"/>
      <c r="Z298" s="84"/>
    </row>
    <row r="299" spans="1:26" x14ac:dyDescent="0.25">
      <c r="A299" s="84"/>
      <c r="B299" s="84"/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  <c r="S299" s="84"/>
      <c r="T299" s="84"/>
      <c r="U299" s="84"/>
      <c r="V299" s="84"/>
      <c r="W299" s="84"/>
      <c r="X299" s="84"/>
      <c r="Y299" s="84"/>
      <c r="Z299" s="84"/>
    </row>
    <row r="300" spans="1:26" x14ac:dyDescent="0.25">
      <c r="A300" s="84"/>
      <c r="B300" s="84"/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  <c r="S300" s="84"/>
      <c r="T300" s="84"/>
      <c r="U300" s="84"/>
      <c r="V300" s="84"/>
      <c r="W300" s="84"/>
      <c r="X300" s="84"/>
      <c r="Y300" s="84"/>
      <c r="Z300" s="84"/>
    </row>
    <row r="301" spans="1:26" x14ac:dyDescent="0.25">
      <c r="A301" s="84"/>
      <c r="B301" s="84"/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  <c r="S301" s="84"/>
      <c r="T301" s="84"/>
      <c r="U301" s="84"/>
      <c r="V301" s="84"/>
      <c r="W301" s="84"/>
      <c r="X301" s="84"/>
      <c r="Y301" s="84"/>
      <c r="Z301" s="84"/>
    </row>
    <row r="302" spans="1:26" x14ac:dyDescent="0.25">
      <c r="A302" s="84"/>
      <c r="B302" s="84"/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  <c r="S302" s="84"/>
      <c r="T302" s="84"/>
      <c r="U302" s="84"/>
      <c r="V302" s="84"/>
      <c r="W302" s="84"/>
      <c r="X302" s="84"/>
      <c r="Y302" s="84"/>
      <c r="Z302" s="84"/>
    </row>
    <row r="303" spans="1:26" x14ac:dyDescent="0.25">
      <c r="A303" s="84"/>
      <c r="B303" s="84"/>
      <c r="C303" s="84"/>
      <c r="D303" s="84"/>
      <c r="E303" s="84"/>
      <c r="F303" s="84"/>
      <c r="G303" s="84"/>
      <c r="H303" s="84"/>
      <c r="I303" s="84"/>
      <c r="J303" s="84"/>
      <c r="K303" s="84"/>
      <c r="L303" s="84"/>
      <c r="M303" s="84"/>
      <c r="N303" s="84"/>
      <c r="O303" s="84"/>
      <c r="P303" s="84"/>
      <c r="Q303" s="84"/>
      <c r="R303" s="84"/>
      <c r="S303" s="84"/>
      <c r="T303" s="84"/>
      <c r="U303" s="84"/>
      <c r="V303" s="84"/>
      <c r="W303" s="84"/>
      <c r="X303" s="84"/>
      <c r="Y303" s="84"/>
      <c r="Z303" s="84"/>
    </row>
    <row r="304" spans="1:26" x14ac:dyDescent="0.25">
      <c r="A304" s="84"/>
      <c r="B304" s="84"/>
      <c r="C304" s="84"/>
      <c r="D304" s="84"/>
      <c r="E304" s="84"/>
      <c r="F304" s="84"/>
      <c r="G304" s="84"/>
      <c r="H304" s="84"/>
      <c r="I304" s="84"/>
      <c r="J304" s="84"/>
      <c r="K304" s="84"/>
      <c r="L304" s="84"/>
      <c r="M304" s="84"/>
      <c r="N304" s="84"/>
      <c r="O304" s="84"/>
      <c r="P304" s="84"/>
      <c r="Q304" s="84"/>
      <c r="R304" s="84"/>
      <c r="S304" s="84"/>
      <c r="T304" s="84"/>
      <c r="U304" s="84"/>
      <c r="V304" s="84"/>
      <c r="W304" s="84"/>
      <c r="X304" s="84"/>
      <c r="Y304" s="84"/>
      <c r="Z304" s="84"/>
    </row>
    <row r="305" spans="1:26" x14ac:dyDescent="0.25">
      <c r="A305" s="84"/>
      <c r="B305" s="84"/>
      <c r="C305" s="84"/>
      <c r="D305" s="84"/>
      <c r="E305" s="84"/>
      <c r="F305" s="84"/>
      <c r="G305" s="84"/>
      <c r="H305" s="84"/>
      <c r="I305" s="84"/>
      <c r="J305" s="84"/>
      <c r="K305" s="84"/>
      <c r="L305" s="84"/>
      <c r="M305" s="84"/>
      <c r="N305" s="84"/>
      <c r="O305" s="84"/>
      <c r="P305" s="84"/>
      <c r="Q305" s="84"/>
      <c r="R305" s="84"/>
      <c r="S305" s="84"/>
      <c r="T305" s="84"/>
      <c r="U305" s="84"/>
      <c r="V305" s="84"/>
      <c r="W305" s="84"/>
      <c r="X305" s="84"/>
      <c r="Y305" s="84"/>
      <c r="Z305" s="84"/>
    </row>
    <row r="306" spans="1:26" x14ac:dyDescent="0.25">
      <c r="A306" s="84"/>
      <c r="B306" s="84"/>
      <c r="C306" s="84"/>
      <c r="D306" s="84"/>
      <c r="E306" s="84"/>
      <c r="F306" s="84"/>
      <c r="G306" s="84"/>
      <c r="H306" s="84"/>
      <c r="I306" s="84"/>
      <c r="J306" s="84"/>
      <c r="K306" s="84"/>
      <c r="L306" s="84"/>
      <c r="M306" s="84"/>
      <c r="N306" s="84"/>
      <c r="O306" s="84"/>
      <c r="P306" s="84"/>
      <c r="Q306" s="84"/>
      <c r="R306" s="84"/>
      <c r="S306" s="84"/>
      <c r="T306" s="84"/>
      <c r="U306" s="84"/>
      <c r="V306" s="84"/>
      <c r="W306" s="84"/>
      <c r="X306" s="84"/>
      <c r="Y306" s="84"/>
      <c r="Z306" s="84"/>
    </row>
    <row r="307" spans="1:26" x14ac:dyDescent="0.25">
      <c r="A307" s="84"/>
      <c r="B307" s="84"/>
      <c r="C307" s="84"/>
      <c r="D307" s="84"/>
      <c r="E307" s="84"/>
      <c r="F307" s="84"/>
      <c r="G307" s="84"/>
      <c r="H307" s="84"/>
      <c r="I307" s="84"/>
      <c r="J307" s="84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</row>
    <row r="308" spans="1:26" x14ac:dyDescent="0.25">
      <c r="A308" s="84"/>
      <c r="B308" s="84"/>
      <c r="C308" s="84"/>
      <c r="D308" s="84"/>
      <c r="E308" s="84"/>
      <c r="F308" s="84"/>
      <c r="G308" s="84"/>
      <c r="H308" s="84"/>
      <c r="I308" s="84"/>
      <c r="J308" s="84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</row>
    <row r="309" spans="1:26" x14ac:dyDescent="0.25">
      <c r="A309" s="84"/>
      <c r="B309" s="84"/>
      <c r="C309" s="84"/>
      <c r="D309" s="84"/>
      <c r="E309" s="84"/>
      <c r="F309" s="84"/>
      <c r="G309" s="84"/>
      <c r="H309" s="84"/>
      <c r="I309" s="84"/>
      <c r="J309" s="84"/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</row>
    <row r="310" spans="1:26" x14ac:dyDescent="0.25">
      <c r="A310" s="84"/>
      <c r="B310" s="84"/>
      <c r="C310" s="84"/>
      <c r="D310" s="84"/>
      <c r="E310" s="84"/>
      <c r="F310" s="84"/>
      <c r="G310" s="84"/>
      <c r="H310" s="84"/>
      <c r="I310" s="84"/>
      <c r="J310" s="84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</row>
    <row r="311" spans="1:26" x14ac:dyDescent="0.25">
      <c r="A311" s="84"/>
      <c r="B311" s="84"/>
      <c r="C311" s="84"/>
      <c r="D311" s="84"/>
      <c r="E311" s="84"/>
      <c r="F311" s="84"/>
      <c r="G311" s="84"/>
      <c r="H311" s="84"/>
      <c r="I311" s="84"/>
      <c r="J311" s="84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</row>
    <row r="312" spans="1:26" x14ac:dyDescent="0.25">
      <c r="A312" s="84"/>
      <c r="B312" s="84"/>
      <c r="C312" s="84"/>
      <c r="D312" s="84"/>
      <c r="E312" s="84"/>
      <c r="F312" s="84"/>
      <c r="G312" s="84"/>
      <c r="H312" s="84"/>
      <c r="I312" s="84"/>
      <c r="J312" s="84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</row>
    <row r="313" spans="1:26" x14ac:dyDescent="0.25">
      <c r="A313" s="84"/>
      <c r="B313" s="84"/>
      <c r="C313" s="84"/>
      <c r="D313" s="84"/>
      <c r="E313" s="84"/>
      <c r="F313" s="84"/>
      <c r="G313" s="84"/>
      <c r="H313" s="84"/>
      <c r="I313" s="84"/>
      <c r="J313" s="84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</row>
    <row r="314" spans="1:26" x14ac:dyDescent="0.25">
      <c r="A314" s="84"/>
      <c r="B314" s="84"/>
      <c r="C314" s="84"/>
      <c r="D314" s="84"/>
      <c r="E314" s="84"/>
      <c r="F314" s="84"/>
      <c r="G314" s="84"/>
      <c r="H314" s="84"/>
      <c r="I314" s="84"/>
      <c r="J314" s="84"/>
      <c r="K314" s="84"/>
      <c r="L314" s="84"/>
      <c r="M314" s="84"/>
      <c r="N314" s="84"/>
      <c r="O314" s="84"/>
      <c r="P314" s="84"/>
      <c r="Q314" s="84"/>
      <c r="R314" s="84"/>
      <c r="S314" s="84"/>
      <c r="T314" s="84"/>
      <c r="U314" s="84"/>
      <c r="V314" s="84"/>
      <c r="W314" s="84"/>
      <c r="X314" s="84"/>
      <c r="Y314" s="84"/>
      <c r="Z314" s="84"/>
    </row>
    <row r="315" spans="1:26" x14ac:dyDescent="0.25">
      <c r="A315" s="84"/>
      <c r="B315" s="84"/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  <c r="S315" s="84"/>
      <c r="T315" s="84"/>
      <c r="U315" s="84"/>
      <c r="V315" s="84"/>
      <c r="W315" s="84"/>
      <c r="X315" s="84"/>
      <c r="Y315" s="84"/>
      <c r="Z315" s="84"/>
    </row>
    <row r="316" spans="1:26" x14ac:dyDescent="0.25">
      <c r="A316" s="84"/>
      <c r="B316" s="84"/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  <c r="S316" s="84"/>
      <c r="T316" s="84"/>
      <c r="U316" s="84"/>
      <c r="V316" s="84"/>
      <c r="W316" s="84"/>
      <c r="X316" s="84"/>
      <c r="Y316" s="84"/>
      <c r="Z316" s="84"/>
    </row>
    <row r="317" spans="1:26" x14ac:dyDescent="0.25">
      <c r="A317" s="84"/>
      <c r="B317" s="84"/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  <c r="S317" s="84"/>
      <c r="T317" s="84"/>
      <c r="U317" s="84"/>
      <c r="V317" s="84"/>
      <c r="W317" s="84"/>
      <c r="X317" s="84"/>
      <c r="Y317" s="84"/>
      <c r="Z317" s="84"/>
    </row>
    <row r="318" spans="1:26" x14ac:dyDescent="0.25">
      <c r="A318" s="84"/>
      <c r="B318" s="84"/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  <c r="S318" s="84"/>
      <c r="T318" s="84"/>
      <c r="U318" s="84"/>
      <c r="V318" s="84"/>
      <c r="W318" s="84"/>
      <c r="X318" s="84"/>
      <c r="Y318" s="84"/>
      <c r="Z318" s="84"/>
    </row>
    <row r="319" spans="1:26" x14ac:dyDescent="0.25">
      <c r="A319" s="84"/>
      <c r="B319" s="84"/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  <c r="S319" s="84"/>
      <c r="T319" s="84"/>
      <c r="U319" s="84"/>
      <c r="V319" s="84"/>
      <c r="W319" s="84"/>
      <c r="X319" s="84"/>
      <c r="Y319" s="84"/>
      <c r="Z319" s="84"/>
    </row>
    <row r="320" spans="1:26" x14ac:dyDescent="0.25">
      <c r="A320" s="84"/>
      <c r="B320" s="84"/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  <c r="S320" s="84"/>
      <c r="T320" s="84"/>
      <c r="U320" s="84"/>
      <c r="V320" s="84"/>
      <c r="W320" s="84"/>
      <c r="X320" s="84"/>
      <c r="Y320" s="84"/>
      <c r="Z320" s="84"/>
    </row>
    <row r="321" spans="1:26" x14ac:dyDescent="0.25">
      <c r="A321" s="84"/>
      <c r="B321" s="84"/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  <c r="S321" s="84"/>
      <c r="T321" s="84"/>
      <c r="U321" s="84"/>
      <c r="V321" s="84"/>
      <c r="W321" s="84"/>
      <c r="X321" s="84"/>
      <c r="Y321" s="84"/>
      <c r="Z321" s="84"/>
    </row>
    <row r="322" spans="1:26" x14ac:dyDescent="0.25">
      <c r="A322" s="84"/>
      <c r="B322" s="84"/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  <c r="S322" s="84"/>
      <c r="T322" s="84"/>
      <c r="U322" s="84"/>
      <c r="V322" s="84"/>
      <c r="W322" s="84"/>
      <c r="X322" s="84"/>
      <c r="Y322" s="84"/>
      <c r="Z322" s="84"/>
    </row>
    <row r="323" spans="1:26" x14ac:dyDescent="0.25">
      <c r="A323" s="84"/>
      <c r="B323" s="84"/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  <c r="S323" s="84"/>
      <c r="T323" s="84"/>
      <c r="U323" s="84"/>
      <c r="V323" s="84"/>
      <c r="W323" s="84"/>
      <c r="X323" s="84"/>
      <c r="Y323" s="84"/>
      <c r="Z323" s="84"/>
    </row>
    <row r="324" spans="1:26" x14ac:dyDescent="0.25">
      <c r="A324" s="84"/>
      <c r="B324" s="84"/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  <c r="S324" s="84"/>
      <c r="T324" s="84"/>
      <c r="U324" s="84"/>
      <c r="V324" s="84"/>
      <c r="W324" s="84"/>
      <c r="X324" s="84"/>
      <c r="Y324" s="84"/>
      <c r="Z324" s="84"/>
    </row>
    <row r="325" spans="1:26" x14ac:dyDescent="0.25">
      <c r="A325" s="84"/>
      <c r="B325" s="84"/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  <c r="S325" s="84"/>
      <c r="T325" s="84"/>
      <c r="U325" s="84"/>
      <c r="V325" s="84"/>
      <c r="W325" s="84"/>
      <c r="X325" s="84"/>
      <c r="Y325" s="84"/>
      <c r="Z325" s="84"/>
    </row>
    <row r="326" spans="1:26" x14ac:dyDescent="0.25">
      <c r="A326" s="84"/>
      <c r="B326" s="84"/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  <c r="S326" s="84"/>
      <c r="T326" s="84"/>
      <c r="U326" s="84"/>
      <c r="V326" s="84"/>
      <c r="W326" s="84"/>
      <c r="X326" s="84"/>
      <c r="Y326" s="84"/>
      <c r="Z326" s="84"/>
    </row>
    <row r="327" spans="1:26" x14ac:dyDescent="0.25">
      <c r="A327" s="84"/>
      <c r="B327" s="84"/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  <c r="S327" s="84"/>
      <c r="T327" s="84"/>
      <c r="U327" s="84"/>
      <c r="V327" s="84"/>
      <c r="W327" s="84"/>
      <c r="X327" s="84"/>
      <c r="Y327" s="84"/>
      <c r="Z327" s="84"/>
    </row>
    <row r="328" spans="1:26" x14ac:dyDescent="0.25">
      <c r="A328" s="84"/>
      <c r="B328" s="84"/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  <c r="S328" s="84"/>
      <c r="T328" s="84"/>
      <c r="U328" s="84"/>
      <c r="V328" s="84"/>
      <c r="W328" s="84"/>
      <c r="X328" s="84"/>
      <c r="Y328" s="84"/>
      <c r="Z328" s="84"/>
    </row>
    <row r="329" spans="1:26" x14ac:dyDescent="0.25">
      <c r="A329" s="84"/>
      <c r="B329" s="84"/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  <c r="S329" s="84"/>
      <c r="T329" s="84"/>
      <c r="U329" s="84"/>
      <c r="V329" s="84"/>
      <c r="W329" s="84"/>
      <c r="X329" s="84"/>
      <c r="Y329" s="84"/>
      <c r="Z329" s="84"/>
    </row>
    <row r="330" spans="1:26" x14ac:dyDescent="0.25">
      <c r="A330" s="84"/>
      <c r="B330" s="84"/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  <c r="S330" s="84"/>
      <c r="T330" s="84"/>
      <c r="U330" s="84"/>
      <c r="V330" s="84"/>
      <c r="W330" s="84"/>
      <c r="X330" s="84"/>
      <c r="Y330" s="84"/>
      <c r="Z330" s="84"/>
    </row>
    <row r="331" spans="1:26" x14ac:dyDescent="0.25">
      <c r="A331" s="84"/>
      <c r="B331" s="84"/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  <c r="S331" s="84"/>
      <c r="T331" s="84"/>
      <c r="U331" s="84"/>
      <c r="V331" s="84"/>
      <c r="W331" s="84"/>
      <c r="X331" s="84"/>
      <c r="Y331" s="84"/>
      <c r="Z331" s="84"/>
    </row>
    <row r="332" spans="1:26" x14ac:dyDescent="0.25">
      <c r="A332" s="84"/>
      <c r="B332" s="84"/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  <c r="S332" s="84"/>
      <c r="T332" s="84"/>
      <c r="U332" s="84"/>
      <c r="V332" s="84"/>
      <c r="W332" s="84"/>
      <c r="X332" s="84"/>
      <c r="Y332" s="84"/>
      <c r="Z332" s="84"/>
    </row>
    <row r="333" spans="1:26" x14ac:dyDescent="0.25">
      <c r="A333" s="84"/>
      <c r="B333" s="84"/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  <c r="S333" s="84"/>
      <c r="T333" s="84"/>
      <c r="U333" s="84"/>
      <c r="V333" s="84"/>
      <c r="W333" s="84"/>
      <c r="X333" s="84"/>
      <c r="Y333" s="84"/>
      <c r="Z333" s="84"/>
    </row>
    <row r="334" spans="1:26" x14ac:dyDescent="0.25">
      <c r="A334" s="84"/>
      <c r="B334" s="84"/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  <c r="S334" s="84"/>
      <c r="T334" s="84"/>
      <c r="U334" s="84"/>
      <c r="V334" s="84"/>
      <c r="W334" s="84"/>
      <c r="X334" s="84"/>
      <c r="Y334" s="84"/>
      <c r="Z334" s="84"/>
    </row>
    <row r="335" spans="1:26" x14ac:dyDescent="0.25">
      <c r="A335" s="84"/>
      <c r="B335" s="84"/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  <c r="S335" s="84"/>
      <c r="T335" s="84"/>
      <c r="U335" s="84"/>
      <c r="V335" s="84"/>
      <c r="W335" s="84"/>
      <c r="X335" s="84"/>
      <c r="Y335" s="84"/>
      <c r="Z335" s="84"/>
    </row>
    <row r="336" spans="1:26" x14ac:dyDescent="0.25">
      <c r="A336" s="84"/>
      <c r="B336" s="84"/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  <c r="S336" s="84"/>
      <c r="T336" s="84"/>
      <c r="U336" s="84"/>
      <c r="V336" s="84"/>
      <c r="W336" s="84"/>
      <c r="X336" s="84"/>
      <c r="Y336" s="84"/>
      <c r="Z336" s="84"/>
    </row>
    <row r="337" spans="1:26" x14ac:dyDescent="0.25">
      <c r="A337" s="84"/>
      <c r="B337" s="84"/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  <c r="S337" s="84"/>
      <c r="T337" s="84"/>
      <c r="U337" s="84"/>
      <c r="V337" s="84"/>
      <c r="W337" s="84"/>
      <c r="X337" s="84"/>
      <c r="Y337" s="84"/>
      <c r="Z337" s="84"/>
    </row>
    <row r="338" spans="1:26" x14ac:dyDescent="0.25">
      <c r="A338" s="84"/>
      <c r="B338" s="84"/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  <c r="S338" s="84"/>
      <c r="T338" s="84"/>
      <c r="U338" s="84"/>
      <c r="V338" s="84"/>
      <c r="W338" s="84"/>
      <c r="X338" s="84"/>
      <c r="Y338" s="84"/>
      <c r="Z338" s="84"/>
    </row>
    <row r="339" spans="1:26" x14ac:dyDescent="0.25">
      <c r="A339" s="84"/>
      <c r="B339" s="84"/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  <c r="S339" s="84"/>
      <c r="T339" s="84"/>
      <c r="U339" s="84"/>
      <c r="V339" s="84"/>
      <c r="W339" s="84"/>
      <c r="X339" s="84"/>
      <c r="Y339" s="84"/>
      <c r="Z339" s="84"/>
    </row>
    <row r="340" spans="1:26" x14ac:dyDescent="0.25">
      <c r="A340" s="84"/>
      <c r="B340" s="84"/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  <c r="S340" s="84"/>
      <c r="T340" s="84"/>
      <c r="U340" s="84"/>
      <c r="V340" s="84"/>
      <c r="W340" s="84"/>
      <c r="X340" s="84"/>
      <c r="Y340" s="84"/>
      <c r="Z340" s="84"/>
    </row>
    <row r="341" spans="1:26" x14ac:dyDescent="0.25">
      <c r="A341" s="84"/>
      <c r="B341" s="84"/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  <c r="S341" s="84"/>
      <c r="T341" s="84"/>
      <c r="U341" s="84"/>
      <c r="V341" s="84"/>
      <c r="W341" s="84"/>
      <c r="X341" s="84"/>
      <c r="Y341" s="84"/>
      <c r="Z341" s="84"/>
    </row>
    <row r="342" spans="1:26" x14ac:dyDescent="0.25">
      <c r="A342" s="84"/>
      <c r="B342" s="84"/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  <c r="S342" s="84"/>
      <c r="T342" s="84"/>
      <c r="U342" s="84"/>
      <c r="V342" s="84"/>
      <c r="W342" s="84"/>
      <c r="X342" s="84"/>
      <c r="Y342" s="84"/>
      <c r="Z342" s="84"/>
    </row>
    <row r="343" spans="1:26" x14ac:dyDescent="0.25">
      <c r="A343" s="84"/>
      <c r="B343" s="84"/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  <c r="S343" s="84"/>
      <c r="T343" s="84"/>
      <c r="U343" s="84"/>
      <c r="V343" s="84"/>
      <c r="W343" s="84"/>
      <c r="X343" s="84"/>
      <c r="Y343" s="84"/>
      <c r="Z343" s="84"/>
    </row>
    <row r="344" spans="1:26" x14ac:dyDescent="0.25">
      <c r="A344" s="84"/>
      <c r="B344" s="84"/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  <c r="S344" s="84"/>
      <c r="T344" s="84"/>
      <c r="U344" s="84"/>
      <c r="V344" s="84"/>
      <c r="W344" s="84"/>
      <c r="X344" s="84"/>
      <c r="Y344" s="84"/>
      <c r="Z344" s="84"/>
    </row>
    <row r="345" spans="1:26" x14ac:dyDescent="0.25">
      <c r="A345" s="84"/>
      <c r="B345" s="84"/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  <c r="S345" s="84"/>
      <c r="T345" s="84"/>
      <c r="U345" s="84"/>
      <c r="V345" s="84"/>
      <c r="W345" s="84"/>
      <c r="X345" s="84"/>
      <c r="Y345" s="84"/>
      <c r="Z345" s="84"/>
    </row>
    <row r="346" spans="1:26" x14ac:dyDescent="0.25">
      <c r="A346" s="84"/>
      <c r="B346" s="84"/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  <c r="S346" s="84"/>
      <c r="T346" s="84"/>
      <c r="U346" s="84"/>
      <c r="V346" s="84"/>
      <c r="W346" s="84"/>
      <c r="X346" s="84"/>
      <c r="Y346" s="84"/>
      <c r="Z346" s="84"/>
    </row>
    <row r="347" spans="1:26" x14ac:dyDescent="0.25">
      <c r="A347" s="84"/>
      <c r="B347" s="84"/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  <c r="S347" s="84"/>
      <c r="T347" s="84"/>
      <c r="U347" s="84"/>
      <c r="V347" s="84"/>
      <c r="W347" s="84"/>
      <c r="X347" s="84"/>
      <c r="Y347" s="84"/>
      <c r="Z347" s="84"/>
    </row>
    <row r="348" spans="1:26" x14ac:dyDescent="0.25">
      <c r="A348" s="84"/>
      <c r="B348" s="84"/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  <c r="S348" s="84"/>
      <c r="T348" s="84"/>
      <c r="U348" s="84"/>
      <c r="V348" s="84"/>
      <c r="W348" s="84"/>
      <c r="X348" s="84"/>
      <c r="Y348" s="84"/>
      <c r="Z348" s="84"/>
    </row>
    <row r="349" spans="1:26" x14ac:dyDescent="0.25">
      <c r="A349" s="84"/>
      <c r="B349" s="84"/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  <c r="S349" s="84"/>
      <c r="T349" s="84"/>
      <c r="U349" s="84"/>
      <c r="V349" s="84"/>
      <c r="W349" s="84"/>
      <c r="X349" s="84"/>
      <c r="Y349" s="84"/>
      <c r="Z349" s="84"/>
    </row>
    <row r="350" spans="1:26" x14ac:dyDescent="0.25">
      <c r="A350" s="84"/>
      <c r="B350" s="84"/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  <c r="S350" s="84"/>
      <c r="T350" s="84"/>
      <c r="U350" s="84"/>
      <c r="V350" s="84"/>
      <c r="W350" s="84"/>
      <c r="X350" s="84"/>
      <c r="Y350" s="84"/>
      <c r="Z350" s="84"/>
    </row>
    <row r="351" spans="1:26" x14ac:dyDescent="0.25">
      <c r="A351" s="84"/>
      <c r="B351" s="84"/>
      <c r="C351" s="84"/>
      <c r="D351" s="84"/>
      <c r="E351" s="84"/>
      <c r="F351" s="84"/>
      <c r="G351" s="84"/>
      <c r="H351" s="84"/>
      <c r="I351" s="84"/>
      <c r="J351" s="84"/>
      <c r="K351" s="84"/>
      <c r="L351" s="84"/>
      <c r="M351" s="84"/>
      <c r="N351" s="84"/>
      <c r="O351" s="84"/>
      <c r="P351" s="84"/>
      <c r="Q351" s="84"/>
      <c r="R351" s="84"/>
      <c r="S351" s="84"/>
      <c r="T351" s="84"/>
      <c r="U351" s="84"/>
      <c r="V351" s="84"/>
      <c r="W351" s="84"/>
      <c r="X351" s="84"/>
      <c r="Y351" s="84"/>
      <c r="Z351" s="84"/>
    </row>
    <row r="352" spans="1:26" x14ac:dyDescent="0.25">
      <c r="A352" s="84"/>
      <c r="B352" s="84"/>
      <c r="C352" s="84"/>
      <c r="D352" s="84"/>
      <c r="E352" s="84"/>
      <c r="F352" s="84"/>
      <c r="G352" s="84"/>
      <c r="H352" s="84"/>
      <c r="I352" s="84"/>
      <c r="J352" s="84"/>
      <c r="K352" s="84"/>
      <c r="L352" s="84"/>
      <c r="M352" s="84"/>
      <c r="N352" s="84"/>
      <c r="O352" s="84"/>
      <c r="P352" s="84"/>
      <c r="Q352" s="84"/>
      <c r="R352" s="84"/>
      <c r="S352" s="84"/>
      <c r="T352" s="84"/>
      <c r="U352" s="84"/>
      <c r="V352" s="84"/>
      <c r="W352" s="84"/>
      <c r="X352" s="84"/>
      <c r="Y352" s="84"/>
      <c r="Z352" s="84"/>
    </row>
    <row r="353" spans="1:26" x14ac:dyDescent="0.25">
      <c r="A353" s="84"/>
      <c r="B353" s="84"/>
      <c r="C353" s="84"/>
      <c r="D353" s="84"/>
      <c r="E353" s="84"/>
      <c r="F353" s="84"/>
      <c r="G353" s="84"/>
      <c r="H353" s="84"/>
      <c r="I353" s="84"/>
      <c r="J353" s="84"/>
      <c r="K353" s="84"/>
      <c r="L353" s="84"/>
      <c r="M353" s="84"/>
      <c r="N353" s="84"/>
      <c r="O353" s="84"/>
      <c r="P353" s="84"/>
      <c r="Q353" s="84"/>
      <c r="R353" s="84"/>
      <c r="S353" s="84"/>
      <c r="T353" s="84"/>
      <c r="U353" s="84"/>
      <c r="V353" s="84"/>
      <c r="W353" s="84"/>
      <c r="X353" s="84"/>
      <c r="Y353" s="84"/>
      <c r="Z353" s="84"/>
    </row>
    <row r="354" spans="1:26" x14ac:dyDescent="0.25">
      <c r="A354" s="84"/>
      <c r="B354" s="84"/>
      <c r="C354" s="84"/>
      <c r="D354" s="84"/>
      <c r="E354" s="84"/>
      <c r="F354" s="84"/>
      <c r="G354" s="84"/>
      <c r="H354" s="84"/>
      <c r="I354" s="84"/>
      <c r="J354" s="84"/>
      <c r="K354" s="84"/>
      <c r="L354" s="84"/>
      <c r="M354" s="84"/>
      <c r="N354" s="84"/>
      <c r="O354" s="84"/>
      <c r="P354" s="84"/>
      <c r="Q354" s="84"/>
      <c r="R354" s="84"/>
      <c r="S354" s="84"/>
      <c r="T354" s="84"/>
      <c r="U354" s="84"/>
      <c r="V354" s="84"/>
      <c r="W354" s="84"/>
      <c r="X354" s="84"/>
      <c r="Y354" s="84"/>
      <c r="Z354" s="84"/>
    </row>
    <row r="355" spans="1:26" x14ac:dyDescent="0.25">
      <c r="A355" s="84"/>
      <c r="B355" s="84"/>
      <c r="C355" s="84"/>
      <c r="D355" s="84"/>
      <c r="E355" s="84"/>
      <c r="F355" s="84"/>
      <c r="G355" s="84"/>
      <c r="H355" s="84"/>
      <c r="I355" s="84"/>
      <c r="J355" s="84"/>
      <c r="K355" s="84"/>
      <c r="L355" s="84"/>
      <c r="M355" s="84"/>
      <c r="N355" s="84"/>
      <c r="O355" s="84"/>
      <c r="P355" s="84"/>
      <c r="Q355" s="84"/>
      <c r="R355" s="84"/>
      <c r="S355" s="84"/>
      <c r="T355" s="84"/>
      <c r="U355" s="84"/>
      <c r="V355" s="84"/>
      <c r="W355" s="84"/>
      <c r="X355" s="84"/>
      <c r="Y355" s="84"/>
      <c r="Z355" s="84"/>
    </row>
    <row r="356" spans="1:26" x14ac:dyDescent="0.25">
      <c r="A356" s="84"/>
      <c r="B356" s="84"/>
      <c r="C356" s="84"/>
      <c r="D356" s="84"/>
      <c r="E356" s="84"/>
      <c r="F356" s="84"/>
      <c r="G356" s="84"/>
      <c r="H356" s="84"/>
      <c r="I356" s="84"/>
      <c r="J356" s="84"/>
      <c r="K356" s="84"/>
      <c r="L356" s="84"/>
      <c r="M356" s="84"/>
      <c r="N356" s="84"/>
      <c r="O356" s="84"/>
      <c r="P356" s="84"/>
      <c r="Q356" s="84"/>
      <c r="R356" s="84"/>
      <c r="S356" s="84"/>
      <c r="T356" s="84"/>
      <c r="U356" s="84"/>
      <c r="V356" s="84"/>
      <c r="W356" s="84"/>
      <c r="X356" s="84"/>
      <c r="Y356" s="84"/>
      <c r="Z356" s="84"/>
    </row>
    <row r="357" spans="1:26" x14ac:dyDescent="0.25">
      <c r="A357" s="84"/>
      <c r="B357" s="84"/>
      <c r="C357" s="84"/>
      <c r="D357" s="84"/>
      <c r="E357" s="84"/>
      <c r="F357" s="84"/>
      <c r="G357" s="84"/>
      <c r="H357" s="84"/>
      <c r="I357" s="84"/>
      <c r="J357" s="84"/>
      <c r="K357" s="84"/>
      <c r="L357" s="84"/>
      <c r="M357" s="84"/>
      <c r="N357" s="84"/>
      <c r="O357" s="84"/>
      <c r="P357" s="84"/>
      <c r="Q357" s="84"/>
      <c r="R357" s="84"/>
      <c r="S357" s="84"/>
      <c r="T357" s="84"/>
      <c r="U357" s="84"/>
      <c r="V357" s="84"/>
      <c r="W357" s="84"/>
      <c r="X357" s="84"/>
      <c r="Y357" s="84"/>
      <c r="Z357" s="84"/>
    </row>
    <row r="358" spans="1:26" x14ac:dyDescent="0.25">
      <c r="A358" s="84"/>
      <c r="B358" s="84"/>
      <c r="C358" s="84"/>
      <c r="D358" s="84"/>
      <c r="E358" s="84"/>
      <c r="F358" s="84"/>
      <c r="G358" s="84"/>
      <c r="H358" s="84"/>
      <c r="I358" s="84"/>
      <c r="J358" s="84"/>
      <c r="K358" s="84"/>
      <c r="L358" s="84"/>
      <c r="M358" s="84"/>
      <c r="N358" s="84"/>
      <c r="O358" s="84"/>
      <c r="P358" s="84"/>
      <c r="Q358" s="84"/>
      <c r="R358" s="84"/>
      <c r="S358" s="84"/>
      <c r="T358" s="84"/>
      <c r="U358" s="84"/>
      <c r="V358" s="84"/>
      <c r="W358" s="84"/>
      <c r="X358" s="84"/>
      <c r="Y358" s="84"/>
      <c r="Z358" s="84"/>
    </row>
    <row r="359" spans="1:26" x14ac:dyDescent="0.25">
      <c r="A359" s="84"/>
      <c r="B359" s="84"/>
      <c r="C359" s="84"/>
      <c r="D359" s="84"/>
      <c r="E359" s="84"/>
      <c r="F359" s="84"/>
      <c r="G359" s="84"/>
      <c r="H359" s="84"/>
      <c r="I359" s="84"/>
      <c r="J359" s="84"/>
      <c r="K359" s="84"/>
      <c r="L359" s="84"/>
      <c r="M359" s="84"/>
      <c r="N359" s="84"/>
      <c r="O359" s="84"/>
      <c r="P359" s="84"/>
      <c r="Q359" s="84"/>
      <c r="R359" s="84"/>
      <c r="S359" s="84"/>
      <c r="T359" s="84"/>
      <c r="U359" s="84"/>
      <c r="V359" s="84"/>
      <c r="W359" s="84"/>
      <c r="X359" s="84"/>
      <c r="Y359" s="84"/>
      <c r="Z359" s="84"/>
    </row>
    <row r="360" spans="1:26" x14ac:dyDescent="0.25">
      <c r="A360" s="84"/>
      <c r="B360" s="84"/>
      <c r="C360" s="84"/>
      <c r="D360" s="84"/>
      <c r="E360" s="84"/>
      <c r="F360" s="84"/>
      <c r="G360" s="84"/>
      <c r="H360" s="84"/>
      <c r="I360" s="84"/>
      <c r="J360" s="84"/>
      <c r="K360" s="84"/>
      <c r="L360" s="84"/>
      <c r="M360" s="84"/>
      <c r="N360" s="84"/>
      <c r="O360" s="84"/>
      <c r="P360" s="84"/>
      <c r="Q360" s="84"/>
      <c r="R360" s="84"/>
      <c r="S360" s="84"/>
      <c r="T360" s="84"/>
      <c r="U360" s="84"/>
      <c r="V360" s="84"/>
      <c r="W360" s="84"/>
      <c r="X360" s="84"/>
      <c r="Y360" s="84"/>
      <c r="Z360" s="84"/>
    </row>
    <row r="361" spans="1:26" x14ac:dyDescent="0.25">
      <c r="A361" s="84"/>
      <c r="B361" s="84"/>
      <c r="C361" s="84"/>
      <c r="D361" s="84"/>
      <c r="E361" s="84"/>
      <c r="F361" s="84"/>
      <c r="G361" s="84"/>
      <c r="H361" s="84"/>
      <c r="I361" s="84"/>
      <c r="J361" s="84"/>
      <c r="K361" s="84"/>
      <c r="L361" s="84"/>
      <c r="M361" s="84"/>
      <c r="N361" s="84"/>
      <c r="O361" s="84"/>
      <c r="P361" s="84"/>
      <c r="Q361" s="84"/>
      <c r="R361" s="84"/>
      <c r="S361" s="84"/>
      <c r="T361" s="84"/>
      <c r="U361" s="84"/>
      <c r="V361" s="84"/>
      <c r="W361" s="84"/>
      <c r="X361" s="84"/>
      <c r="Y361" s="84"/>
      <c r="Z361" s="84"/>
    </row>
    <row r="362" spans="1:26" x14ac:dyDescent="0.25">
      <c r="A362" s="84"/>
      <c r="B362" s="84"/>
      <c r="C362" s="84"/>
      <c r="D362" s="84"/>
      <c r="E362" s="84"/>
      <c r="F362" s="84"/>
      <c r="G362" s="84"/>
      <c r="H362" s="84"/>
      <c r="I362" s="84"/>
      <c r="J362" s="84"/>
      <c r="K362" s="84"/>
      <c r="L362" s="84"/>
      <c r="M362" s="84"/>
      <c r="N362" s="84"/>
      <c r="O362" s="84"/>
      <c r="P362" s="84"/>
      <c r="Q362" s="84"/>
      <c r="R362" s="84"/>
      <c r="S362" s="84"/>
      <c r="T362" s="84"/>
      <c r="U362" s="84"/>
      <c r="V362" s="84"/>
      <c r="W362" s="84"/>
      <c r="X362" s="84"/>
      <c r="Y362" s="84"/>
      <c r="Z362" s="84"/>
    </row>
    <row r="363" spans="1:26" x14ac:dyDescent="0.25">
      <c r="A363" s="84"/>
      <c r="B363" s="84"/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  <c r="S363" s="84"/>
      <c r="T363" s="84"/>
      <c r="U363" s="84"/>
      <c r="V363" s="84"/>
      <c r="W363" s="84"/>
      <c r="X363" s="84"/>
      <c r="Y363" s="84"/>
      <c r="Z363" s="84"/>
    </row>
    <row r="364" spans="1:26" x14ac:dyDescent="0.25">
      <c r="A364" s="84"/>
      <c r="B364" s="84"/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  <c r="S364" s="84"/>
      <c r="T364" s="84"/>
      <c r="U364" s="84"/>
      <c r="V364" s="84"/>
      <c r="W364" s="84"/>
      <c r="X364" s="84"/>
      <c r="Y364" s="84"/>
      <c r="Z364" s="84"/>
    </row>
    <row r="365" spans="1:26" x14ac:dyDescent="0.25">
      <c r="A365" s="84"/>
      <c r="B365" s="84"/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  <c r="S365" s="84"/>
      <c r="T365" s="84"/>
      <c r="U365" s="84"/>
      <c r="V365" s="84"/>
      <c r="W365" s="84"/>
      <c r="X365" s="84"/>
      <c r="Y365" s="84"/>
      <c r="Z365" s="84"/>
    </row>
    <row r="366" spans="1:26" x14ac:dyDescent="0.25">
      <c r="A366" s="84"/>
      <c r="B366" s="84"/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</row>
    <row r="367" spans="1:26" x14ac:dyDescent="0.25">
      <c r="A367" s="84"/>
      <c r="B367" s="84"/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  <c r="S367" s="84"/>
      <c r="T367" s="84"/>
      <c r="U367" s="84"/>
      <c r="V367" s="84"/>
      <c r="W367" s="84"/>
      <c r="X367" s="84"/>
      <c r="Y367" s="84"/>
      <c r="Z367" s="84"/>
    </row>
    <row r="368" spans="1:26" x14ac:dyDescent="0.25">
      <c r="A368" s="84"/>
      <c r="B368" s="84"/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</row>
    <row r="369" spans="1:26" x14ac:dyDescent="0.25">
      <c r="A369" s="84"/>
      <c r="B369" s="84"/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  <c r="S369" s="84"/>
      <c r="T369" s="84"/>
      <c r="U369" s="84"/>
      <c r="V369" s="84"/>
      <c r="W369" s="84"/>
      <c r="X369" s="84"/>
      <c r="Y369" s="84"/>
      <c r="Z369" s="84"/>
    </row>
    <row r="370" spans="1:26" x14ac:dyDescent="0.25">
      <c r="A370" s="84"/>
      <c r="B370" s="84"/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  <c r="S370" s="84"/>
      <c r="T370" s="84"/>
      <c r="U370" s="84"/>
      <c r="V370" s="84"/>
      <c r="W370" s="84"/>
      <c r="X370" s="84"/>
      <c r="Y370" s="84"/>
      <c r="Z370" s="84"/>
    </row>
    <row r="371" spans="1:26" x14ac:dyDescent="0.25">
      <c r="A371" s="84"/>
      <c r="B371" s="84"/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  <c r="S371" s="84"/>
      <c r="T371" s="84"/>
      <c r="U371" s="84"/>
      <c r="V371" s="84"/>
      <c r="W371" s="84"/>
      <c r="X371" s="84"/>
      <c r="Y371" s="84"/>
      <c r="Z371" s="84"/>
    </row>
    <row r="372" spans="1:26" x14ac:dyDescent="0.25">
      <c r="A372" s="84"/>
      <c r="B372" s="84"/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  <c r="S372" s="84"/>
      <c r="T372" s="84"/>
      <c r="U372" s="84"/>
      <c r="V372" s="84"/>
      <c r="W372" s="84"/>
      <c r="X372" s="84"/>
      <c r="Y372" s="84"/>
      <c r="Z372" s="84"/>
    </row>
    <row r="373" spans="1:26" x14ac:dyDescent="0.25">
      <c r="A373" s="84"/>
      <c r="B373" s="84"/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  <c r="S373" s="84"/>
      <c r="T373" s="84"/>
      <c r="U373" s="84"/>
      <c r="V373" s="84"/>
      <c r="W373" s="84"/>
      <c r="X373" s="84"/>
      <c r="Y373" s="84"/>
      <c r="Z373" s="84"/>
    </row>
    <row r="374" spans="1:26" x14ac:dyDescent="0.25">
      <c r="A374" s="84"/>
      <c r="B374" s="84"/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  <c r="S374" s="84"/>
      <c r="T374" s="84"/>
      <c r="U374" s="84"/>
      <c r="V374" s="84"/>
      <c r="W374" s="84"/>
      <c r="X374" s="84"/>
      <c r="Y374" s="84"/>
      <c r="Z374" s="84"/>
    </row>
    <row r="375" spans="1:26" x14ac:dyDescent="0.25">
      <c r="A375" s="84"/>
      <c r="B375" s="84"/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  <c r="S375" s="84"/>
      <c r="T375" s="84"/>
      <c r="U375" s="84"/>
      <c r="V375" s="84"/>
      <c r="W375" s="84"/>
      <c r="X375" s="84"/>
      <c r="Y375" s="84"/>
      <c r="Z375" s="84"/>
    </row>
    <row r="376" spans="1:26" x14ac:dyDescent="0.25">
      <c r="A376" s="84"/>
      <c r="B376" s="84"/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  <c r="S376" s="84"/>
      <c r="T376" s="84"/>
      <c r="U376" s="84"/>
      <c r="V376" s="84"/>
      <c r="W376" s="84"/>
      <c r="X376" s="84"/>
      <c r="Y376" s="84"/>
      <c r="Z376" s="84"/>
    </row>
    <row r="377" spans="1:26" x14ac:dyDescent="0.25">
      <c r="A377" s="84"/>
      <c r="B377" s="84"/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  <c r="S377" s="84"/>
      <c r="T377" s="84"/>
      <c r="U377" s="84"/>
      <c r="V377" s="84"/>
      <c r="W377" s="84"/>
      <c r="X377" s="84"/>
      <c r="Y377" s="84"/>
      <c r="Z377" s="84"/>
    </row>
    <row r="378" spans="1:26" x14ac:dyDescent="0.25">
      <c r="A378" s="84"/>
      <c r="B378" s="84"/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  <c r="S378" s="84"/>
      <c r="T378" s="84"/>
      <c r="U378" s="84"/>
      <c r="V378" s="84"/>
      <c r="W378" s="84"/>
      <c r="X378" s="84"/>
      <c r="Y378" s="84"/>
      <c r="Z378" s="84"/>
    </row>
    <row r="379" spans="1:26" x14ac:dyDescent="0.25">
      <c r="A379" s="84"/>
      <c r="B379" s="84"/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  <c r="S379" s="84"/>
      <c r="T379" s="84"/>
      <c r="U379" s="84"/>
      <c r="V379" s="84"/>
      <c r="W379" s="84"/>
      <c r="X379" s="84"/>
      <c r="Y379" s="84"/>
      <c r="Z379" s="84"/>
    </row>
    <row r="380" spans="1:26" x14ac:dyDescent="0.25">
      <c r="A380" s="84"/>
      <c r="B380" s="84"/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  <c r="S380" s="84"/>
      <c r="T380" s="84"/>
      <c r="U380" s="84"/>
      <c r="V380" s="84"/>
      <c r="W380" s="84"/>
      <c r="X380" s="84"/>
      <c r="Y380" s="84"/>
      <c r="Z380" s="84"/>
    </row>
    <row r="381" spans="1:26" x14ac:dyDescent="0.25">
      <c r="A381" s="84"/>
      <c r="B381" s="84"/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  <c r="S381" s="84"/>
      <c r="T381" s="84"/>
      <c r="U381" s="84"/>
      <c r="V381" s="84"/>
      <c r="W381" s="84"/>
      <c r="X381" s="84"/>
      <c r="Y381" s="84"/>
      <c r="Z381" s="84"/>
    </row>
    <row r="382" spans="1:26" x14ac:dyDescent="0.25">
      <c r="A382" s="84"/>
      <c r="B382" s="84"/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  <c r="S382" s="84"/>
      <c r="T382" s="84"/>
      <c r="U382" s="84"/>
      <c r="V382" s="84"/>
      <c r="W382" s="84"/>
      <c r="X382" s="84"/>
      <c r="Y382" s="84"/>
      <c r="Z382" s="84"/>
    </row>
    <row r="383" spans="1:26" x14ac:dyDescent="0.25">
      <c r="A383" s="84"/>
      <c r="B383" s="84"/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  <c r="S383" s="84"/>
      <c r="T383" s="84"/>
      <c r="U383" s="84"/>
      <c r="V383" s="84"/>
      <c r="W383" s="84"/>
      <c r="X383" s="84"/>
      <c r="Y383" s="84"/>
      <c r="Z383" s="84"/>
    </row>
    <row r="384" spans="1:26" x14ac:dyDescent="0.25">
      <c r="A384" s="84"/>
      <c r="B384" s="84"/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  <c r="S384" s="84"/>
      <c r="T384" s="84"/>
      <c r="U384" s="84"/>
      <c r="V384" s="84"/>
      <c r="W384" s="84"/>
      <c r="X384" s="84"/>
      <c r="Y384" s="84"/>
      <c r="Z384" s="84"/>
    </row>
    <row r="385" spans="1:26" x14ac:dyDescent="0.25">
      <c r="A385" s="84"/>
      <c r="B385" s="84"/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  <c r="S385" s="84"/>
      <c r="T385" s="84"/>
      <c r="U385" s="84"/>
      <c r="V385" s="84"/>
      <c r="W385" s="84"/>
      <c r="X385" s="84"/>
      <c r="Y385" s="84"/>
      <c r="Z385" s="84"/>
    </row>
    <row r="386" spans="1:26" x14ac:dyDescent="0.25">
      <c r="A386" s="84"/>
      <c r="B386" s="84"/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  <c r="S386" s="84"/>
      <c r="T386" s="84"/>
      <c r="U386" s="84"/>
      <c r="V386" s="84"/>
      <c r="W386" s="84"/>
      <c r="X386" s="84"/>
      <c r="Y386" s="84"/>
      <c r="Z386" s="84"/>
    </row>
    <row r="387" spans="1:26" x14ac:dyDescent="0.25">
      <c r="A387" s="84"/>
      <c r="B387" s="84"/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  <c r="S387" s="84"/>
      <c r="T387" s="84"/>
      <c r="U387" s="84"/>
      <c r="V387" s="84"/>
      <c r="W387" s="84"/>
      <c r="X387" s="84"/>
      <c r="Y387" s="84"/>
      <c r="Z387" s="84"/>
    </row>
    <row r="388" spans="1:26" x14ac:dyDescent="0.25">
      <c r="A388" s="84"/>
      <c r="B388" s="84"/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  <c r="S388" s="84"/>
      <c r="T388" s="84"/>
      <c r="U388" s="84"/>
      <c r="V388" s="84"/>
      <c r="W388" s="84"/>
      <c r="X388" s="84"/>
      <c r="Y388" s="84"/>
      <c r="Z388" s="84"/>
    </row>
    <row r="389" spans="1:26" x14ac:dyDescent="0.25">
      <c r="A389" s="84"/>
      <c r="B389" s="84"/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  <c r="S389" s="84"/>
      <c r="T389" s="84"/>
      <c r="U389" s="84"/>
      <c r="V389" s="84"/>
      <c r="W389" s="84"/>
      <c r="X389" s="84"/>
      <c r="Y389" s="84"/>
      <c r="Z389" s="84"/>
    </row>
    <row r="390" spans="1:26" x14ac:dyDescent="0.25">
      <c r="A390" s="84"/>
      <c r="B390" s="84"/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  <c r="S390" s="84"/>
      <c r="T390" s="84"/>
      <c r="U390" s="84"/>
      <c r="V390" s="84"/>
      <c r="W390" s="84"/>
      <c r="X390" s="84"/>
      <c r="Y390" s="84"/>
      <c r="Z390" s="84"/>
    </row>
    <row r="391" spans="1:26" x14ac:dyDescent="0.25">
      <c r="A391" s="84"/>
      <c r="B391" s="84"/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  <c r="S391" s="84"/>
      <c r="T391" s="84"/>
      <c r="U391" s="84"/>
      <c r="V391" s="84"/>
      <c r="W391" s="84"/>
      <c r="X391" s="84"/>
      <c r="Y391" s="84"/>
      <c r="Z391" s="84"/>
    </row>
    <row r="392" spans="1:26" x14ac:dyDescent="0.25">
      <c r="A392" s="84"/>
      <c r="B392" s="84"/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  <c r="S392" s="84"/>
      <c r="T392" s="84"/>
      <c r="U392" s="84"/>
      <c r="V392" s="84"/>
      <c r="W392" s="84"/>
      <c r="X392" s="84"/>
      <c r="Y392" s="84"/>
      <c r="Z392" s="84"/>
    </row>
    <row r="393" spans="1:26" x14ac:dyDescent="0.25">
      <c r="A393" s="84"/>
      <c r="B393" s="84"/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  <c r="S393" s="84"/>
      <c r="T393" s="84"/>
      <c r="U393" s="84"/>
      <c r="V393" s="84"/>
      <c r="W393" s="84"/>
      <c r="X393" s="84"/>
      <c r="Y393" s="84"/>
      <c r="Z393" s="84"/>
    </row>
    <row r="394" spans="1:26" x14ac:dyDescent="0.25">
      <c r="A394" s="84"/>
      <c r="B394" s="84"/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  <c r="S394" s="84"/>
      <c r="T394" s="84"/>
      <c r="U394" s="84"/>
      <c r="V394" s="84"/>
      <c r="W394" s="84"/>
      <c r="X394" s="84"/>
      <c r="Y394" s="84"/>
      <c r="Z394" s="84"/>
    </row>
    <row r="395" spans="1:26" x14ac:dyDescent="0.25">
      <c r="A395" s="84"/>
      <c r="B395" s="84"/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  <c r="S395" s="84"/>
      <c r="T395" s="84"/>
      <c r="U395" s="84"/>
      <c r="V395" s="84"/>
      <c r="W395" s="84"/>
      <c r="X395" s="84"/>
      <c r="Y395" s="84"/>
      <c r="Z395" s="84"/>
    </row>
    <row r="396" spans="1:26" x14ac:dyDescent="0.25">
      <c r="A396" s="84"/>
      <c r="B396" s="84"/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  <c r="S396" s="84"/>
      <c r="T396" s="84"/>
      <c r="U396" s="84"/>
      <c r="V396" s="84"/>
      <c r="W396" s="84"/>
      <c r="X396" s="84"/>
      <c r="Y396" s="84"/>
      <c r="Z396" s="84"/>
    </row>
    <row r="397" spans="1:26" x14ac:dyDescent="0.25">
      <c r="A397" s="84"/>
      <c r="B397" s="84"/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  <c r="S397" s="84"/>
      <c r="T397" s="84"/>
      <c r="U397" s="84"/>
      <c r="V397" s="84"/>
      <c r="W397" s="84"/>
      <c r="X397" s="84"/>
      <c r="Y397" s="84"/>
      <c r="Z397" s="84"/>
    </row>
    <row r="398" spans="1:26" x14ac:dyDescent="0.25">
      <c r="A398" s="84"/>
      <c r="B398" s="84"/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  <c r="S398" s="84"/>
      <c r="T398" s="84"/>
      <c r="U398" s="84"/>
      <c r="V398" s="84"/>
      <c r="W398" s="84"/>
      <c r="X398" s="84"/>
      <c r="Y398" s="84"/>
      <c r="Z398" s="84"/>
    </row>
    <row r="399" spans="1:26" x14ac:dyDescent="0.25">
      <c r="A399" s="84"/>
      <c r="B399" s="84"/>
      <c r="C399" s="84"/>
      <c r="D399" s="84"/>
      <c r="E399" s="84"/>
      <c r="F399" s="84"/>
      <c r="G399" s="84"/>
      <c r="H399" s="84"/>
      <c r="I399" s="84"/>
      <c r="J399" s="84"/>
      <c r="K399" s="84"/>
      <c r="L399" s="84"/>
      <c r="M399" s="84"/>
      <c r="N399" s="84"/>
      <c r="O399" s="84"/>
      <c r="P399" s="84"/>
      <c r="Q399" s="84"/>
      <c r="R399" s="84"/>
      <c r="S399" s="84"/>
      <c r="T399" s="84"/>
      <c r="U399" s="84"/>
      <c r="V399" s="84"/>
      <c r="W399" s="84"/>
      <c r="X399" s="84"/>
      <c r="Y399" s="84"/>
      <c r="Z399" s="84"/>
    </row>
    <row r="400" spans="1:26" x14ac:dyDescent="0.25">
      <c r="A400" s="84"/>
      <c r="B400" s="84"/>
      <c r="C400" s="84"/>
      <c r="D400" s="84"/>
      <c r="E400" s="84"/>
      <c r="F400" s="84"/>
      <c r="G400" s="84"/>
      <c r="H400" s="84"/>
      <c r="I400" s="84"/>
      <c r="J400" s="84"/>
      <c r="K400" s="84"/>
      <c r="L400" s="84"/>
      <c r="M400" s="84"/>
      <c r="N400" s="84"/>
      <c r="O400" s="84"/>
      <c r="P400" s="84"/>
      <c r="Q400" s="84"/>
      <c r="R400" s="84"/>
      <c r="S400" s="84"/>
      <c r="T400" s="84"/>
      <c r="U400" s="84"/>
      <c r="V400" s="84"/>
      <c r="W400" s="84"/>
      <c r="X400" s="84"/>
      <c r="Y400" s="84"/>
      <c r="Z400" s="84"/>
    </row>
    <row r="401" spans="1:26" x14ac:dyDescent="0.25">
      <c r="A401" s="84"/>
      <c r="B401" s="84"/>
      <c r="C401" s="84"/>
      <c r="D401" s="84"/>
      <c r="E401" s="84"/>
      <c r="F401" s="84"/>
      <c r="G401" s="84"/>
      <c r="H401" s="84"/>
      <c r="I401" s="84"/>
      <c r="J401" s="84"/>
      <c r="K401" s="84"/>
      <c r="L401" s="84"/>
      <c r="M401" s="84"/>
      <c r="N401" s="84"/>
      <c r="O401" s="84"/>
      <c r="P401" s="84"/>
      <c r="Q401" s="84"/>
      <c r="R401" s="84"/>
      <c r="S401" s="84"/>
      <c r="T401" s="84"/>
      <c r="U401" s="84"/>
      <c r="V401" s="84"/>
      <c r="W401" s="84"/>
      <c r="X401" s="84"/>
      <c r="Y401" s="84"/>
      <c r="Z401" s="84"/>
    </row>
    <row r="402" spans="1:26" x14ac:dyDescent="0.25">
      <c r="A402" s="84"/>
      <c r="B402" s="84"/>
      <c r="C402" s="84"/>
      <c r="D402" s="84"/>
      <c r="E402" s="84"/>
      <c r="F402" s="84"/>
      <c r="G402" s="84"/>
      <c r="H402" s="84"/>
      <c r="I402" s="84"/>
      <c r="J402" s="84"/>
      <c r="K402" s="84"/>
      <c r="L402" s="84"/>
      <c r="M402" s="84"/>
      <c r="N402" s="84"/>
      <c r="O402" s="84"/>
      <c r="P402" s="84"/>
      <c r="Q402" s="84"/>
      <c r="R402" s="84"/>
      <c r="S402" s="84"/>
      <c r="T402" s="84"/>
      <c r="U402" s="84"/>
      <c r="V402" s="84"/>
      <c r="W402" s="84"/>
      <c r="X402" s="84"/>
      <c r="Y402" s="84"/>
      <c r="Z402" s="84"/>
    </row>
    <row r="403" spans="1:26" x14ac:dyDescent="0.25">
      <c r="A403" s="84"/>
      <c r="B403" s="84"/>
      <c r="C403" s="84"/>
      <c r="D403" s="84"/>
      <c r="E403" s="84"/>
      <c r="F403" s="84"/>
      <c r="G403" s="84"/>
      <c r="H403" s="84"/>
      <c r="I403" s="84"/>
      <c r="J403" s="84"/>
      <c r="K403" s="84"/>
      <c r="L403" s="84"/>
      <c r="M403" s="84"/>
      <c r="N403" s="84"/>
      <c r="O403" s="84"/>
      <c r="P403" s="84"/>
      <c r="Q403" s="84"/>
      <c r="R403" s="84"/>
      <c r="S403" s="84"/>
      <c r="T403" s="84"/>
      <c r="U403" s="84"/>
      <c r="V403" s="84"/>
      <c r="W403" s="84"/>
      <c r="X403" s="84"/>
      <c r="Y403" s="84"/>
      <c r="Z403" s="84"/>
    </row>
    <row r="404" spans="1:26" x14ac:dyDescent="0.25">
      <c r="A404" s="84"/>
      <c r="B404" s="84"/>
      <c r="C404" s="84"/>
      <c r="D404" s="84"/>
      <c r="E404" s="84"/>
      <c r="F404" s="84"/>
      <c r="G404" s="84"/>
      <c r="H404" s="84"/>
      <c r="I404" s="84"/>
      <c r="J404" s="84"/>
      <c r="K404" s="84"/>
      <c r="L404" s="84"/>
      <c r="M404" s="84"/>
      <c r="N404" s="84"/>
      <c r="O404" s="84"/>
      <c r="P404" s="84"/>
      <c r="Q404" s="84"/>
      <c r="R404" s="84"/>
      <c r="S404" s="84"/>
      <c r="T404" s="84"/>
      <c r="U404" s="84"/>
      <c r="V404" s="84"/>
      <c r="W404" s="84"/>
      <c r="X404" s="84"/>
      <c r="Y404" s="84"/>
      <c r="Z404" s="84"/>
    </row>
    <row r="405" spans="1:26" x14ac:dyDescent="0.25">
      <c r="A405" s="84"/>
      <c r="B405" s="84"/>
      <c r="C405" s="84"/>
      <c r="D405" s="84"/>
      <c r="E405" s="84"/>
      <c r="F405" s="84"/>
      <c r="G405" s="84"/>
      <c r="H405" s="84"/>
      <c r="I405" s="84"/>
      <c r="J405" s="84"/>
      <c r="K405" s="84"/>
      <c r="L405" s="84"/>
      <c r="M405" s="84"/>
      <c r="N405" s="84"/>
      <c r="O405" s="84"/>
      <c r="P405" s="84"/>
      <c r="Q405" s="84"/>
      <c r="R405" s="84"/>
      <c r="S405" s="84"/>
      <c r="T405" s="84"/>
      <c r="U405" s="84"/>
      <c r="V405" s="84"/>
      <c r="W405" s="84"/>
      <c r="X405" s="84"/>
      <c r="Y405" s="84"/>
      <c r="Z405" s="84"/>
    </row>
    <row r="406" spans="1:26" x14ac:dyDescent="0.25">
      <c r="A406" s="84"/>
      <c r="B406" s="84"/>
      <c r="C406" s="84"/>
      <c r="D406" s="84"/>
      <c r="E406" s="84"/>
      <c r="F406" s="84"/>
      <c r="G406" s="84"/>
      <c r="H406" s="84"/>
      <c r="I406" s="84"/>
      <c r="J406" s="84"/>
      <c r="K406" s="84"/>
      <c r="L406" s="84"/>
      <c r="M406" s="84"/>
      <c r="N406" s="84"/>
      <c r="O406" s="84"/>
      <c r="P406" s="84"/>
      <c r="Q406" s="84"/>
      <c r="R406" s="84"/>
      <c r="S406" s="84"/>
      <c r="T406" s="84"/>
      <c r="U406" s="84"/>
      <c r="V406" s="84"/>
      <c r="W406" s="84"/>
      <c r="X406" s="84"/>
      <c r="Y406" s="84"/>
      <c r="Z406" s="84"/>
    </row>
    <row r="407" spans="1:26" x14ac:dyDescent="0.25">
      <c r="A407" s="84"/>
      <c r="B407" s="84"/>
      <c r="C407" s="84"/>
      <c r="D407" s="84"/>
      <c r="E407" s="84"/>
      <c r="F407" s="84"/>
      <c r="G407" s="84"/>
      <c r="H407" s="84"/>
      <c r="I407" s="84"/>
      <c r="J407" s="84"/>
      <c r="K407" s="84"/>
      <c r="L407" s="84"/>
      <c r="M407" s="84"/>
      <c r="N407" s="84"/>
      <c r="O407" s="84"/>
      <c r="P407" s="84"/>
      <c r="Q407" s="84"/>
      <c r="R407" s="84"/>
      <c r="S407" s="84"/>
      <c r="T407" s="84"/>
      <c r="U407" s="84"/>
      <c r="V407" s="84"/>
      <c r="W407" s="84"/>
      <c r="X407" s="84"/>
      <c r="Y407" s="84"/>
      <c r="Z407" s="84"/>
    </row>
    <row r="408" spans="1:26" x14ac:dyDescent="0.25">
      <c r="A408" s="84"/>
      <c r="B408" s="84"/>
      <c r="C408" s="84"/>
      <c r="D408" s="84"/>
      <c r="E408" s="84"/>
      <c r="F408" s="84"/>
      <c r="G408" s="84"/>
      <c r="H408" s="84"/>
      <c r="I408" s="84"/>
      <c r="J408" s="84"/>
      <c r="K408" s="84"/>
      <c r="L408" s="84"/>
      <c r="M408" s="84"/>
      <c r="N408" s="84"/>
      <c r="O408" s="84"/>
      <c r="P408" s="84"/>
      <c r="Q408" s="84"/>
      <c r="R408" s="84"/>
      <c r="S408" s="84"/>
      <c r="T408" s="84"/>
      <c r="U408" s="84"/>
      <c r="V408" s="84"/>
      <c r="W408" s="84"/>
      <c r="X408" s="84"/>
      <c r="Y408" s="84"/>
      <c r="Z408" s="84"/>
    </row>
    <row r="409" spans="1:26" x14ac:dyDescent="0.25">
      <c r="A409" s="84"/>
      <c r="B409" s="84"/>
      <c r="C409" s="84"/>
      <c r="D409" s="84"/>
      <c r="E409" s="84"/>
      <c r="F409" s="84"/>
      <c r="G409" s="84"/>
      <c r="H409" s="84"/>
      <c r="I409" s="84"/>
      <c r="J409" s="84"/>
      <c r="K409" s="84"/>
      <c r="L409" s="84"/>
      <c r="M409" s="84"/>
      <c r="N409" s="84"/>
      <c r="O409" s="84"/>
      <c r="P409" s="84"/>
      <c r="Q409" s="84"/>
      <c r="R409" s="84"/>
      <c r="S409" s="84"/>
      <c r="T409" s="84"/>
      <c r="U409" s="84"/>
      <c r="V409" s="84"/>
      <c r="W409" s="84"/>
      <c r="X409" s="84"/>
      <c r="Y409" s="84"/>
      <c r="Z409" s="84"/>
    </row>
    <row r="410" spans="1:26" x14ac:dyDescent="0.25">
      <c r="A410" s="84"/>
      <c r="B410" s="84"/>
      <c r="C410" s="84"/>
      <c r="D410" s="84"/>
      <c r="E410" s="84"/>
      <c r="F410" s="84"/>
      <c r="G410" s="84"/>
      <c r="H410" s="84"/>
      <c r="I410" s="84"/>
      <c r="J410" s="84"/>
      <c r="K410" s="84"/>
      <c r="L410" s="84"/>
      <c r="M410" s="84"/>
      <c r="N410" s="84"/>
      <c r="O410" s="84"/>
      <c r="P410" s="84"/>
      <c r="Q410" s="84"/>
      <c r="R410" s="84"/>
      <c r="S410" s="84"/>
      <c r="T410" s="84"/>
      <c r="U410" s="84"/>
      <c r="V410" s="84"/>
      <c r="W410" s="84"/>
      <c r="X410" s="84"/>
      <c r="Y410" s="84"/>
      <c r="Z410" s="84"/>
    </row>
    <row r="411" spans="1:26" x14ac:dyDescent="0.25">
      <c r="A411" s="84"/>
      <c r="B411" s="84"/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  <c r="S411" s="84"/>
      <c r="T411" s="84"/>
      <c r="U411" s="84"/>
      <c r="V411" s="84"/>
      <c r="W411" s="84"/>
      <c r="X411" s="84"/>
      <c r="Y411" s="84"/>
      <c r="Z411" s="84"/>
    </row>
    <row r="412" spans="1:26" x14ac:dyDescent="0.25">
      <c r="A412" s="84"/>
      <c r="B412" s="84"/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  <c r="S412" s="84"/>
      <c r="T412" s="84"/>
      <c r="U412" s="84"/>
      <c r="V412" s="84"/>
      <c r="W412" s="84"/>
      <c r="X412" s="84"/>
      <c r="Y412" s="84"/>
      <c r="Z412" s="84"/>
    </row>
    <row r="413" spans="1:26" x14ac:dyDescent="0.25">
      <c r="A413" s="84"/>
      <c r="B413" s="84"/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  <c r="S413" s="84"/>
      <c r="T413" s="84"/>
      <c r="U413" s="84"/>
      <c r="V413" s="84"/>
      <c r="W413" s="84"/>
      <c r="X413" s="84"/>
      <c r="Y413" s="84"/>
      <c r="Z413" s="84"/>
    </row>
    <row r="414" spans="1:26" x14ac:dyDescent="0.25">
      <c r="A414" s="84"/>
      <c r="B414" s="84"/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  <c r="S414" s="84"/>
      <c r="T414" s="84"/>
      <c r="U414" s="84"/>
      <c r="V414" s="84"/>
      <c r="W414" s="84"/>
      <c r="X414" s="84"/>
      <c r="Y414" s="84"/>
      <c r="Z414" s="84"/>
    </row>
    <row r="415" spans="1:26" x14ac:dyDescent="0.25">
      <c r="A415" s="84"/>
      <c r="B415" s="84"/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  <c r="S415" s="84"/>
      <c r="T415" s="84"/>
      <c r="U415" s="84"/>
      <c r="V415" s="84"/>
      <c r="W415" s="84"/>
      <c r="X415" s="84"/>
      <c r="Y415" s="84"/>
      <c r="Z415" s="84"/>
    </row>
    <row r="416" spans="1:26" x14ac:dyDescent="0.25">
      <c r="A416" s="84"/>
      <c r="B416" s="84"/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  <c r="S416" s="84"/>
      <c r="T416" s="84"/>
      <c r="U416" s="84"/>
      <c r="V416" s="84"/>
      <c r="W416" s="84"/>
      <c r="X416" s="84"/>
      <c r="Y416" s="84"/>
      <c r="Z416" s="84"/>
    </row>
    <row r="417" spans="1:26" x14ac:dyDescent="0.25">
      <c r="A417" s="84"/>
      <c r="B417" s="84"/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  <c r="S417" s="84"/>
      <c r="T417" s="84"/>
      <c r="U417" s="84"/>
      <c r="V417" s="84"/>
      <c r="W417" s="84"/>
      <c r="X417" s="84"/>
      <c r="Y417" s="84"/>
      <c r="Z417" s="84"/>
    </row>
    <row r="418" spans="1:26" x14ac:dyDescent="0.25">
      <c r="A418" s="84"/>
      <c r="B418" s="84"/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  <c r="S418" s="84"/>
      <c r="T418" s="84"/>
      <c r="U418" s="84"/>
      <c r="V418" s="84"/>
      <c r="W418" s="84"/>
      <c r="X418" s="84"/>
      <c r="Y418" s="84"/>
      <c r="Z418" s="84"/>
    </row>
    <row r="419" spans="1:26" x14ac:dyDescent="0.25">
      <c r="A419" s="84"/>
      <c r="B419" s="84"/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  <c r="S419" s="84"/>
      <c r="T419" s="84"/>
      <c r="U419" s="84"/>
      <c r="V419" s="84"/>
      <c r="W419" s="84"/>
      <c r="X419" s="84"/>
      <c r="Y419" s="84"/>
      <c r="Z419" s="84"/>
    </row>
    <row r="420" spans="1:26" x14ac:dyDescent="0.25">
      <c r="A420" s="84"/>
      <c r="B420" s="84"/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  <c r="S420" s="84"/>
      <c r="T420" s="84"/>
      <c r="U420" s="84"/>
      <c r="V420" s="84"/>
      <c r="W420" s="84"/>
      <c r="X420" s="84"/>
      <c r="Y420" s="84"/>
      <c r="Z420" s="84"/>
    </row>
    <row r="421" spans="1:26" x14ac:dyDescent="0.25">
      <c r="A421" s="84"/>
      <c r="B421" s="84"/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  <c r="S421" s="84"/>
      <c r="T421" s="84"/>
      <c r="U421" s="84"/>
      <c r="V421" s="84"/>
      <c r="W421" s="84"/>
      <c r="X421" s="84"/>
      <c r="Y421" s="84"/>
      <c r="Z421" s="84"/>
    </row>
    <row r="422" spans="1:26" x14ac:dyDescent="0.25">
      <c r="A422" s="84"/>
      <c r="B422" s="84"/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  <c r="S422" s="84"/>
      <c r="T422" s="84"/>
      <c r="U422" s="84"/>
      <c r="V422" s="84"/>
      <c r="W422" s="84"/>
      <c r="X422" s="84"/>
      <c r="Y422" s="84"/>
      <c r="Z422" s="84"/>
    </row>
    <row r="423" spans="1:26" x14ac:dyDescent="0.25">
      <c r="A423" s="84"/>
      <c r="B423" s="84"/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  <c r="S423" s="84"/>
      <c r="T423" s="84"/>
      <c r="U423" s="84"/>
      <c r="V423" s="84"/>
      <c r="W423" s="84"/>
      <c r="X423" s="84"/>
      <c r="Y423" s="84"/>
      <c r="Z423" s="84"/>
    </row>
    <row r="424" spans="1:26" x14ac:dyDescent="0.25">
      <c r="A424" s="84"/>
      <c r="B424" s="84"/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  <c r="S424" s="84"/>
      <c r="T424" s="84"/>
      <c r="U424" s="84"/>
      <c r="V424" s="84"/>
      <c r="W424" s="84"/>
      <c r="X424" s="84"/>
      <c r="Y424" s="84"/>
      <c r="Z424" s="84"/>
    </row>
    <row r="425" spans="1:26" x14ac:dyDescent="0.25">
      <c r="A425" s="84"/>
      <c r="B425" s="84"/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  <c r="S425" s="84"/>
      <c r="T425" s="84"/>
      <c r="U425" s="84"/>
      <c r="V425" s="84"/>
      <c r="W425" s="84"/>
      <c r="X425" s="84"/>
      <c r="Y425" s="84"/>
      <c r="Z425" s="84"/>
    </row>
    <row r="426" spans="1:26" x14ac:dyDescent="0.25">
      <c r="A426" s="84"/>
      <c r="B426" s="84"/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  <c r="S426" s="84"/>
      <c r="T426" s="84"/>
      <c r="U426" s="84"/>
      <c r="V426" s="84"/>
      <c r="W426" s="84"/>
      <c r="X426" s="84"/>
      <c r="Y426" s="84"/>
      <c r="Z426" s="84"/>
    </row>
    <row r="427" spans="1:26" x14ac:dyDescent="0.25">
      <c r="A427" s="84"/>
      <c r="B427" s="84"/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  <c r="S427" s="84"/>
      <c r="T427" s="84"/>
      <c r="U427" s="84"/>
      <c r="V427" s="84"/>
      <c r="W427" s="84"/>
      <c r="X427" s="84"/>
      <c r="Y427" s="84"/>
      <c r="Z427" s="84"/>
    </row>
    <row r="428" spans="1:26" x14ac:dyDescent="0.25">
      <c r="A428" s="84"/>
      <c r="B428" s="84"/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  <c r="S428" s="84"/>
      <c r="T428" s="84"/>
      <c r="U428" s="84"/>
      <c r="V428" s="84"/>
      <c r="W428" s="84"/>
      <c r="X428" s="84"/>
      <c r="Y428" s="84"/>
      <c r="Z428" s="84"/>
    </row>
    <row r="429" spans="1:26" x14ac:dyDescent="0.25">
      <c r="A429" s="84"/>
      <c r="B429" s="84"/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  <c r="S429" s="84"/>
      <c r="T429" s="84"/>
      <c r="U429" s="84"/>
      <c r="V429" s="84"/>
      <c r="W429" s="84"/>
      <c r="X429" s="84"/>
      <c r="Y429" s="84"/>
      <c r="Z429" s="84"/>
    </row>
    <row r="430" spans="1:26" x14ac:dyDescent="0.25">
      <c r="A430" s="84"/>
      <c r="B430" s="84"/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  <c r="S430" s="84"/>
      <c r="T430" s="84"/>
      <c r="U430" s="84"/>
      <c r="V430" s="84"/>
      <c r="W430" s="84"/>
      <c r="X430" s="84"/>
      <c r="Y430" s="84"/>
      <c r="Z430" s="84"/>
    </row>
    <row r="431" spans="1:26" x14ac:dyDescent="0.25">
      <c r="A431" s="84"/>
      <c r="B431" s="84"/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  <c r="S431" s="84"/>
      <c r="T431" s="84"/>
      <c r="U431" s="84"/>
      <c r="V431" s="84"/>
      <c r="W431" s="84"/>
      <c r="X431" s="84"/>
      <c r="Y431" s="84"/>
      <c r="Z431" s="84"/>
    </row>
    <row r="432" spans="1:26" x14ac:dyDescent="0.25">
      <c r="A432" s="84"/>
      <c r="B432" s="84"/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  <c r="S432" s="84"/>
      <c r="T432" s="84"/>
      <c r="U432" s="84"/>
      <c r="V432" s="84"/>
      <c r="W432" s="84"/>
      <c r="X432" s="84"/>
      <c r="Y432" s="84"/>
      <c r="Z432" s="84"/>
    </row>
    <row r="433" spans="1:26" x14ac:dyDescent="0.25">
      <c r="A433" s="84"/>
      <c r="B433" s="84"/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  <c r="S433" s="84"/>
      <c r="T433" s="84"/>
      <c r="U433" s="84"/>
      <c r="V433" s="84"/>
      <c r="W433" s="84"/>
      <c r="X433" s="84"/>
      <c r="Y433" s="84"/>
      <c r="Z433" s="84"/>
    </row>
    <row r="434" spans="1:26" x14ac:dyDescent="0.25">
      <c r="A434" s="84"/>
      <c r="B434" s="84"/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  <c r="S434" s="84"/>
      <c r="T434" s="84"/>
      <c r="U434" s="84"/>
      <c r="V434" s="84"/>
      <c r="W434" s="84"/>
      <c r="X434" s="84"/>
      <c r="Y434" s="84"/>
      <c r="Z434" s="84"/>
    </row>
    <row r="435" spans="1:26" x14ac:dyDescent="0.25">
      <c r="A435" s="84"/>
      <c r="B435" s="84"/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  <c r="S435" s="84"/>
      <c r="T435" s="84"/>
      <c r="U435" s="84"/>
      <c r="V435" s="84"/>
      <c r="W435" s="84"/>
      <c r="X435" s="84"/>
      <c r="Y435" s="84"/>
      <c r="Z435" s="84"/>
    </row>
    <row r="436" spans="1:26" x14ac:dyDescent="0.25">
      <c r="A436" s="84"/>
      <c r="B436" s="84"/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  <c r="S436" s="84"/>
      <c r="T436" s="84"/>
      <c r="U436" s="84"/>
      <c r="V436" s="84"/>
      <c r="W436" s="84"/>
      <c r="X436" s="84"/>
      <c r="Y436" s="84"/>
      <c r="Z436" s="84"/>
    </row>
    <row r="437" spans="1:26" x14ac:dyDescent="0.25">
      <c r="A437" s="84"/>
      <c r="B437" s="84"/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  <c r="S437" s="84"/>
      <c r="T437" s="84"/>
      <c r="U437" s="84"/>
      <c r="V437" s="84"/>
      <c r="W437" s="84"/>
      <c r="X437" s="84"/>
      <c r="Y437" s="84"/>
      <c r="Z437" s="84"/>
    </row>
    <row r="438" spans="1:26" x14ac:dyDescent="0.25">
      <c r="A438" s="84"/>
      <c r="B438" s="84"/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  <c r="S438" s="84"/>
      <c r="T438" s="84"/>
      <c r="U438" s="84"/>
      <c r="V438" s="84"/>
      <c r="W438" s="84"/>
      <c r="X438" s="84"/>
      <c r="Y438" s="84"/>
      <c r="Z438" s="84"/>
    </row>
    <row r="439" spans="1:26" x14ac:dyDescent="0.25">
      <c r="A439" s="84"/>
      <c r="B439" s="84"/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  <c r="S439" s="84"/>
      <c r="T439" s="84"/>
      <c r="U439" s="84"/>
      <c r="V439" s="84"/>
      <c r="W439" s="84"/>
      <c r="X439" s="84"/>
      <c r="Y439" s="84"/>
      <c r="Z439" s="84"/>
    </row>
    <row r="440" spans="1:26" x14ac:dyDescent="0.25">
      <c r="A440" s="84"/>
      <c r="B440" s="84"/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  <c r="S440" s="84"/>
      <c r="T440" s="84"/>
      <c r="U440" s="84"/>
      <c r="V440" s="84"/>
      <c r="W440" s="84"/>
      <c r="X440" s="84"/>
      <c r="Y440" s="84"/>
      <c r="Z440" s="84"/>
    </row>
    <row r="441" spans="1:26" x14ac:dyDescent="0.25">
      <c r="A441" s="84"/>
      <c r="B441" s="84"/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  <c r="S441" s="84"/>
      <c r="T441" s="84"/>
      <c r="U441" s="84"/>
      <c r="V441" s="84"/>
      <c r="W441" s="84"/>
      <c r="X441" s="84"/>
      <c r="Y441" s="84"/>
      <c r="Z441" s="84"/>
    </row>
    <row r="442" spans="1:26" x14ac:dyDescent="0.25">
      <c r="A442" s="84"/>
      <c r="B442" s="84"/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  <c r="S442" s="84"/>
      <c r="T442" s="84"/>
      <c r="U442" s="84"/>
      <c r="V442" s="84"/>
      <c r="W442" s="84"/>
      <c r="X442" s="84"/>
      <c r="Y442" s="84"/>
      <c r="Z442" s="84"/>
    </row>
    <row r="443" spans="1:26" x14ac:dyDescent="0.25">
      <c r="A443" s="84"/>
      <c r="B443" s="84"/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  <c r="S443" s="84"/>
      <c r="T443" s="84"/>
      <c r="U443" s="84"/>
      <c r="V443" s="84"/>
      <c r="W443" s="84"/>
      <c r="X443" s="84"/>
      <c r="Y443" s="84"/>
      <c r="Z443" s="84"/>
    </row>
    <row r="444" spans="1:26" x14ac:dyDescent="0.25">
      <c r="A444" s="84"/>
      <c r="B444" s="84"/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  <c r="S444" s="84"/>
      <c r="T444" s="84"/>
      <c r="U444" s="84"/>
      <c r="V444" s="84"/>
      <c r="W444" s="84"/>
      <c r="X444" s="84"/>
      <c r="Y444" s="84"/>
      <c r="Z444" s="84"/>
    </row>
    <row r="445" spans="1:26" x14ac:dyDescent="0.25">
      <c r="A445" s="84"/>
      <c r="B445" s="84"/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  <c r="S445" s="84"/>
      <c r="T445" s="84"/>
      <c r="U445" s="84"/>
      <c r="V445" s="84"/>
      <c r="W445" s="84"/>
      <c r="X445" s="84"/>
      <c r="Y445" s="84"/>
      <c r="Z445" s="84"/>
    </row>
    <row r="446" spans="1:26" x14ac:dyDescent="0.25">
      <c r="A446" s="84"/>
      <c r="B446" s="84"/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  <c r="S446" s="84"/>
      <c r="T446" s="84"/>
      <c r="U446" s="84"/>
      <c r="V446" s="84"/>
      <c r="W446" s="84"/>
      <c r="X446" s="84"/>
      <c r="Y446" s="84"/>
      <c r="Z446" s="84"/>
    </row>
    <row r="447" spans="1:26" x14ac:dyDescent="0.25">
      <c r="A447" s="84"/>
      <c r="B447" s="84"/>
      <c r="C447" s="84"/>
      <c r="D447" s="84"/>
      <c r="E447" s="84"/>
      <c r="F447" s="84"/>
      <c r="G447" s="84"/>
      <c r="H447" s="84"/>
      <c r="I447" s="84"/>
      <c r="J447" s="84"/>
      <c r="K447" s="84"/>
      <c r="L447" s="84"/>
      <c r="M447" s="84"/>
      <c r="N447" s="84"/>
      <c r="O447" s="84"/>
      <c r="P447" s="84"/>
      <c r="Q447" s="84"/>
      <c r="R447" s="84"/>
      <c r="S447" s="84"/>
      <c r="T447" s="84"/>
      <c r="U447" s="84"/>
      <c r="V447" s="84"/>
      <c r="W447" s="84"/>
      <c r="X447" s="84"/>
      <c r="Y447" s="84"/>
      <c r="Z447" s="84"/>
    </row>
    <row r="448" spans="1:26" x14ac:dyDescent="0.25">
      <c r="A448" s="84"/>
      <c r="B448" s="84"/>
      <c r="C448" s="84"/>
      <c r="D448" s="84"/>
      <c r="E448" s="84"/>
      <c r="F448" s="84"/>
      <c r="G448" s="84"/>
      <c r="H448" s="84"/>
      <c r="I448" s="84"/>
      <c r="J448" s="84"/>
      <c r="K448" s="84"/>
      <c r="L448" s="84"/>
      <c r="M448" s="84"/>
      <c r="N448" s="84"/>
      <c r="O448" s="84"/>
      <c r="P448" s="84"/>
      <c r="Q448" s="84"/>
      <c r="R448" s="84"/>
      <c r="S448" s="84"/>
      <c r="T448" s="84"/>
      <c r="U448" s="84"/>
      <c r="V448" s="84"/>
      <c r="W448" s="84"/>
      <c r="X448" s="84"/>
      <c r="Y448" s="84"/>
      <c r="Z448" s="84"/>
    </row>
    <row r="449" spans="1:26" x14ac:dyDescent="0.25">
      <c r="A449" s="84"/>
      <c r="B449" s="84"/>
      <c r="C449" s="84"/>
      <c r="D449" s="84"/>
      <c r="E449" s="84"/>
      <c r="F449" s="84"/>
      <c r="G449" s="84"/>
      <c r="H449" s="84"/>
      <c r="I449" s="84"/>
      <c r="J449" s="84"/>
      <c r="K449" s="84"/>
      <c r="L449" s="84"/>
      <c r="M449" s="84"/>
      <c r="N449" s="84"/>
      <c r="O449" s="84"/>
      <c r="P449" s="84"/>
      <c r="Q449" s="84"/>
      <c r="R449" s="84"/>
      <c r="S449" s="84"/>
      <c r="T449" s="84"/>
      <c r="U449" s="84"/>
      <c r="V449" s="84"/>
      <c r="W449" s="84"/>
      <c r="X449" s="84"/>
      <c r="Y449" s="84"/>
      <c r="Z449" s="84"/>
    </row>
    <row r="450" spans="1:26" x14ac:dyDescent="0.25">
      <c r="A450" s="84"/>
      <c r="B450" s="84"/>
      <c r="C450" s="84"/>
      <c r="D450" s="84"/>
      <c r="E450" s="84"/>
      <c r="F450" s="84"/>
      <c r="G450" s="84"/>
      <c r="H450" s="84"/>
      <c r="I450" s="84"/>
      <c r="J450" s="84"/>
      <c r="K450" s="84"/>
      <c r="L450" s="84"/>
      <c r="M450" s="84"/>
      <c r="N450" s="84"/>
      <c r="O450" s="84"/>
      <c r="P450" s="84"/>
      <c r="Q450" s="84"/>
      <c r="R450" s="84"/>
      <c r="S450" s="84"/>
      <c r="T450" s="84"/>
      <c r="U450" s="84"/>
      <c r="V450" s="84"/>
      <c r="W450" s="84"/>
      <c r="X450" s="84"/>
      <c r="Y450" s="84"/>
      <c r="Z450" s="84"/>
    </row>
    <row r="451" spans="1:26" x14ac:dyDescent="0.25">
      <c r="A451" s="84"/>
      <c r="B451" s="84"/>
      <c r="C451" s="84"/>
      <c r="D451" s="84"/>
      <c r="E451" s="84"/>
      <c r="F451" s="84"/>
      <c r="G451" s="84"/>
      <c r="H451" s="84"/>
      <c r="I451" s="84"/>
      <c r="J451" s="84"/>
      <c r="K451" s="84"/>
      <c r="L451" s="84"/>
      <c r="M451" s="84"/>
      <c r="N451" s="84"/>
      <c r="O451" s="84"/>
      <c r="P451" s="84"/>
      <c r="Q451" s="84"/>
      <c r="R451" s="84"/>
      <c r="S451" s="84"/>
      <c r="T451" s="84"/>
      <c r="U451" s="84"/>
      <c r="V451" s="84"/>
      <c r="W451" s="84"/>
      <c r="X451" s="84"/>
      <c r="Y451" s="84"/>
      <c r="Z451" s="84"/>
    </row>
    <row r="452" spans="1:26" x14ac:dyDescent="0.25">
      <c r="A452" s="84"/>
      <c r="B452" s="84"/>
      <c r="C452" s="84"/>
      <c r="D452" s="84"/>
      <c r="E452" s="84"/>
      <c r="F452" s="84"/>
      <c r="G452" s="84"/>
      <c r="H452" s="84"/>
      <c r="I452" s="84"/>
      <c r="J452" s="84"/>
      <c r="K452" s="84"/>
      <c r="L452" s="84"/>
      <c r="M452" s="84"/>
      <c r="N452" s="84"/>
      <c r="O452" s="84"/>
      <c r="P452" s="84"/>
      <c r="Q452" s="84"/>
      <c r="R452" s="84"/>
      <c r="S452" s="84"/>
      <c r="T452" s="84"/>
      <c r="U452" s="84"/>
      <c r="V452" s="84"/>
      <c r="W452" s="84"/>
      <c r="X452" s="84"/>
      <c r="Y452" s="84"/>
      <c r="Z452" s="84"/>
    </row>
    <row r="453" spans="1:26" x14ac:dyDescent="0.25">
      <c r="A453" s="84"/>
      <c r="B453" s="84"/>
      <c r="C453" s="84"/>
      <c r="D453" s="84"/>
      <c r="E453" s="84"/>
      <c r="F453" s="84"/>
      <c r="G453" s="84"/>
      <c r="H453" s="84"/>
      <c r="I453" s="84"/>
      <c r="J453" s="84"/>
      <c r="K453" s="84"/>
      <c r="L453" s="84"/>
      <c r="M453" s="84"/>
      <c r="N453" s="84"/>
      <c r="O453" s="84"/>
      <c r="P453" s="84"/>
      <c r="Q453" s="84"/>
      <c r="R453" s="84"/>
      <c r="S453" s="84"/>
      <c r="T453" s="84"/>
      <c r="U453" s="84"/>
      <c r="V453" s="84"/>
      <c r="W453" s="84"/>
      <c r="X453" s="84"/>
      <c r="Y453" s="84"/>
      <c r="Z453" s="84"/>
    </row>
    <row r="454" spans="1:26" x14ac:dyDescent="0.25">
      <c r="A454" s="84"/>
      <c r="B454" s="84"/>
      <c r="C454" s="84"/>
      <c r="D454" s="84"/>
      <c r="E454" s="84"/>
      <c r="F454" s="84"/>
      <c r="G454" s="84"/>
      <c r="H454" s="84"/>
      <c r="I454" s="84"/>
      <c r="J454" s="84"/>
      <c r="K454" s="84"/>
      <c r="L454" s="84"/>
      <c r="M454" s="84"/>
      <c r="N454" s="84"/>
      <c r="O454" s="84"/>
      <c r="P454" s="84"/>
      <c r="Q454" s="84"/>
      <c r="R454" s="84"/>
      <c r="S454" s="84"/>
      <c r="T454" s="84"/>
      <c r="U454" s="84"/>
      <c r="V454" s="84"/>
      <c r="W454" s="84"/>
      <c r="X454" s="84"/>
      <c r="Y454" s="84"/>
      <c r="Z454" s="84"/>
    </row>
    <row r="455" spans="1:26" x14ac:dyDescent="0.25">
      <c r="A455" s="84"/>
      <c r="B455" s="84"/>
      <c r="C455" s="84"/>
      <c r="D455" s="84"/>
      <c r="E455" s="84"/>
      <c r="F455" s="84"/>
      <c r="G455" s="84"/>
      <c r="H455" s="84"/>
      <c r="I455" s="84"/>
      <c r="J455" s="84"/>
      <c r="K455" s="84"/>
      <c r="L455" s="84"/>
      <c r="M455" s="84"/>
      <c r="N455" s="84"/>
      <c r="O455" s="84"/>
      <c r="P455" s="84"/>
      <c r="Q455" s="84"/>
      <c r="R455" s="84"/>
      <c r="S455" s="84"/>
      <c r="T455" s="84"/>
      <c r="U455" s="84"/>
      <c r="V455" s="84"/>
      <c r="W455" s="84"/>
      <c r="X455" s="84"/>
      <c r="Y455" s="84"/>
      <c r="Z455" s="84"/>
    </row>
    <row r="456" spans="1:26" x14ac:dyDescent="0.25">
      <c r="A456" s="84"/>
      <c r="B456" s="84"/>
      <c r="C456" s="84"/>
      <c r="D456" s="84"/>
      <c r="E456" s="84"/>
      <c r="F456" s="84"/>
      <c r="G456" s="84"/>
      <c r="H456" s="84"/>
      <c r="I456" s="84"/>
      <c r="J456" s="84"/>
      <c r="K456" s="84"/>
      <c r="L456" s="84"/>
      <c r="M456" s="84"/>
      <c r="N456" s="84"/>
      <c r="O456" s="84"/>
      <c r="P456" s="84"/>
      <c r="Q456" s="84"/>
      <c r="R456" s="84"/>
      <c r="S456" s="84"/>
      <c r="T456" s="84"/>
      <c r="U456" s="84"/>
      <c r="V456" s="84"/>
      <c r="W456" s="84"/>
      <c r="X456" s="84"/>
      <c r="Y456" s="84"/>
      <c r="Z456" s="84"/>
    </row>
    <row r="457" spans="1:26" x14ac:dyDescent="0.25">
      <c r="A457" s="84"/>
      <c r="B457" s="84"/>
      <c r="C457" s="84"/>
      <c r="D457" s="84"/>
      <c r="E457" s="84"/>
      <c r="F457" s="84"/>
      <c r="G457" s="84"/>
      <c r="H457" s="84"/>
      <c r="I457" s="84"/>
      <c r="J457" s="84"/>
      <c r="K457" s="84"/>
      <c r="L457" s="84"/>
      <c r="M457" s="84"/>
      <c r="N457" s="84"/>
      <c r="O457" s="84"/>
      <c r="P457" s="84"/>
      <c r="Q457" s="84"/>
      <c r="R457" s="84"/>
      <c r="S457" s="84"/>
      <c r="T457" s="84"/>
      <c r="U457" s="84"/>
      <c r="V457" s="84"/>
      <c r="W457" s="84"/>
      <c r="X457" s="84"/>
      <c r="Y457" s="84"/>
      <c r="Z457" s="84"/>
    </row>
    <row r="458" spans="1:26" x14ac:dyDescent="0.25">
      <c r="A458" s="84"/>
      <c r="B458" s="84"/>
      <c r="C458" s="84"/>
      <c r="D458" s="84"/>
      <c r="E458" s="84"/>
      <c r="F458" s="84"/>
      <c r="G458" s="84"/>
      <c r="H458" s="84"/>
      <c r="I458" s="84"/>
      <c r="J458" s="84"/>
      <c r="K458" s="84"/>
      <c r="L458" s="84"/>
      <c r="M458" s="84"/>
      <c r="N458" s="84"/>
      <c r="O458" s="84"/>
      <c r="P458" s="84"/>
      <c r="Q458" s="84"/>
      <c r="R458" s="84"/>
      <c r="S458" s="84"/>
      <c r="T458" s="84"/>
      <c r="U458" s="84"/>
      <c r="V458" s="84"/>
      <c r="W458" s="84"/>
      <c r="X458" s="84"/>
      <c r="Y458" s="84"/>
      <c r="Z458" s="84"/>
    </row>
    <row r="459" spans="1:26" x14ac:dyDescent="0.25">
      <c r="A459" s="84"/>
      <c r="B459" s="84"/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  <c r="S459" s="84"/>
      <c r="T459" s="84"/>
      <c r="U459" s="84"/>
      <c r="V459" s="84"/>
      <c r="W459" s="84"/>
      <c r="X459" s="84"/>
      <c r="Y459" s="84"/>
      <c r="Z459" s="84"/>
    </row>
    <row r="460" spans="1:26" x14ac:dyDescent="0.25">
      <c r="A460" s="84"/>
      <c r="B460" s="84"/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  <c r="S460" s="84"/>
      <c r="T460" s="84"/>
      <c r="U460" s="84"/>
      <c r="V460" s="84"/>
      <c r="W460" s="84"/>
      <c r="X460" s="84"/>
      <c r="Y460" s="84"/>
      <c r="Z460" s="84"/>
    </row>
    <row r="461" spans="1:26" x14ac:dyDescent="0.25">
      <c r="A461" s="84"/>
      <c r="B461" s="84"/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  <c r="S461" s="84"/>
      <c r="T461" s="84"/>
      <c r="U461" s="84"/>
      <c r="V461" s="84"/>
      <c r="W461" s="84"/>
      <c r="X461" s="84"/>
      <c r="Y461" s="84"/>
      <c r="Z461" s="84"/>
    </row>
    <row r="462" spans="1:26" x14ac:dyDescent="0.25">
      <c r="A462" s="84"/>
      <c r="B462" s="84"/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  <c r="S462" s="84"/>
      <c r="T462" s="84"/>
      <c r="U462" s="84"/>
      <c r="V462" s="84"/>
      <c r="W462" s="84"/>
      <c r="X462" s="84"/>
      <c r="Y462" s="84"/>
      <c r="Z462" s="84"/>
    </row>
    <row r="463" spans="1:26" x14ac:dyDescent="0.25">
      <c r="A463" s="84"/>
      <c r="B463" s="84"/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  <c r="S463" s="84"/>
      <c r="T463" s="84"/>
      <c r="U463" s="84"/>
      <c r="V463" s="84"/>
      <c r="W463" s="84"/>
      <c r="X463" s="84"/>
      <c r="Y463" s="84"/>
      <c r="Z463" s="84"/>
    </row>
    <row r="464" spans="1:26" x14ac:dyDescent="0.25">
      <c r="A464" s="84"/>
      <c r="B464" s="84"/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  <c r="S464" s="84"/>
      <c r="T464" s="84"/>
      <c r="U464" s="84"/>
      <c r="V464" s="84"/>
      <c r="W464" s="84"/>
      <c r="X464" s="84"/>
      <c r="Y464" s="84"/>
      <c r="Z464" s="84"/>
    </row>
    <row r="465" spans="1:26" x14ac:dyDescent="0.25">
      <c r="A465" s="84"/>
      <c r="B465" s="84"/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  <c r="S465" s="84"/>
      <c r="T465" s="84"/>
      <c r="U465" s="84"/>
      <c r="V465" s="84"/>
      <c r="W465" s="84"/>
      <c r="X465" s="84"/>
      <c r="Y465" s="84"/>
      <c r="Z465" s="84"/>
    </row>
    <row r="466" spans="1:26" x14ac:dyDescent="0.25">
      <c r="A466" s="84"/>
      <c r="B466" s="84"/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  <c r="S466" s="84"/>
      <c r="T466" s="84"/>
      <c r="U466" s="84"/>
      <c r="V466" s="84"/>
      <c r="W466" s="84"/>
      <c r="X466" s="84"/>
      <c r="Y466" s="84"/>
      <c r="Z466" s="84"/>
    </row>
    <row r="467" spans="1:26" x14ac:dyDescent="0.25">
      <c r="A467" s="84"/>
      <c r="B467" s="84"/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  <c r="S467" s="84"/>
      <c r="T467" s="84"/>
      <c r="U467" s="84"/>
      <c r="V467" s="84"/>
      <c r="W467" s="84"/>
      <c r="X467" s="84"/>
      <c r="Y467" s="84"/>
      <c r="Z467" s="84"/>
    </row>
    <row r="468" spans="1:26" x14ac:dyDescent="0.25">
      <c r="A468" s="84"/>
      <c r="B468" s="84"/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  <c r="S468" s="84"/>
      <c r="T468" s="84"/>
      <c r="U468" s="84"/>
      <c r="V468" s="84"/>
      <c r="W468" s="84"/>
      <c r="X468" s="84"/>
      <c r="Y468" s="84"/>
      <c r="Z468" s="84"/>
    </row>
    <row r="469" spans="1:26" x14ac:dyDescent="0.25">
      <c r="A469" s="84"/>
      <c r="B469" s="84"/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  <c r="S469" s="84"/>
      <c r="T469" s="84"/>
      <c r="U469" s="84"/>
      <c r="V469" s="84"/>
      <c r="W469" s="84"/>
      <c r="X469" s="84"/>
      <c r="Y469" s="84"/>
      <c r="Z469" s="84"/>
    </row>
    <row r="470" spans="1:26" x14ac:dyDescent="0.25">
      <c r="A470" s="84"/>
      <c r="B470" s="84"/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  <c r="S470" s="84"/>
      <c r="T470" s="84"/>
      <c r="U470" s="84"/>
      <c r="V470" s="84"/>
      <c r="W470" s="84"/>
      <c r="X470" s="84"/>
      <c r="Y470" s="84"/>
      <c r="Z470" s="84"/>
    </row>
    <row r="471" spans="1:26" x14ac:dyDescent="0.25">
      <c r="A471" s="84"/>
      <c r="B471" s="84"/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  <c r="S471" s="84"/>
      <c r="T471" s="84"/>
      <c r="U471" s="84"/>
      <c r="V471" s="84"/>
      <c r="W471" s="84"/>
      <c r="X471" s="84"/>
      <c r="Y471" s="84"/>
      <c r="Z471" s="84"/>
    </row>
    <row r="472" spans="1:26" x14ac:dyDescent="0.25">
      <c r="A472" s="84"/>
      <c r="B472" s="84"/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  <c r="S472" s="84"/>
      <c r="T472" s="84"/>
      <c r="U472" s="84"/>
      <c r="V472" s="84"/>
      <c r="W472" s="84"/>
      <c r="X472" s="84"/>
      <c r="Y472" s="84"/>
      <c r="Z472" s="84"/>
    </row>
    <row r="473" spans="1:26" x14ac:dyDescent="0.25">
      <c r="A473" s="84"/>
      <c r="B473" s="84"/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  <c r="S473" s="84"/>
      <c r="T473" s="84"/>
      <c r="U473" s="84"/>
      <c r="V473" s="84"/>
      <c r="W473" s="84"/>
      <c r="X473" s="84"/>
      <c r="Y473" s="84"/>
      <c r="Z473" s="84"/>
    </row>
    <row r="474" spans="1:26" x14ac:dyDescent="0.25">
      <c r="A474" s="84"/>
      <c r="B474" s="84"/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  <c r="S474" s="84"/>
      <c r="T474" s="84"/>
      <c r="U474" s="84"/>
      <c r="V474" s="84"/>
      <c r="W474" s="84"/>
      <c r="X474" s="84"/>
      <c r="Y474" s="84"/>
      <c r="Z474" s="84"/>
    </row>
    <row r="475" spans="1:26" x14ac:dyDescent="0.25">
      <c r="A475" s="84"/>
      <c r="B475" s="84"/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  <c r="S475" s="84"/>
      <c r="T475" s="84"/>
      <c r="U475" s="84"/>
      <c r="V475" s="84"/>
      <c r="W475" s="84"/>
      <c r="X475" s="84"/>
      <c r="Y475" s="84"/>
      <c r="Z475" s="84"/>
    </row>
    <row r="476" spans="1:26" x14ac:dyDescent="0.25">
      <c r="A476" s="84"/>
      <c r="B476" s="84"/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  <c r="S476" s="84"/>
      <c r="T476" s="84"/>
      <c r="U476" s="84"/>
      <c r="V476" s="84"/>
      <c r="W476" s="84"/>
      <c r="X476" s="84"/>
      <c r="Y476" s="84"/>
      <c r="Z476" s="84"/>
    </row>
    <row r="477" spans="1:26" x14ac:dyDescent="0.25">
      <c r="A477" s="84"/>
      <c r="B477" s="84"/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  <c r="S477" s="84"/>
      <c r="T477" s="84"/>
      <c r="U477" s="84"/>
      <c r="V477" s="84"/>
      <c r="W477" s="84"/>
      <c r="X477" s="84"/>
      <c r="Y477" s="84"/>
      <c r="Z477" s="84"/>
    </row>
    <row r="478" spans="1:26" x14ac:dyDescent="0.25">
      <c r="A478" s="84"/>
      <c r="B478" s="84"/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  <c r="S478" s="84"/>
      <c r="T478" s="84"/>
      <c r="U478" s="84"/>
      <c r="V478" s="84"/>
      <c r="W478" s="84"/>
      <c r="X478" s="84"/>
      <c r="Y478" s="84"/>
      <c r="Z478" s="84"/>
    </row>
    <row r="479" spans="1:26" x14ac:dyDescent="0.25">
      <c r="A479" s="84"/>
      <c r="B479" s="84"/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  <c r="S479" s="84"/>
      <c r="T479" s="84"/>
      <c r="U479" s="84"/>
      <c r="V479" s="84"/>
      <c r="W479" s="84"/>
      <c r="X479" s="84"/>
      <c r="Y479" s="84"/>
      <c r="Z479" s="84"/>
    </row>
    <row r="480" spans="1:26" x14ac:dyDescent="0.25">
      <c r="A480" s="84"/>
      <c r="B480" s="84"/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  <c r="S480" s="84"/>
      <c r="T480" s="84"/>
      <c r="U480" s="84"/>
      <c r="V480" s="84"/>
      <c r="W480" s="84"/>
      <c r="X480" s="84"/>
      <c r="Y480" s="84"/>
      <c r="Z480" s="84"/>
    </row>
    <row r="481" spans="1:26" x14ac:dyDescent="0.25">
      <c r="A481" s="84"/>
      <c r="B481" s="84"/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  <c r="S481" s="84"/>
      <c r="T481" s="84"/>
      <c r="U481" s="84"/>
      <c r="V481" s="84"/>
      <c r="W481" s="84"/>
      <c r="X481" s="84"/>
      <c r="Y481" s="84"/>
      <c r="Z481" s="84"/>
    </row>
    <row r="482" spans="1:26" x14ac:dyDescent="0.25">
      <c r="A482" s="84"/>
      <c r="B482" s="84"/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  <c r="S482" s="84"/>
      <c r="T482" s="84"/>
      <c r="U482" s="84"/>
      <c r="V482" s="84"/>
      <c r="W482" s="84"/>
      <c r="X482" s="84"/>
      <c r="Y482" s="84"/>
      <c r="Z482" s="84"/>
    </row>
    <row r="483" spans="1:26" x14ac:dyDescent="0.25">
      <c r="A483" s="84"/>
      <c r="B483" s="84"/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</row>
    <row r="484" spans="1:26" x14ac:dyDescent="0.25">
      <c r="A484" s="84"/>
      <c r="B484" s="84"/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  <c r="S484" s="84"/>
      <c r="T484" s="84"/>
      <c r="U484" s="84"/>
      <c r="V484" s="84"/>
      <c r="W484" s="84"/>
      <c r="X484" s="84"/>
      <c r="Y484" s="84"/>
      <c r="Z484" s="84"/>
    </row>
    <row r="485" spans="1:26" x14ac:dyDescent="0.25">
      <c r="A485" s="84"/>
      <c r="B485" s="84"/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</row>
    <row r="486" spans="1:26" x14ac:dyDescent="0.25">
      <c r="A486" s="84"/>
      <c r="B486" s="84"/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  <c r="S486" s="84"/>
      <c r="T486" s="84"/>
      <c r="U486" s="84"/>
      <c r="V486" s="84"/>
      <c r="W486" s="84"/>
      <c r="X486" s="84"/>
      <c r="Y486" s="84"/>
      <c r="Z486" s="84"/>
    </row>
    <row r="487" spans="1:26" x14ac:dyDescent="0.25">
      <c r="A487" s="84"/>
      <c r="B487" s="84"/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  <c r="S487" s="84"/>
      <c r="T487" s="84"/>
      <c r="U487" s="84"/>
      <c r="V487" s="84"/>
      <c r="W487" s="84"/>
      <c r="X487" s="84"/>
      <c r="Y487" s="84"/>
      <c r="Z487" s="84"/>
    </row>
    <row r="488" spans="1:26" x14ac:dyDescent="0.25">
      <c r="A488" s="84"/>
      <c r="B488" s="84"/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  <c r="S488" s="84"/>
      <c r="T488" s="84"/>
      <c r="U488" s="84"/>
      <c r="V488" s="84"/>
      <c r="W488" s="84"/>
      <c r="X488" s="84"/>
      <c r="Y488" s="84"/>
      <c r="Z488" s="84"/>
    </row>
    <row r="489" spans="1:26" x14ac:dyDescent="0.25">
      <c r="A489" s="84"/>
      <c r="B489" s="84"/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  <c r="S489" s="84"/>
      <c r="T489" s="84"/>
      <c r="U489" s="84"/>
      <c r="V489" s="84"/>
      <c r="W489" s="84"/>
      <c r="X489" s="84"/>
      <c r="Y489" s="84"/>
      <c r="Z489" s="84"/>
    </row>
    <row r="490" spans="1:26" x14ac:dyDescent="0.25">
      <c r="A490" s="84"/>
      <c r="B490" s="84"/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  <c r="S490" s="84"/>
      <c r="T490" s="84"/>
      <c r="U490" s="84"/>
      <c r="V490" s="84"/>
      <c r="W490" s="84"/>
      <c r="X490" s="84"/>
      <c r="Y490" s="84"/>
      <c r="Z490" s="84"/>
    </row>
    <row r="491" spans="1:26" x14ac:dyDescent="0.25">
      <c r="A491" s="84"/>
      <c r="B491" s="84"/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  <c r="S491" s="84"/>
      <c r="T491" s="84"/>
      <c r="U491" s="84"/>
      <c r="V491" s="84"/>
      <c r="W491" s="84"/>
      <c r="X491" s="84"/>
      <c r="Y491" s="84"/>
      <c r="Z491" s="84"/>
    </row>
    <row r="492" spans="1:26" x14ac:dyDescent="0.25">
      <c r="A492" s="84"/>
      <c r="B492" s="84"/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  <c r="S492" s="84"/>
      <c r="T492" s="84"/>
      <c r="U492" s="84"/>
      <c r="V492" s="84"/>
      <c r="W492" s="84"/>
      <c r="X492" s="84"/>
      <c r="Y492" s="84"/>
      <c r="Z492" s="84"/>
    </row>
    <row r="493" spans="1:26" x14ac:dyDescent="0.25">
      <c r="A493" s="84"/>
      <c r="B493" s="84"/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  <c r="S493" s="84"/>
      <c r="T493" s="84"/>
      <c r="U493" s="84"/>
      <c r="V493" s="84"/>
      <c r="W493" s="84"/>
      <c r="X493" s="84"/>
      <c r="Y493" s="84"/>
      <c r="Z493" s="84"/>
    </row>
    <row r="494" spans="1:26" x14ac:dyDescent="0.25">
      <c r="A494" s="84"/>
      <c r="B494" s="84"/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  <c r="S494" s="84"/>
      <c r="T494" s="84"/>
      <c r="U494" s="84"/>
      <c r="V494" s="84"/>
      <c r="W494" s="84"/>
      <c r="X494" s="84"/>
      <c r="Y494" s="84"/>
      <c r="Z494" s="84"/>
    </row>
    <row r="495" spans="1:26" x14ac:dyDescent="0.25">
      <c r="A495" s="84"/>
      <c r="B495" s="84"/>
      <c r="C495" s="84"/>
      <c r="D495" s="84"/>
      <c r="E495" s="84"/>
      <c r="F495" s="84"/>
      <c r="G495" s="84"/>
      <c r="H495" s="84"/>
      <c r="I495" s="84"/>
      <c r="J495" s="84"/>
      <c r="K495" s="84"/>
      <c r="L495" s="84"/>
      <c r="M495" s="84"/>
      <c r="N495" s="84"/>
      <c r="O495" s="84"/>
      <c r="P495" s="84"/>
      <c r="Q495" s="84"/>
      <c r="R495" s="84"/>
      <c r="S495" s="84"/>
      <c r="T495" s="84"/>
      <c r="U495" s="84"/>
      <c r="V495" s="84"/>
      <c r="W495" s="84"/>
      <c r="X495" s="84"/>
      <c r="Y495" s="84"/>
      <c r="Z495" s="84"/>
    </row>
    <row r="496" spans="1:26" x14ac:dyDescent="0.25">
      <c r="A496" s="84"/>
      <c r="B496" s="84"/>
      <c r="C496" s="84"/>
      <c r="D496" s="84"/>
      <c r="E496" s="84"/>
      <c r="F496" s="84"/>
      <c r="G496" s="84"/>
      <c r="H496" s="84"/>
      <c r="I496" s="84"/>
      <c r="J496" s="84"/>
      <c r="K496" s="84"/>
      <c r="L496" s="84"/>
      <c r="M496" s="84"/>
      <c r="N496" s="84"/>
      <c r="O496" s="84"/>
      <c r="P496" s="84"/>
      <c r="Q496" s="84"/>
      <c r="R496" s="84"/>
      <c r="S496" s="84"/>
      <c r="T496" s="84"/>
      <c r="U496" s="84"/>
      <c r="V496" s="84"/>
      <c r="W496" s="84"/>
      <c r="X496" s="84"/>
      <c r="Y496" s="84"/>
      <c r="Z496" s="84"/>
    </row>
    <row r="497" spans="1:26" x14ac:dyDescent="0.25">
      <c r="A497" s="84"/>
      <c r="B497" s="84"/>
      <c r="C497" s="84"/>
      <c r="D497" s="84"/>
      <c r="E497" s="84"/>
      <c r="F497" s="84"/>
      <c r="G497" s="84"/>
      <c r="H497" s="84"/>
      <c r="I497" s="84"/>
      <c r="J497" s="84"/>
      <c r="K497" s="84"/>
      <c r="L497" s="84"/>
      <c r="M497" s="84"/>
      <c r="N497" s="84"/>
      <c r="O497" s="84"/>
      <c r="P497" s="84"/>
      <c r="Q497" s="84"/>
      <c r="R497" s="84"/>
      <c r="S497" s="84"/>
      <c r="T497" s="84"/>
      <c r="U497" s="84"/>
      <c r="V497" s="84"/>
      <c r="W497" s="84"/>
      <c r="X497" s="84"/>
      <c r="Y497" s="84"/>
      <c r="Z497" s="84"/>
    </row>
    <row r="498" spans="1:26" x14ac:dyDescent="0.25">
      <c r="A498" s="84"/>
      <c r="B498" s="84"/>
      <c r="C498" s="84"/>
      <c r="D498" s="84"/>
      <c r="E498" s="84"/>
      <c r="F498" s="84"/>
      <c r="G498" s="84"/>
      <c r="H498" s="84"/>
      <c r="I498" s="84"/>
      <c r="J498" s="84"/>
      <c r="K498" s="84"/>
      <c r="L498" s="84"/>
      <c r="M498" s="84"/>
      <c r="N498" s="84"/>
      <c r="O498" s="84"/>
      <c r="P498" s="84"/>
      <c r="Q498" s="84"/>
      <c r="R498" s="84"/>
      <c r="S498" s="84"/>
      <c r="T498" s="84"/>
      <c r="U498" s="84"/>
      <c r="V498" s="84"/>
      <c r="W498" s="84"/>
      <c r="X498" s="84"/>
      <c r="Y498" s="84"/>
      <c r="Z498" s="84"/>
    </row>
    <row r="499" spans="1:26" x14ac:dyDescent="0.25">
      <c r="A499" s="84"/>
      <c r="B499" s="84"/>
      <c r="C499" s="84"/>
      <c r="D499" s="84"/>
      <c r="E499" s="84"/>
      <c r="F499" s="84"/>
      <c r="G499" s="84"/>
      <c r="H499" s="84"/>
      <c r="I499" s="84"/>
      <c r="J499" s="84"/>
      <c r="K499" s="84"/>
      <c r="L499" s="84"/>
      <c r="M499" s="84"/>
      <c r="N499" s="84"/>
      <c r="O499" s="84"/>
      <c r="P499" s="84"/>
      <c r="Q499" s="84"/>
      <c r="R499" s="84"/>
      <c r="S499" s="84"/>
      <c r="T499" s="84"/>
      <c r="U499" s="84"/>
      <c r="V499" s="84"/>
      <c r="W499" s="84"/>
      <c r="X499" s="84"/>
      <c r="Y499" s="84"/>
      <c r="Z499" s="84"/>
    </row>
    <row r="500" spans="1:26" x14ac:dyDescent="0.25">
      <c r="A500" s="84"/>
      <c r="B500" s="84"/>
      <c r="C500" s="84"/>
      <c r="D500" s="84"/>
      <c r="E500" s="84"/>
      <c r="F500" s="84"/>
      <c r="G500" s="84"/>
      <c r="H500" s="84"/>
      <c r="I500" s="84"/>
      <c r="J500" s="84"/>
      <c r="K500" s="84"/>
      <c r="L500" s="84"/>
      <c r="M500" s="84"/>
      <c r="N500" s="84"/>
      <c r="O500" s="84"/>
      <c r="P500" s="84"/>
      <c r="Q500" s="84"/>
      <c r="R500" s="84"/>
      <c r="S500" s="84"/>
      <c r="T500" s="84"/>
      <c r="U500" s="84"/>
      <c r="V500" s="84"/>
      <c r="W500" s="84"/>
      <c r="X500" s="84"/>
      <c r="Y500" s="84"/>
      <c r="Z500" s="84"/>
    </row>
    <row r="501" spans="1:26" x14ac:dyDescent="0.25">
      <c r="A501" s="84"/>
      <c r="B501" s="84"/>
      <c r="C501" s="84"/>
      <c r="D501" s="84"/>
      <c r="E501" s="84"/>
      <c r="F501" s="84"/>
      <c r="G501" s="84"/>
      <c r="H501" s="84"/>
      <c r="I501" s="84"/>
      <c r="J501" s="84"/>
      <c r="K501" s="84"/>
      <c r="L501" s="84"/>
      <c r="M501" s="84"/>
      <c r="N501" s="84"/>
      <c r="O501" s="84"/>
      <c r="P501" s="84"/>
      <c r="Q501" s="84"/>
      <c r="R501" s="84"/>
      <c r="S501" s="84"/>
      <c r="T501" s="84"/>
      <c r="U501" s="84"/>
      <c r="V501" s="84"/>
      <c r="W501" s="84"/>
      <c r="X501" s="84"/>
      <c r="Y501" s="84"/>
      <c r="Z501" s="84"/>
    </row>
    <row r="502" spans="1:26" x14ac:dyDescent="0.25">
      <c r="A502" s="84"/>
      <c r="B502" s="84"/>
      <c r="C502" s="84"/>
      <c r="D502" s="84"/>
      <c r="E502" s="84"/>
      <c r="F502" s="84"/>
      <c r="G502" s="84"/>
      <c r="H502" s="84"/>
      <c r="I502" s="84"/>
      <c r="J502" s="84"/>
      <c r="K502" s="84"/>
      <c r="L502" s="84"/>
      <c r="M502" s="84"/>
      <c r="N502" s="84"/>
      <c r="O502" s="84"/>
      <c r="P502" s="84"/>
      <c r="Q502" s="84"/>
      <c r="R502" s="84"/>
      <c r="S502" s="84"/>
      <c r="T502" s="84"/>
      <c r="U502" s="84"/>
      <c r="V502" s="84"/>
      <c r="W502" s="84"/>
      <c r="X502" s="84"/>
      <c r="Y502" s="84"/>
      <c r="Z502" s="84"/>
    </row>
    <row r="503" spans="1:26" x14ac:dyDescent="0.25">
      <c r="A503" s="84"/>
      <c r="B503" s="84"/>
      <c r="C503" s="84"/>
      <c r="D503" s="84"/>
      <c r="E503" s="84"/>
      <c r="F503" s="84"/>
      <c r="G503" s="84"/>
      <c r="H503" s="84"/>
      <c r="I503" s="84"/>
      <c r="J503" s="84"/>
      <c r="K503" s="84"/>
      <c r="L503" s="84"/>
      <c r="M503" s="84"/>
      <c r="N503" s="84"/>
      <c r="O503" s="84"/>
      <c r="P503" s="84"/>
      <c r="Q503" s="84"/>
      <c r="R503" s="84"/>
      <c r="S503" s="84"/>
      <c r="T503" s="84"/>
      <c r="U503" s="84"/>
      <c r="V503" s="84"/>
      <c r="W503" s="84"/>
      <c r="X503" s="84"/>
      <c r="Y503" s="84"/>
      <c r="Z503" s="84"/>
    </row>
    <row r="504" spans="1:26" x14ac:dyDescent="0.25">
      <c r="A504" s="84"/>
      <c r="B504" s="84"/>
      <c r="C504" s="84"/>
      <c r="D504" s="84"/>
      <c r="E504" s="84"/>
      <c r="F504" s="84"/>
      <c r="G504" s="84"/>
      <c r="H504" s="84"/>
      <c r="I504" s="84"/>
      <c r="J504" s="84"/>
      <c r="K504" s="84"/>
      <c r="L504" s="84"/>
      <c r="M504" s="84"/>
      <c r="N504" s="84"/>
      <c r="O504" s="84"/>
      <c r="P504" s="84"/>
      <c r="Q504" s="84"/>
      <c r="R504" s="84"/>
      <c r="S504" s="84"/>
      <c r="T504" s="84"/>
      <c r="U504" s="84"/>
      <c r="V504" s="84"/>
      <c r="W504" s="84"/>
      <c r="X504" s="84"/>
      <c r="Y504" s="84"/>
      <c r="Z504" s="84"/>
    </row>
    <row r="505" spans="1:26" x14ac:dyDescent="0.25">
      <c r="A505" s="84"/>
      <c r="B505" s="84"/>
      <c r="C505" s="84"/>
      <c r="D505" s="84"/>
      <c r="E505" s="84"/>
      <c r="F505" s="84"/>
      <c r="G505" s="84"/>
      <c r="H505" s="84"/>
      <c r="I505" s="84"/>
      <c r="J505" s="84"/>
      <c r="K505" s="84"/>
      <c r="L505" s="84"/>
      <c r="M505" s="84"/>
      <c r="N505" s="84"/>
      <c r="O505" s="84"/>
      <c r="P505" s="84"/>
      <c r="Q505" s="84"/>
      <c r="R505" s="84"/>
      <c r="S505" s="84"/>
      <c r="T505" s="84"/>
      <c r="U505" s="84"/>
      <c r="V505" s="84"/>
      <c r="W505" s="84"/>
      <c r="X505" s="84"/>
      <c r="Y505" s="84"/>
      <c r="Z505" s="84"/>
    </row>
    <row r="506" spans="1:26" x14ac:dyDescent="0.25">
      <c r="A506" s="84"/>
      <c r="B506" s="84"/>
      <c r="C506" s="84"/>
      <c r="D506" s="84"/>
      <c r="E506" s="84"/>
      <c r="F506" s="84"/>
      <c r="G506" s="84"/>
      <c r="H506" s="84"/>
      <c r="I506" s="84"/>
      <c r="J506" s="84"/>
      <c r="K506" s="84"/>
      <c r="L506" s="84"/>
      <c r="M506" s="84"/>
      <c r="N506" s="84"/>
      <c r="O506" s="84"/>
      <c r="P506" s="84"/>
      <c r="Q506" s="84"/>
      <c r="R506" s="84"/>
      <c r="S506" s="84"/>
      <c r="T506" s="84"/>
      <c r="U506" s="84"/>
      <c r="V506" s="84"/>
      <c r="W506" s="84"/>
      <c r="X506" s="84"/>
      <c r="Y506" s="84"/>
      <c r="Z506" s="84"/>
    </row>
    <row r="507" spans="1:26" x14ac:dyDescent="0.25">
      <c r="A507" s="84"/>
      <c r="B507" s="84"/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  <c r="S507" s="84"/>
      <c r="T507" s="84"/>
      <c r="U507" s="84"/>
      <c r="V507" s="84"/>
      <c r="W507" s="84"/>
      <c r="X507" s="84"/>
      <c r="Y507" s="84"/>
      <c r="Z507" s="84"/>
    </row>
    <row r="508" spans="1:26" x14ac:dyDescent="0.25">
      <c r="A508" s="84"/>
      <c r="B508" s="84"/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  <c r="S508" s="84"/>
      <c r="T508" s="84"/>
      <c r="U508" s="84"/>
      <c r="V508" s="84"/>
      <c r="W508" s="84"/>
      <c r="X508" s="84"/>
      <c r="Y508" s="84"/>
      <c r="Z508" s="84"/>
    </row>
    <row r="509" spans="1:26" x14ac:dyDescent="0.25">
      <c r="A509" s="84"/>
      <c r="B509" s="84"/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  <c r="S509" s="84"/>
      <c r="T509" s="84"/>
      <c r="U509" s="84"/>
      <c r="V509" s="84"/>
      <c r="W509" s="84"/>
      <c r="X509" s="84"/>
      <c r="Y509" s="84"/>
      <c r="Z509" s="84"/>
    </row>
    <row r="510" spans="1:26" x14ac:dyDescent="0.25">
      <c r="A510" s="84"/>
      <c r="B510" s="84"/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  <c r="S510" s="84"/>
      <c r="T510" s="84"/>
      <c r="U510" s="84"/>
      <c r="V510" s="84"/>
      <c r="W510" s="84"/>
      <c r="X510" s="84"/>
      <c r="Y510" s="84"/>
      <c r="Z510" s="84"/>
    </row>
    <row r="511" spans="1:26" x14ac:dyDescent="0.25">
      <c r="A511" s="84"/>
      <c r="B511" s="84"/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  <c r="S511" s="84"/>
      <c r="T511" s="84"/>
      <c r="U511" s="84"/>
      <c r="V511" s="84"/>
      <c r="W511" s="84"/>
      <c r="X511" s="84"/>
      <c r="Y511" s="84"/>
      <c r="Z511" s="84"/>
    </row>
    <row r="512" spans="1:26" x14ac:dyDescent="0.25">
      <c r="A512" s="84"/>
      <c r="B512" s="84"/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  <c r="S512" s="84"/>
      <c r="T512" s="84"/>
      <c r="U512" s="84"/>
      <c r="V512" s="84"/>
      <c r="W512" s="84"/>
      <c r="X512" s="84"/>
      <c r="Y512" s="84"/>
      <c r="Z512" s="84"/>
    </row>
    <row r="513" spans="1:26" x14ac:dyDescent="0.25">
      <c r="A513" s="84"/>
      <c r="B513" s="84"/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  <c r="S513" s="84"/>
      <c r="T513" s="84"/>
      <c r="U513" s="84"/>
      <c r="V513" s="84"/>
      <c r="W513" s="84"/>
      <c r="X513" s="84"/>
      <c r="Y513" s="84"/>
      <c r="Z513" s="84"/>
    </row>
    <row r="514" spans="1:26" x14ac:dyDescent="0.25">
      <c r="A514" s="84"/>
      <c r="B514" s="84"/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  <c r="S514" s="84"/>
      <c r="T514" s="84"/>
      <c r="U514" s="84"/>
      <c r="V514" s="84"/>
      <c r="W514" s="84"/>
      <c r="X514" s="84"/>
      <c r="Y514" s="84"/>
      <c r="Z514" s="84"/>
    </row>
    <row r="515" spans="1:26" x14ac:dyDescent="0.25">
      <c r="A515" s="84"/>
      <c r="B515" s="84"/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  <c r="S515" s="84"/>
      <c r="T515" s="84"/>
      <c r="U515" s="84"/>
      <c r="V515" s="84"/>
      <c r="W515" s="84"/>
      <c r="X515" s="84"/>
      <c r="Y515" s="84"/>
      <c r="Z515" s="84"/>
    </row>
    <row r="516" spans="1:26" x14ac:dyDescent="0.25">
      <c r="A516" s="84"/>
      <c r="B516" s="84"/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  <c r="S516" s="84"/>
      <c r="T516" s="84"/>
      <c r="U516" s="84"/>
      <c r="V516" s="84"/>
      <c r="W516" s="84"/>
      <c r="X516" s="84"/>
      <c r="Y516" s="84"/>
      <c r="Z516" s="84"/>
    </row>
    <row r="517" spans="1:26" x14ac:dyDescent="0.25">
      <c r="A517" s="84"/>
      <c r="B517" s="84"/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  <c r="U517" s="84"/>
      <c r="V517" s="84"/>
      <c r="W517" s="84"/>
      <c r="X517" s="84"/>
      <c r="Y517" s="84"/>
      <c r="Z517" s="84"/>
    </row>
    <row r="518" spans="1:26" x14ac:dyDescent="0.25">
      <c r="A518" s="84"/>
      <c r="B518" s="84"/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  <c r="S518" s="84"/>
      <c r="T518" s="84"/>
      <c r="U518" s="84"/>
      <c r="V518" s="84"/>
      <c r="W518" s="84"/>
      <c r="X518" s="84"/>
      <c r="Y518" s="84"/>
      <c r="Z518" s="84"/>
    </row>
    <row r="519" spans="1:26" x14ac:dyDescent="0.25">
      <c r="A519" s="84"/>
      <c r="B519" s="84"/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  <c r="S519" s="84"/>
      <c r="T519" s="84"/>
      <c r="U519" s="84"/>
      <c r="V519" s="84"/>
      <c r="W519" s="84"/>
      <c r="X519" s="84"/>
      <c r="Y519" s="84"/>
      <c r="Z519" s="84"/>
    </row>
    <row r="520" spans="1:26" x14ac:dyDescent="0.25">
      <c r="A520" s="84"/>
      <c r="B520" s="84"/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  <c r="S520" s="84"/>
      <c r="T520" s="84"/>
      <c r="U520" s="84"/>
      <c r="V520" s="84"/>
      <c r="W520" s="84"/>
      <c r="X520" s="84"/>
      <c r="Y520" s="84"/>
      <c r="Z520" s="84"/>
    </row>
    <row r="521" spans="1:26" x14ac:dyDescent="0.25">
      <c r="A521" s="84"/>
      <c r="B521" s="84"/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</row>
    <row r="522" spans="1:26" x14ac:dyDescent="0.25">
      <c r="A522" s="84"/>
      <c r="B522" s="84"/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</row>
    <row r="523" spans="1:26" x14ac:dyDescent="0.25">
      <c r="A523" s="84"/>
      <c r="B523" s="84"/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</row>
    <row r="524" spans="1:26" x14ac:dyDescent="0.25">
      <c r="A524" s="84"/>
      <c r="B524" s="84"/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</row>
    <row r="525" spans="1:26" x14ac:dyDescent="0.25">
      <c r="A525" s="84"/>
      <c r="B525" s="84"/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</row>
    <row r="526" spans="1:26" x14ac:dyDescent="0.25">
      <c r="A526" s="84"/>
      <c r="B526" s="84"/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</row>
    <row r="527" spans="1:26" x14ac:dyDescent="0.25">
      <c r="A527" s="84"/>
      <c r="B527" s="84"/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</row>
    <row r="528" spans="1:26" x14ac:dyDescent="0.25">
      <c r="A528" s="84"/>
      <c r="B528" s="84"/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</row>
    <row r="529" spans="1:26" x14ac:dyDescent="0.25">
      <c r="A529" s="84"/>
      <c r="B529" s="84"/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</row>
    <row r="530" spans="1:26" x14ac:dyDescent="0.25">
      <c r="A530" s="84"/>
      <c r="B530" s="84"/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</row>
    <row r="531" spans="1:26" x14ac:dyDescent="0.25">
      <c r="A531" s="84"/>
      <c r="B531" s="84"/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</row>
    <row r="532" spans="1:26" x14ac:dyDescent="0.25">
      <c r="A532" s="84"/>
      <c r="B532" s="84"/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</row>
    <row r="533" spans="1:26" x14ac:dyDescent="0.25">
      <c r="A533" s="84"/>
      <c r="B533" s="84"/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</row>
    <row r="534" spans="1:26" x14ac:dyDescent="0.25">
      <c r="A534" s="84"/>
      <c r="B534" s="84"/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</row>
    <row r="535" spans="1:26" x14ac:dyDescent="0.25">
      <c r="A535" s="84"/>
      <c r="B535" s="84"/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</row>
    <row r="536" spans="1:26" x14ac:dyDescent="0.25">
      <c r="A536" s="84"/>
      <c r="B536" s="84"/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</row>
    <row r="537" spans="1:26" x14ac:dyDescent="0.25">
      <c r="A537" s="84"/>
      <c r="B537" s="84"/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</row>
    <row r="538" spans="1:26" x14ac:dyDescent="0.25">
      <c r="A538" s="84"/>
      <c r="B538" s="84"/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  <c r="S538" s="84"/>
      <c r="T538" s="84"/>
      <c r="U538" s="84"/>
      <c r="V538" s="84"/>
      <c r="W538" s="84"/>
      <c r="X538" s="84"/>
      <c r="Y538" s="84"/>
      <c r="Z538" s="84"/>
    </row>
    <row r="539" spans="1:26" x14ac:dyDescent="0.25">
      <c r="A539" s="84"/>
      <c r="B539" s="84"/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  <c r="S539" s="84"/>
      <c r="T539" s="84"/>
      <c r="U539" s="84"/>
      <c r="V539" s="84"/>
      <c r="W539" s="84"/>
      <c r="X539" s="84"/>
      <c r="Y539" s="84"/>
      <c r="Z539" s="84"/>
    </row>
    <row r="540" spans="1:26" x14ac:dyDescent="0.25">
      <c r="A540" s="84"/>
      <c r="B540" s="84"/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  <c r="S540" s="84"/>
      <c r="T540" s="84"/>
      <c r="U540" s="84"/>
      <c r="V540" s="84"/>
      <c r="W540" s="84"/>
      <c r="X540" s="84"/>
      <c r="Y540" s="84"/>
      <c r="Z540" s="84"/>
    </row>
    <row r="541" spans="1:26" x14ac:dyDescent="0.25">
      <c r="A541" s="84"/>
      <c r="B541" s="84"/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  <c r="S541" s="84"/>
      <c r="T541" s="84"/>
      <c r="U541" s="84"/>
      <c r="V541" s="84"/>
      <c r="W541" s="84"/>
      <c r="X541" s="84"/>
      <c r="Y541" s="84"/>
      <c r="Z541" s="84"/>
    </row>
    <row r="542" spans="1:26" x14ac:dyDescent="0.25">
      <c r="A542" s="84"/>
      <c r="B542" s="84"/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  <c r="S542" s="84"/>
      <c r="T542" s="84"/>
      <c r="U542" s="84"/>
      <c r="V542" s="84"/>
      <c r="W542" s="84"/>
      <c r="X542" s="84"/>
      <c r="Y542" s="84"/>
      <c r="Z542" s="84"/>
    </row>
    <row r="543" spans="1:26" x14ac:dyDescent="0.25">
      <c r="A543" s="84"/>
      <c r="B543" s="84"/>
      <c r="C543" s="84"/>
      <c r="D543" s="84"/>
      <c r="E543" s="84"/>
      <c r="F543" s="84"/>
      <c r="G543" s="84"/>
      <c r="H543" s="84"/>
      <c r="I543" s="84"/>
      <c r="J543" s="84"/>
      <c r="K543" s="84"/>
      <c r="L543" s="84"/>
      <c r="M543" s="84"/>
      <c r="N543" s="84"/>
      <c r="O543" s="84"/>
      <c r="P543" s="84"/>
      <c r="Q543" s="84"/>
      <c r="R543" s="84"/>
      <c r="S543" s="84"/>
      <c r="T543" s="84"/>
      <c r="U543" s="84"/>
      <c r="V543" s="84"/>
      <c r="W543" s="84"/>
      <c r="X543" s="84"/>
      <c r="Y543" s="84"/>
      <c r="Z543" s="84"/>
    </row>
    <row r="544" spans="1:26" x14ac:dyDescent="0.25">
      <c r="A544" s="84"/>
      <c r="B544" s="84"/>
      <c r="C544" s="84"/>
      <c r="D544" s="84"/>
      <c r="E544" s="84"/>
      <c r="F544" s="84"/>
      <c r="G544" s="84"/>
      <c r="H544" s="84"/>
      <c r="I544" s="84"/>
      <c r="J544" s="84"/>
      <c r="K544" s="84"/>
      <c r="L544" s="84"/>
      <c r="M544" s="84"/>
      <c r="N544" s="84"/>
      <c r="O544" s="84"/>
      <c r="P544" s="84"/>
      <c r="Q544" s="84"/>
      <c r="R544" s="84"/>
      <c r="S544" s="84"/>
      <c r="T544" s="84"/>
      <c r="U544" s="84"/>
      <c r="V544" s="84"/>
      <c r="W544" s="84"/>
      <c r="X544" s="84"/>
      <c r="Y544" s="84"/>
      <c r="Z544" s="84"/>
    </row>
    <row r="545" spans="1:26" x14ac:dyDescent="0.25">
      <c r="A545" s="84"/>
      <c r="B545" s="84"/>
      <c r="C545" s="84"/>
      <c r="D545" s="84"/>
      <c r="E545" s="84"/>
      <c r="F545" s="84"/>
      <c r="G545" s="84"/>
      <c r="H545" s="84"/>
      <c r="I545" s="84"/>
      <c r="J545" s="84"/>
      <c r="K545" s="84"/>
      <c r="L545" s="84"/>
      <c r="M545" s="84"/>
      <c r="N545" s="84"/>
      <c r="O545" s="84"/>
      <c r="P545" s="84"/>
      <c r="Q545" s="84"/>
      <c r="R545" s="84"/>
      <c r="S545" s="84"/>
      <c r="T545" s="84"/>
      <c r="U545" s="84"/>
      <c r="V545" s="84"/>
      <c r="W545" s="84"/>
      <c r="X545" s="84"/>
      <c r="Y545" s="84"/>
      <c r="Z545" s="84"/>
    </row>
    <row r="546" spans="1:26" x14ac:dyDescent="0.25">
      <c r="A546" s="84"/>
      <c r="B546" s="84"/>
      <c r="C546" s="84"/>
      <c r="D546" s="84"/>
      <c r="E546" s="84"/>
      <c r="F546" s="84"/>
      <c r="G546" s="84"/>
      <c r="H546" s="84"/>
      <c r="I546" s="84"/>
      <c r="J546" s="84"/>
      <c r="K546" s="84"/>
      <c r="L546" s="84"/>
      <c r="M546" s="84"/>
      <c r="N546" s="84"/>
      <c r="O546" s="84"/>
      <c r="P546" s="84"/>
      <c r="Q546" s="84"/>
      <c r="R546" s="84"/>
      <c r="S546" s="84"/>
      <c r="T546" s="84"/>
      <c r="U546" s="84"/>
      <c r="V546" s="84"/>
      <c r="W546" s="84"/>
      <c r="X546" s="84"/>
      <c r="Y546" s="84"/>
      <c r="Z546" s="84"/>
    </row>
    <row r="547" spans="1:26" x14ac:dyDescent="0.25">
      <c r="A547" s="84"/>
      <c r="B547" s="84"/>
      <c r="C547" s="84"/>
      <c r="D547" s="84"/>
      <c r="E547" s="84"/>
      <c r="F547" s="84"/>
      <c r="G547" s="84"/>
      <c r="H547" s="84"/>
      <c r="I547" s="84"/>
      <c r="J547" s="84"/>
      <c r="K547" s="84"/>
      <c r="L547" s="84"/>
      <c r="M547" s="84"/>
      <c r="N547" s="84"/>
      <c r="O547" s="84"/>
      <c r="P547" s="84"/>
      <c r="Q547" s="84"/>
      <c r="R547" s="84"/>
      <c r="S547" s="84"/>
      <c r="T547" s="84"/>
      <c r="U547" s="84"/>
      <c r="V547" s="84"/>
      <c r="W547" s="84"/>
      <c r="X547" s="84"/>
      <c r="Y547" s="84"/>
      <c r="Z547" s="84"/>
    </row>
    <row r="548" spans="1:26" x14ac:dyDescent="0.25">
      <c r="A548" s="84"/>
      <c r="B548" s="84"/>
      <c r="C548" s="84"/>
      <c r="D548" s="84"/>
      <c r="E548" s="84"/>
      <c r="F548" s="84"/>
      <c r="G548" s="84"/>
      <c r="H548" s="84"/>
      <c r="I548" s="84"/>
      <c r="J548" s="84"/>
      <c r="K548" s="84"/>
      <c r="L548" s="84"/>
      <c r="M548" s="84"/>
      <c r="N548" s="84"/>
      <c r="O548" s="84"/>
      <c r="P548" s="84"/>
      <c r="Q548" s="84"/>
      <c r="R548" s="84"/>
      <c r="S548" s="84"/>
      <c r="T548" s="84"/>
      <c r="U548" s="84"/>
      <c r="V548" s="84"/>
      <c r="W548" s="84"/>
      <c r="X548" s="84"/>
      <c r="Y548" s="84"/>
      <c r="Z548" s="84"/>
    </row>
    <row r="549" spans="1:26" x14ac:dyDescent="0.25">
      <c r="A549" s="84"/>
      <c r="B549" s="84"/>
      <c r="C549" s="84"/>
      <c r="D549" s="84"/>
      <c r="E549" s="84"/>
      <c r="F549" s="84"/>
      <c r="G549" s="84"/>
      <c r="H549" s="84"/>
      <c r="I549" s="84"/>
      <c r="J549" s="84"/>
      <c r="K549" s="84"/>
      <c r="L549" s="84"/>
      <c r="M549" s="84"/>
      <c r="N549" s="84"/>
      <c r="O549" s="84"/>
      <c r="P549" s="84"/>
      <c r="Q549" s="84"/>
      <c r="R549" s="84"/>
      <c r="S549" s="84"/>
      <c r="T549" s="84"/>
      <c r="U549" s="84"/>
      <c r="V549" s="84"/>
      <c r="W549" s="84"/>
      <c r="X549" s="84"/>
      <c r="Y549" s="84"/>
      <c r="Z549" s="84"/>
    </row>
    <row r="550" spans="1:26" x14ac:dyDescent="0.25">
      <c r="A550" s="84"/>
      <c r="B550" s="84"/>
      <c r="C550" s="84"/>
      <c r="D550" s="84"/>
      <c r="E550" s="84"/>
      <c r="F550" s="84"/>
      <c r="G550" s="84"/>
      <c r="H550" s="84"/>
      <c r="I550" s="84"/>
      <c r="J550" s="84"/>
      <c r="K550" s="84"/>
      <c r="L550" s="84"/>
      <c r="M550" s="84"/>
      <c r="N550" s="84"/>
      <c r="O550" s="84"/>
      <c r="P550" s="84"/>
      <c r="Q550" s="84"/>
      <c r="R550" s="84"/>
      <c r="S550" s="84"/>
      <c r="T550" s="84"/>
      <c r="U550" s="84"/>
      <c r="V550" s="84"/>
      <c r="W550" s="84"/>
      <c r="X550" s="84"/>
      <c r="Y550" s="84"/>
      <c r="Z550" s="84"/>
    </row>
    <row r="551" spans="1:26" x14ac:dyDescent="0.25">
      <c r="A551" s="84"/>
      <c r="B551" s="84"/>
      <c r="C551" s="84"/>
      <c r="D551" s="84"/>
      <c r="E551" s="84"/>
      <c r="F551" s="84"/>
      <c r="G551" s="84"/>
      <c r="H551" s="84"/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</row>
    <row r="552" spans="1:26" x14ac:dyDescent="0.25">
      <c r="A552" s="84"/>
      <c r="B552" s="84"/>
      <c r="C552" s="84"/>
      <c r="D552" s="84"/>
      <c r="E552" s="84"/>
      <c r="F552" s="84"/>
      <c r="G552" s="84"/>
      <c r="H552" s="84"/>
      <c r="I552" s="84"/>
      <c r="J552" s="84"/>
      <c r="K552" s="84"/>
      <c r="L552" s="84"/>
      <c r="M552" s="84"/>
      <c r="N552" s="84"/>
      <c r="O552" s="84"/>
      <c r="P552" s="84"/>
      <c r="Q552" s="84"/>
      <c r="R552" s="84"/>
      <c r="S552" s="84"/>
      <c r="T552" s="84"/>
      <c r="U552" s="84"/>
      <c r="V552" s="84"/>
      <c r="W552" s="84"/>
      <c r="X552" s="84"/>
      <c r="Y552" s="84"/>
      <c r="Z552" s="84"/>
    </row>
    <row r="553" spans="1:26" x14ac:dyDescent="0.25">
      <c r="A553" s="84"/>
      <c r="B553" s="84"/>
      <c r="C553" s="84"/>
      <c r="D553" s="84"/>
      <c r="E553" s="84"/>
      <c r="F553" s="84"/>
      <c r="G553" s="84"/>
      <c r="H553" s="84"/>
      <c r="I553" s="84"/>
      <c r="J553" s="84"/>
      <c r="K553" s="84"/>
      <c r="L553" s="84"/>
      <c r="M553" s="84"/>
      <c r="N553" s="84"/>
      <c r="O553" s="84"/>
      <c r="P553" s="84"/>
      <c r="Q553" s="84"/>
      <c r="R553" s="84"/>
      <c r="S553" s="84"/>
      <c r="T553" s="84"/>
      <c r="U553" s="84"/>
      <c r="V553" s="84"/>
      <c r="W553" s="84"/>
      <c r="X553" s="84"/>
      <c r="Y553" s="84"/>
      <c r="Z553" s="84"/>
    </row>
    <row r="554" spans="1:26" x14ac:dyDescent="0.25">
      <c r="A554" s="84"/>
      <c r="B554" s="84"/>
      <c r="C554" s="84"/>
      <c r="D554" s="84"/>
      <c r="E554" s="84"/>
      <c r="F554" s="84"/>
      <c r="G554" s="84"/>
      <c r="H554" s="84"/>
      <c r="I554" s="84"/>
      <c r="J554" s="84"/>
      <c r="K554" s="84"/>
      <c r="L554" s="84"/>
      <c r="M554" s="84"/>
      <c r="N554" s="84"/>
      <c r="O554" s="84"/>
      <c r="P554" s="84"/>
      <c r="Q554" s="84"/>
      <c r="R554" s="84"/>
      <c r="S554" s="84"/>
      <c r="T554" s="84"/>
      <c r="U554" s="84"/>
      <c r="V554" s="84"/>
      <c r="W554" s="84"/>
      <c r="X554" s="84"/>
      <c r="Y554" s="84"/>
      <c r="Z554" s="84"/>
    </row>
    <row r="555" spans="1:26" x14ac:dyDescent="0.25">
      <c r="A555" s="84"/>
      <c r="B555" s="84"/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  <c r="S555" s="84"/>
      <c r="T555" s="84"/>
      <c r="U555" s="84"/>
      <c r="V555" s="84"/>
      <c r="W555" s="84"/>
      <c r="X555" s="84"/>
      <c r="Y555" s="84"/>
      <c r="Z555" s="84"/>
    </row>
    <row r="556" spans="1:26" x14ac:dyDescent="0.25">
      <c r="A556" s="84"/>
      <c r="B556" s="84"/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  <c r="S556" s="84"/>
      <c r="T556" s="84"/>
      <c r="U556" s="84"/>
      <c r="V556" s="84"/>
      <c r="W556" s="84"/>
      <c r="X556" s="84"/>
      <c r="Y556" s="84"/>
      <c r="Z556" s="84"/>
    </row>
    <row r="557" spans="1:26" x14ac:dyDescent="0.25">
      <c r="A557" s="84"/>
      <c r="B557" s="84"/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  <c r="S557" s="84"/>
      <c r="T557" s="84"/>
      <c r="U557" s="84"/>
      <c r="V557" s="84"/>
      <c r="W557" s="84"/>
      <c r="X557" s="84"/>
      <c r="Y557" s="84"/>
      <c r="Z557" s="84"/>
    </row>
    <row r="558" spans="1:26" x14ac:dyDescent="0.25">
      <c r="A558" s="84"/>
      <c r="B558" s="84"/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  <c r="S558" s="84"/>
      <c r="T558" s="84"/>
      <c r="U558" s="84"/>
      <c r="V558" s="84"/>
      <c r="W558" s="84"/>
      <c r="X558" s="84"/>
      <c r="Y558" s="84"/>
      <c r="Z558" s="84"/>
    </row>
    <row r="559" spans="1:26" x14ac:dyDescent="0.25">
      <c r="A559" s="84"/>
      <c r="B559" s="84"/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  <c r="S559" s="84"/>
      <c r="T559" s="84"/>
      <c r="U559" s="84"/>
      <c r="V559" s="84"/>
      <c r="W559" s="84"/>
      <c r="X559" s="84"/>
      <c r="Y559" s="84"/>
      <c r="Z559" s="84"/>
    </row>
    <row r="560" spans="1:26" x14ac:dyDescent="0.25">
      <c r="A560" s="84"/>
      <c r="B560" s="84"/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  <c r="S560" s="84"/>
      <c r="T560" s="84"/>
      <c r="U560" s="84"/>
      <c r="V560" s="84"/>
      <c r="W560" s="84"/>
      <c r="X560" s="84"/>
      <c r="Y560" s="84"/>
      <c r="Z560" s="84"/>
    </row>
    <row r="561" spans="1:26" x14ac:dyDescent="0.25">
      <c r="A561" s="84"/>
      <c r="B561" s="84"/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  <c r="S561" s="84"/>
      <c r="T561" s="84"/>
      <c r="U561" s="84"/>
      <c r="V561" s="84"/>
      <c r="W561" s="84"/>
      <c r="X561" s="84"/>
      <c r="Y561" s="84"/>
      <c r="Z561" s="84"/>
    </row>
    <row r="562" spans="1:26" x14ac:dyDescent="0.25">
      <c r="A562" s="84"/>
      <c r="B562" s="84"/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  <c r="S562" s="84"/>
      <c r="T562" s="84"/>
      <c r="U562" s="84"/>
      <c r="V562" s="84"/>
      <c r="W562" s="84"/>
      <c r="X562" s="84"/>
      <c r="Y562" s="84"/>
      <c r="Z562" s="84"/>
    </row>
    <row r="563" spans="1:26" x14ac:dyDescent="0.25">
      <c r="A563" s="84"/>
      <c r="B563" s="84"/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</row>
    <row r="564" spans="1:26" x14ac:dyDescent="0.25">
      <c r="A564" s="84"/>
      <c r="B564" s="84"/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  <c r="S564" s="84"/>
      <c r="T564" s="84"/>
      <c r="U564" s="84"/>
      <c r="V564" s="84"/>
      <c r="W564" s="84"/>
      <c r="X564" s="84"/>
      <c r="Y564" s="84"/>
      <c r="Z564" s="84"/>
    </row>
    <row r="565" spans="1:26" x14ac:dyDescent="0.25">
      <c r="A565" s="84"/>
      <c r="B565" s="84"/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  <c r="S565" s="84"/>
      <c r="T565" s="84"/>
      <c r="U565" s="84"/>
      <c r="V565" s="84"/>
      <c r="W565" s="84"/>
      <c r="X565" s="84"/>
      <c r="Y565" s="84"/>
      <c r="Z565" s="84"/>
    </row>
    <row r="566" spans="1:26" x14ac:dyDescent="0.25">
      <c r="A566" s="84"/>
      <c r="B566" s="84"/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  <c r="S566" s="84"/>
      <c r="T566" s="84"/>
      <c r="U566" s="84"/>
      <c r="V566" s="84"/>
      <c r="W566" s="84"/>
      <c r="X566" s="84"/>
      <c r="Y566" s="84"/>
      <c r="Z566" s="84"/>
    </row>
    <row r="567" spans="1:26" x14ac:dyDescent="0.25">
      <c r="A567" s="84"/>
      <c r="B567" s="84"/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  <c r="S567" s="84"/>
      <c r="T567" s="84"/>
      <c r="U567" s="84"/>
      <c r="V567" s="84"/>
      <c r="W567" s="84"/>
      <c r="X567" s="84"/>
      <c r="Y567" s="84"/>
      <c r="Z567" s="84"/>
    </row>
    <row r="568" spans="1:26" x14ac:dyDescent="0.25">
      <c r="A568" s="84"/>
      <c r="B568" s="84"/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  <c r="S568" s="84"/>
      <c r="T568" s="84"/>
      <c r="U568" s="84"/>
      <c r="V568" s="84"/>
      <c r="W568" s="84"/>
      <c r="X568" s="84"/>
      <c r="Y568" s="84"/>
      <c r="Z568" s="84"/>
    </row>
    <row r="569" spans="1:26" x14ac:dyDescent="0.25">
      <c r="A569" s="84"/>
      <c r="B569" s="84"/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  <c r="S569" s="84"/>
      <c r="T569" s="84"/>
      <c r="U569" s="84"/>
      <c r="V569" s="84"/>
      <c r="W569" s="84"/>
      <c r="X569" s="84"/>
      <c r="Y569" s="84"/>
      <c r="Z569" s="84"/>
    </row>
    <row r="570" spans="1:26" x14ac:dyDescent="0.25">
      <c r="A570" s="84"/>
      <c r="B570" s="84"/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  <c r="S570" s="84"/>
      <c r="T570" s="84"/>
      <c r="U570" s="84"/>
      <c r="V570" s="84"/>
      <c r="W570" s="84"/>
      <c r="X570" s="84"/>
      <c r="Y570" s="84"/>
      <c r="Z570" s="84"/>
    </row>
    <row r="571" spans="1:26" x14ac:dyDescent="0.25">
      <c r="A571" s="84"/>
      <c r="B571" s="84"/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  <c r="S571" s="84"/>
      <c r="T571" s="84"/>
      <c r="U571" s="84"/>
      <c r="V571" s="84"/>
      <c r="W571" s="84"/>
      <c r="X571" s="84"/>
      <c r="Y571" s="84"/>
      <c r="Z571" s="84"/>
    </row>
    <row r="572" spans="1:26" x14ac:dyDescent="0.25">
      <c r="A572" s="84"/>
      <c r="B572" s="84"/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  <c r="S572" s="84"/>
      <c r="T572" s="84"/>
      <c r="U572" s="84"/>
      <c r="V572" s="84"/>
      <c r="W572" s="84"/>
      <c r="X572" s="84"/>
      <c r="Y572" s="84"/>
      <c r="Z572" s="84"/>
    </row>
    <row r="573" spans="1:26" x14ac:dyDescent="0.25">
      <c r="A573" s="84"/>
      <c r="B573" s="84"/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  <c r="S573" s="84"/>
      <c r="T573" s="84"/>
      <c r="U573" s="84"/>
      <c r="V573" s="84"/>
      <c r="W573" s="84"/>
      <c r="X573" s="84"/>
      <c r="Y573" s="84"/>
      <c r="Z573" s="84"/>
    </row>
    <row r="574" spans="1:26" x14ac:dyDescent="0.25">
      <c r="A574" s="84"/>
      <c r="B574" s="84"/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  <c r="S574" s="84"/>
      <c r="T574" s="84"/>
      <c r="U574" s="84"/>
      <c r="V574" s="84"/>
      <c r="W574" s="84"/>
      <c r="X574" s="84"/>
      <c r="Y574" s="84"/>
      <c r="Z574" s="84"/>
    </row>
    <row r="575" spans="1:26" x14ac:dyDescent="0.25">
      <c r="A575" s="84"/>
      <c r="B575" s="84"/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  <c r="S575" s="84"/>
      <c r="T575" s="84"/>
      <c r="U575" s="84"/>
      <c r="V575" s="84"/>
      <c r="W575" s="84"/>
      <c r="X575" s="84"/>
      <c r="Y575" s="84"/>
      <c r="Z575" s="84"/>
    </row>
    <row r="576" spans="1:26" x14ac:dyDescent="0.25">
      <c r="A576" s="84"/>
      <c r="B576" s="84"/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  <c r="S576" s="84"/>
      <c r="T576" s="84"/>
      <c r="U576" s="84"/>
      <c r="V576" s="84"/>
      <c r="W576" s="84"/>
      <c r="X576" s="84"/>
      <c r="Y576" s="84"/>
      <c r="Z576" s="84"/>
    </row>
    <row r="577" spans="1:26" x14ac:dyDescent="0.25">
      <c r="A577" s="84"/>
      <c r="B577" s="84"/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  <c r="S577" s="84"/>
      <c r="T577" s="84"/>
      <c r="U577" s="84"/>
      <c r="V577" s="84"/>
      <c r="W577" s="84"/>
      <c r="X577" s="84"/>
      <c r="Y577" s="84"/>
      <c r="Z577" s="84"/>
    </row>
    <row r="578" spans="1:26" x14ac:dyDescent="0.25">
      <c r="A578" s="84"/>
      <c r="B578" s="84"/>
      <c r="C578" s="84"/>
      <c r="D578" s="84"/>
      <c r="E578" s="84"/>
      <c r="F578" s="84"/>
      <c r="G578" s="84"/>
      <c r="H578" s="84"/>
      <c r="I578" s="84"/>
      <c r="J578" s="84"/>
      <c r="K578" s="84"/>
      <c r="L578" s="84"/>
      <c r="M578" s="84"/>
      <c r="N578" s="84"/>
      <c r="O578" s="84"/>
      <c r="P578" s="84"/>
      <c r="Q578" s="84"/>
      <c r="R578" s="84"/>
      <c r="S578" s="84"/>
      <c r="T578" s="84"/>
      <c r="U578" s="84"/>
      <c r="V578" s="84"/>
      <c r="W578" s="84"/>
      <c r="X578" s="84"/>
      <c r="Y578" s="84"/>
      <c r="Z578" s="84"/>
    </row>
    <row r="579" spans="1:26" x14ac:dyDescent="0.25">
      <c r="A579" s="84"/>
      <c r="B579" s="84"/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  <c r="S579" s="84"/>
      <c r="T579" s="84"/>
      <c r="U579" s="84"/>
      <c r="V579" s="84"/>
      <c r="W579" s="84"/>
      <c r="X579" s="84"/>
      <c r="Y579" s="84"/>
      <c r="Z579" s="84"/>
    </row>
    <row r="580" spans="1:26" x14ac:dyDescent="0.25">
      <c r="A580" s="84"/>
      <c r="B580" s="84"/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  <c r="S580" s="84"/>
      <c r="T580" s="84"/>
      <c r="U580" s="84"/>
      <c r="V580" s="84"/>
      <c r="W580" s="84"/>
      <c r="X580" s="84"/>
      <c r="Y580" s="84"/>
      <c r="Z580" s="84"/>
    </row>
    <row r="581" spans="1:26" x14ac:dyDescent="0.25">
      <c r="A581" s="84"/>
      <c r="B581" s="84"/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  <c r="S581" s="84"/>
      <c r="T581" s="84"/>
      <c r="U581" s="84"/>
      <c r="V581" s="84"/>
      <c r="W581" s="84"/>
      <c r="X581" s="84"/>
      <c r="Y581" s="84"/>
      <c r="Z581" s="84"/>
    </row>
    <row r="582" spans="1:26" x14ac:dyDescent="0.25">
      <c r="A582" s="84"/>
      <c r="B582" s="84"/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  <c r="S582" s="84"/>
      <c r="T582" s="84"/>
      <c r="U582" s="84"/>
      <c r="V582" s="84"/>
      <c r="W582" s="84"/>
      <c r="X582" s="84"/>
      <c r="Y582" s="84"/>
      <c r="Z582" s="84"/>
    </row>
    <row r="583" spans="1:26" x14ac:dyDescent="0.25">
      <c r="A583" s="84"/>
      <c r="B583" s="84"/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  <c r="S583" s="84"/>
      <c r="T583" s="84"/>
      <c r="U583" s="84"/>
      <c r="V583" s="84"/>
      <c r="W583" s="84"/>
      <c r="X583" s="84"/>
      <c r="Y583" s="84"/>
      <c r="Z583" s="84"/>
    </row>
    <row r="584" spans="1:26" x14ac:dyDescent="0.25">
      <c r="A584" s="84"/>
      <c r="B584" s="84"/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  <c r="S584" s="84"/>
      <c r="T584" s="84"/>
      <c r="U584" s="84"/>
      <c r="V584" s="84"/>
      <c r="W584" s="84"/>
      <c r="X584" s="84"/>
      <c r="Y584" s="84"/>
      <c r="Z584" s="84"/>
    </row>
    <row r="585" spans="1:26" x14ac:dyDescent="0.25">
      <c r="A585" s="84"/>
      <c r="B585" s="84"/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  <c r="S585" s="84"/>
      <c r="T585" s="84"/>
      <c r="U585" s="84"/>
      <c r="V585" s="84"/>
      <c r="W585" s="84"/>
      <c r="X585" s="84"/>
      <c r="Y585" s="84"/>
      <c r="Z585" s="84"/>
    </row>
    <row r="586" spans="1:26" x14ac:dyDescent="0.25">
      <c r="A586" s="84"/>
      <c r="B586" s="84"/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X586" s="84"/>
      <c r="Y586" s="84"/>
      <c r="Z586" s="84"/>
    </row>
    <row r="587" spans="1:26" x14ac:dyDescent="0.25">
      <c r="A587" s="84"/>
      <c r="B587" s="84"/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  <c r="S587" s="84"/>
      <c r="T587" s="84"/>
      <c r="U587" s="84"/>
      <c r="V587" s="84"/>
      <c r="W587" s="84"/>
      <c r="X587" s="84"/>
      <c r="Y587" s="84"/>
      <c r="Z587" s="84"/>
    </row>
    <row r="588" spans="1:26" x14ac:dyDescent="0.25">
      <c r="A588" s="84"/>
      <c r="B588" s="84"/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  <c r="S588" s="84"/>
      <c r="T588" s="84"/>
      <c r="U588" s="84"/>
      <c r="V588" s="84"/>
      <c r="W588" s="84"/>
      <c r="X588" s="84"/>
      <c r="Y588" s="84"/>
      <c r="Z588" s="84"/>
    </row>
    <row r="589" spans="1:26" x14ac:dyDescent="0.25">
      <c r="A589" s="84"/>
      <c r="B589" s="84"/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  <c r="S589" s="84"/>
      <c r="T589" s="84"/>
      <c r="U589" s="84"/>
      <c r="V589" s="84"/>
      <c r="W589" s="84"/>
      <c r="X589" s="84"/>
      <c r="Y589" s="84"/>
      <c r="Z589" s="84"/>
    </row>
    <row r="590" spans="1:26" x14ac:dyDescent="0.25">
      <c r="A590" s="84"/>
      <c r="B590" s="84"/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  <c r="S590" s="84"/>
      <c r="T590" s="84"/>
      <c r="U590" s="84"/>
      <c r="V590" s="84"/>
      <c r="W590" s="84"/>
      <c r="X590" s="84"/>
      <c r="Y590" s="84"/>
      <c r="Z590" s="84"/>
    </row>
    <row r="591" spans="1:26" x14ac:dyDescent="0.25">
      <c r="A591" s="84"/>
      <c r="B591" s="84"/>
      <c r="C591" s="84"/>
      <c r="D591" s="84"/>
      <c r="E591" s="84"/>
      <c r="F591" s="84"/>
      <c r="G591" s="84"/>
      <c r="H591" s="84"/>
      <c r="I591" s="84"/>
      <c r="J591" s="84"/>
      <c r="K591" s="84"/>
      <c r="L591" s="84"/>
      <c r="M591" s="84"/>
      <c r="N591" s="84"/>
      <c r="O591" s="84"/>
      <c r="P591" s="84"/>
      <c r="Q591" s="84"/>
      <c r="R591" s="84"/>
      <c r="S591" s="84"/>
      <c r="T591" s="84"/>
      <c r="U591" s="84"/>
      <c r="V591" s="84"/>
      <c r="W591" s="84"/>
      <c r="X591" s="84"/>
      <c r="Y591" s="84"/>
      <c r="Z591" s="84"/>
    </row>
    <row r="592" spans="1:26" x14ac:dyDescent="0.25">
      <c r="A592" s="84"/>
      <c r="B592" s="84"/>
      <c r="C592" s="84"/>
      <c r="D592" s="84"/>
      <c r="E592" s="84"/>
      <c r="F592" s="84"/>
      <c r="G592" s="84"/>
      <c r="H592" s="84"/>
      <c r="I592" s="84"/>
      <c r="J592" s="84"/>
      <c r="K592" s="84"/>
      <c r="L592" s="84"/>
      <c r="M592" s="84"/>
      <c r="N592" s="84"/>
      <c r="O592" s="84"/>
      <c r="P592" s="84"/>
      <c r="Q592" s="84"/>
      <c r="R592" s="84"/>
      <c r="S592" s="84"/>
      <c r="T592" s="84"/>
      <c r="U592" s="84"/>
      <c r="V592" s="84"/>
      <c r="W592" s="84"/>
      <c r="X592" s="84"/>
      <c r="Y592" s="84"/>
      <c r="Z592" s="84"/>
    </row>
    <row r="593" spans="1:26" x14ac:dyDescent="0.25">
      <c r="A593" s="84"/>
      <c r="B593" s="84"/>
      <c r="C593" s="84"/>
      <c r="D593" s="84"/>
      <c r="E593" s="84"/>
      <c r="F593" s="84"/>
      <c r="G593" s="84"/>
      <c r="H593" s="84"/>
      <c r="I593" s="84"/>
      <c r="J593" s="84"/>
      <c r="K593" s="84"/>
      <c r="L593" s="84"/>
      <c r="M593" s="84"/>
      <c r="N593" s="84"/>
      <c r="O593" s="84"/>
      <c r="P593" s="84"/>
      <c r="Q593" s="84"/>
      <c r="R593" s="84"/>
      <c r="S593" s="84"/>
      <c r="T593" s="84"/>
      <c r="U593" s="84"/>
      <c r="V593" s="84"/>
      <c r="W593" s="84"/>
      <c r="X593" s="84"/>
      <c r="Y593" s="84"/>
      <c r="Z593" s="84"/>
    </row>
    <row r="594" spans="1:26" x14ac:dyDescent="0.25">
      <c r="A594" s="84"/>
      <c r="B594" s="84"/>
      <c r="C594" s="84"/>
      <c r="D594" s="84"/>
      <c r="E594" s="84"/>
      <c r="F594" s="84"/>
      <c r="G594" s="84"/>
      <c r="H594" s="84"/>
      <c r="I594" s="84"/>
      <c r="J594" s="84"/>
      <c r="K594" s="84"/>
      <c r="L594" s="84"/>
      <c r="M594" s="84"/>
      <c r="N594" s="84"/>
      <c r="O594" s="84"/>
      <c r="P594" s="84"/>
      <c r="Q594" s="84"/>
      <c r="R594" s="84"/>
      <c r="S594" s="84"/>
      <c r="T594" s="84"/>
      <c r="U594" s="84"/>
      <c r="V594" s="84"/>
      <c r="W594" s="84"/>
      <c r="X594" s="84"/>
      <c r="Y594" s="84"/>
      <c r="Z594" s="84"/>
    </row>
    <row r="595" spans="1:26" x14ac:dyDescent="0.25">
      <c r="A595" s="84"/>
      <c r="B595" s="84"/>
      <c r="C595" s="84"/>
      <c r="D595" s="84"/>
      <c r="E595" s="84"/>
      <c r="F595" s="84"/>
      <c r="G595" s="84"/>
      <c r="H595" s="84"/>
      <c r="I595" s="84"/>
      <c r="J595" s="84"/>
      <c r="K595" s="84"/>
      <c r="L595" s="84"/>
      <c r="M595" s="84"/>
      <c r="N595" s="84"/>
      <c r="O595" s="84"/>
      <c r="P595" s="84"/>
      <c r="Q595" s="84"/>
      <c r="R595" s="84"/>
      <c r="S595" s="84"/>
      <c r="T595" s="84"/>
      <c r="U595" s="84"/>
      <c r="V595" s="84"/>
      <c r="W595" s="84"/>
      <c r="X595" s="84"/>
      <c r="Y595" s="84"/>
      <c r="Z595" s="84"/>
    </row>
    <row r="596" spans="1:26" x14ac:dyDescent="0.25">
      <c r="A596" s="84"/>
      <c r="B596" s="84"/>
      <c r="C596" s="84"/>
      <c r="D596" s="84"/>
      <c r="E596" s="84"/>
      <c r="F596" s="84"/>
      <c r="G596" s="84"/>
      <c r="H596" s="84"/>
      <c r="I596" s="84"/>
      <c r="J596" s="84"/>
      <c r="K596" s="84"/>
      <c r="L596" s="84"/>
      <c r="M596" s="84"/>
      <c r="N596" s="84"/>
      <c r="O596" s="84"/>
      <c r="P596" s="84"/>
      <c r="Q596" s="84"/>
      <c r="R596" s="84"/>
      <c r="S596" s="84"/>
      <c r="T596" s="84"/>
      <c r="U596" s="84"/>
      <c r="V596" s="84"/>
      <c r="W596" s="84"/>
      <c r="X596" s="84"/>
      <c r="Y596" s="84"/>
      <c r="Z596" s="84"/>
    </row>
    <row r="597" spans="1:26" x14ac:dyDescent="0.25">
      <c r="A597" s="84"/>
      <c r="B597" s="84"/>
      <c r="C597" s="84"/>
      <c r="D597" s="84"/>
      <c r="E597" s="84"/>
      <c r="F597" s="84"/>
      <c r="G597" s="84"/>
      <c r="H597" s="84"/>
      <c r="I597" s="84"/>
      <c r="J597" s="84"/>
      <c r="K597" s="84"/>
      <c r="L597" s="84"/>
      <c r="M597" s="84"/>
      <c r="N597" s="84"/>
      <c r="O597" s="84"/>
      <c r="P597" s="84"/>
      <c r="Q597" s="84"/>
      <c r="R597" s="84"/>
      <c r="S597" s="84"/>
      <c r="T597" s="84"/>
      <c r="U597" s="84"/>
      <c r="V597" s="84"/>
      <c r="W597" s="84"/>
      <c r="X597" s="84"/>
      <c r="Y597" s="84"/>
      <c r="Z597" s="84"/>
    </row>
    <row r="598" spans="1:26" x14ac:dyDescent="0.25">
      <c r="A598" s="84"/>
      <c r="B598" s="84"/>
      <c r="C598" s="84"/>
      <c r="D598" s="84"/>
      <c r="E598" s="84"/>
      <c r="F598" s="84"/>
      <c r="G598" s="84"/>
      <c r="H598" s="84"/>
      <c r="I598" s="84"/>
      <c r="J598" s="84"/>
      <c r="K598" s="84"/>
      <c r="L598" s="84"/>
      <c r="M598" s="84"/>
      <c r="N598" s="84"/>
      <c r="O598" s="84"/>
      <c r="P598" s="84"/>
      <c r="Q598" s="84"/>
      <c r="R598" s="84"/>
      <c r="S598" s="84"/>
      <c r="T598" s="84"/>
      <c r="U598" s="84"/>
      <c r="V598" s="84"/>
      <c r="W598" s="84"/>
      <c r="X598" s="84"/>
      <c r="Y598" s="84"/>
      <c r="Z598" s="84"/>
    </row>
    <row r="599" spans="1:26" x14ac:dyDescent="0.25">
      <c r="A599" s="84"/>
      <c r="B599" s="84"/>
      <c r="C599" s="84"/>
      <c r="D599" s="84"/>
      <c r="E599" s="84"/>
      <c r="F599" s="84"/>
      <c r="G599" s="84"/>
      <c r="H599" s="84"/>
      <c r="I599" s="84"/>
      <c r="J599" s="84"/>
      <c r="K599" s="84"/>
      <c r="L599" s="84"/>
      <c r="M599" s="84"/>
      <c r="N599" s="84"/>
      <c r="O599" s="84"/>
      <c r="P599" s="84"/>
      <c r="Q599" s="84"/>
      <c r="R599" s="84"/>
      <c r="S599" s="84"/>
      <c r="T599" s="84"/>
      <c r="U599" s="84"/>
      <c r="V599" s="84"/>
      <c r="W599" s="84"/>
      <c r="X599" s="84"/>
      <c r="Y599" s="84"/>
      <c r="Z599" s="84"/>
    </row>
    <row r="600" spans="1:26" x14ac:dyDescent="0.25">
      <c r="A600" s="84"/>
      <c r="B600" s="84"/>
      <c r="C600" s="84"/>
      <c r="D600" s="84"/>
      <c r="E600" s="84"/>
      <c r="F600" s="84"/>
      <c r="G600" s="84"/>
      <c r="H600" s="84"/>
      <c r="I600" s="84"/>
      <c r="J600" s="84"/>
      <c r="K600" s="84"/>
      <c r="L600" s="84"/>
      <c r="M600" s="84"/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8"/>
  <sheetViews>
    <sheetView workbookViewId="0"/>
  </sheetViews>
  <sheetFormatPr defaultRowHeight="12.75" x14ac:dyDescent="0.2"/>
  <cols>
    <col min="1" max="1" width="11.42578125" style="5" customWidth="1"/>
    <col min="2" max="2" width="42.85546875" style="137" customWidth="1"/>
    <col min="3" max="3" width="5.140625" style="137" customWidth="1"/>
    <col min="4" max="26" width="5.140625" customWidth="1"/>
    <col min="27" max="27" width="5.140625" style="137" customWidth="1"/>
    <col min="28" max="28" width="5.140625" customWidth="1"/>
    <col min="29" max="31" width="5.140625" style="137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227</v>
      </c>
    </row>
    <row r="3" spans="1:28" x14ac:dyDescent="0.2">
      <c r="A3"/>
      <c r="B3"/>
      <c r="C3"/>
    </row>
    <row r="4" spans="1:28" ht="18.75" thickBot="1" x14ac:dyDescent="0.3">
      <c r="B4" s="138" t="s">
        <v>336</v>
      </c>
    </row>
    <row r="5" spans="1:28" ht="65.25" x14ac:dyDescent="0.25">
      <c r="A5" s="139"/>
      <c r="B5" s="140" t="s">
        <v>306</v>
      </c>
      <c r="C5" s="141" t="s">
        <v>4</v>
      </c>
      <c r="D5" s="142" t="s">
        <v>94</v>
      </c>
      <c r="E5" s="142" t="s">
        <v>265</v>
      </c>
      <c r="F5" s="142" t="s">
        <v>18</v>
      </c>
      <c r="G5" s="142" t="s">
        <v>85</v>
      </c>
      <c r="H5" s="142" t="s">
        <v>12</v>
      </c>
      <c r="I5" s="142" t="s">
        <v>39</v>
      </c>
      <c r="J5" s="142" t="s">
        <v>90</v>
      </c>
      <c r="K5" s="142" t="s">
        <v>30</v>
      </c>
      <c r="L5" s="142" t="s">
        <v>92</v>
      </c>
      <c r="M5" s="142" t="s">
        <v>91</v>
      </c>
      <c r="N5" s="142" t="s">
        <v>267</v>
      </c>
      <c r="O5" s="142" t="s">
        <v>165</v>
      </c>
      <c r="P5" s="142" t="s">
        <v>23</v>
      </c>
      <c r="Q5" s="142" t="s">
        <v>315</v>
      </c>
      <c r="R5" s="142" t="s">
        <v>101</v>
      </c>
      <c r="S5" s="142" t="s">
        <v>95</v>
      </c>
      <c r="T5" s="142" t="s">
        <v>41</v>
      </c>
      <c r="U5" s="142" t="s">
        <v>96</v>
      </c>
      <c r="V5" s="142" t="s">
        <v>48</v>
      </c>
      <c r="W5" s="142" t="s">
        <v>260</v>
      </c>
      <c r="X5" s="142" t="s">
        <v>44</v>
      </c>
      <c r="Y5" s="142" t="s">
        <v>7</v>
      </c>
      <c r="Z5" s="142" t="s">
        <v>20</v>
      </c>
      <c r="AA5" s="141" t="s">
        <v>118</v>
      </c>
      <c r="AB5" s="186" t="s">
        <v>218</v>
      </c>
    </row>
    <row r="6" spans="1:28" x14ac:dyDescent="0.2">
      <c r="A6" s="143" t="s">
        <v>6</v>
      </c>
      <c r="B6" s="144" t="s">
        <v>350</v>
      </c>
      <c r="C6" s="144">
        <v>4</v>
      </c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>
        <v>4</v>
      </c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144">
        <v>4</v>
      </c>
      <c r="AB6" s="187">
        <v>0</v>
      </c>
    </row>
    <row r="7" spans="1:28" x14ac:dyDescent="0.2">
      <c r="A7" s="143" t="s">
        <v>8</v>
      </c>
      <c r="B7" s="144" t="s">
        <v>351</v>
      </c>
      <c r="C7" s="144">
        <v>2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>
        <v>2</v>
      </c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144">
        <v>2</v>
      </c>
      <c r="AB7" s="187">
        <v>0</v>
      </c>
    </row>
    <row r="8" spans="1:28" x14ac:dyDescent="0.2">
      <c r="A8" s="143"/>
      <c r="B8" s="144" t="s">
        <v>352</v>
      </c>
      <c r="C8" s="144">
        <v>2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>
        <v>2</v>
      </c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144">
        <v>2</v>
      </c>
      <c r="AB8" s="187">
        <v>0</v>
      </c>
    </row>
    <row r="9" spans="1:28" x14ac:dyDescent="0.2">
      <c r="A9" s="143" t="s">
        <v>9</v>
      </c>
      <c r="B9" s="144" t="s">
        <v>364</v>
      </c>
      <c r="C9" s="144">
        <v>9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>
        <v>9</v>
      </c>
      <c r="R9" s="23"/>
      <c r="S9" s="23"/>
      <c r="T9" s="23"/>
      <c r="U9" s="23"/>
      <c r="V9" s="23"/>
      <c r="W9" s="23"/>
      <c r="X9" s="23"/>
      <c r="Y9" s="23"/>
      <c r="Z9" s="23"/>
      <c r="AA9" s="144">
        <v>9</v>
      </c>
      <c r="AB9" s="187">
        <v>0</v>
      </c>
    </row>
    <row r="10" spans="1:28" x14ac:dyDescent="0.2">
      <c r="A10" s="143" t="s">
        <v>10</v>
      </c>
      <c r="B10" s="144" t="s">
        <v>353</v>
      </c>
      <c r="C10" s="144">
        <v>2</v>
      </c>
      <c r="D10" s="23"/>
      <c r="E10" s="23"/>
      <c r="F10" s="23"/>
      <c r="G10" s="23"/>
      <c r="H10" s="23"/>
      <c r="I10" s="23"/>
      <c r="J10" s="23"/>
      <c r="K10" s="23"/>
      <c r="L10" s="23"/>
      <c r="M10" s="23">
        <v>2</v>
      </c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144">
        <v>2</v>
      </c>
      <c r="AB10" s="187">
        <v>0</v>
      </c>
    </row>
    <row r="11" spans="1:28" x14ac:dyDescent="0.2">
      <c r="A11" s="143" t="s">
        <v>11</v>
      </c>
      <c r="B11" s="144" t="s">
        <v>354</v>
      </c>
      <c r="C11" s="144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144"/>
      <c r="AB11" s="187">
        <v>0</v>
      </c>
    </row>
    <row r="12" spans="1:28" x14ac:dyDescent="0.2">
      <c r="A12" s="143" t="s">
        <v>13</v>
      </c>
      <c r="B12" s="144" t="s">
        <v>355</v>
      </c>
      <c r="C12" s="144">
        <v>6</v>
      </c>
      <c r="D12" s="23"/>
      <c r="E12" s="23"/>
      <c r="F12" s="23"/>
      <c r="G12" s="23"/>
      <c r="H12" s="23">
        <v>6</v>
      </c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144">
        <v>6</v>
      </c>
      <c r="AB12" s="187">
        <v>0</v>
      </c>
    </row>
    <row r="13" spans="1:28" x14ac:dyDescent="0.2">
      <c r="A13" s="143" t="s">
        <v>14</v>
      </c>
      <c r="B13" s="144" t="s">
        <v>15</v>
      </c>
      <c r="C13" s="144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144"/>
      <c r="AB13" s="187">
        <v>0</v>
      </c>
    </row>
    <row r="14" spans="1:28" x14ac:dyDescent="0.2">
      <c r="A14" s="143" t="s">
        <v>16</v>
      </c>
      <c r="B14" s="144" t="s">
        <v>17</v>
      </c>
      <c r="C14" s="144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144"/>
      <c r="AB14" s="187">
        <v>0</v>
      </c>
    </row>
    <row r="15" spans="1:28" x14ac:dyDescent="0.2">
      <c r="A15" s="143" t="s">
        <v>255</v>
      </c>
      <c r="B15" s="144" t="s">
        <v>256</v>
      </c>
      <c r="C15" s="144">
        <v>8</v>
      </c>
      <c r="D15" s="23"/>
      <c r="E15" s="23"/>
      <c r="F15" s="23">
        <v>8</v>
      </c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144">
        <v>8</v>
      </c>
      <c r="AB15" s="187">
        <v>0</v>
      </c>
    </row>
    <row r="16" spans="1:28" x14ac:dyDescent="0.2">
      <c r="A16" s="143" t="s">
        <v>19</v>
      </c>
      <c r="B16" s="144"/>
      <c r="C16" s="144">
        <v>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144"/>
      <c r="AB16" s="187">
        <v>0</v>
      </c>
    </row>
    <row r="17" spans="1:28" x14ac:dyDescent="0.2">
      <c r="A17" s="143" t="s">
        <v>21</v>
      </c>
      <c r="B17" s="144" t="s">
        <v>22</v>
      </c>
      <c r="C17" s="144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144"/>
      <c r="AB17" s="187">
        <v>0</v>
      </c>
    </row>
    <row r="18" spans="1:28" x14ac:dyDescent="0.2">
      <c r="A18" s="143" t="s">
        <v>24</v>
      </c>
      <c r="B18" s="144" t="s">
        <v>25</v>
      </c>
      <c r="C18" s="144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144"/>
      <c r="AB18" s="187">
        <v>0</v>
      </c>
    </row>
    <row r="19" spans="1:28" x14ac:dyDescent="0.2">
      <c r="A19" s="143" t="s">
        <v>26</v>
      </c>
      <c r="B19" s="144" t="s">
        <v>27</v>
      </c>
      <c r="C19" s="144">
        <v>12</v>
      </c>
      <c r="D19" s="23"/>
      <c r="E19" s="23"/>
      <c r="F19" s="23"/>
      <c r="G19" s="23"/>
      <c r="H19" s="23"/>
      <c r="I19" s="23"/>
      <c r="J19" s="23"/>
      <c r="K19" s="23">
        <v>12</v>
      </c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144">
        <v>12</v>
      </c>
      <c r="AB19" s="187">
        <v>0</v>
      </c>
    </row>
    <row r="20" spans="1:28" x14ac:dyDescent="0.2">
      <c r="A20" s="143" t="s">
        <v>28</v>
      </c>
      <c r="B20" s="144" t="s">
        <v>356</v>
      </c>
      <c r="C20" s="144">
        <v>4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>
        <v>4</v>
      </c>
      <c r="U20" s="23"/>
      <c r="V20" s="23"/>
      <c r="W20" s="23"/>
      <c r="X20" s="23"/>
      <c r="Y20" s="23"/>
      <c r="Z20" s="23"/>
      <c r="AA20" s="144">
        <v>4</v>
      </c>
      <c r="AB20" s="187">
        <v>0</v>
      </c>
    </row>
    <row r="21" spans="1:28" x14ac:dyDescent="0.2">
      <c r="A21" s="143" t="s">
        <v>31</v>
      </c>
      <c r="B21" s="144" t="s">
        <v>32</v>
      </c>
      <c r="C21" s="144">
        <v>12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>
        <v>12</v>
      </c>
      <c r="Z21" s="23"/>
      <c r="AA21" s="144">
        <v>12</v>
      </c>
      <c r="AB21" s="187">
        <v>0</v>
      </c>
    </row>
    <row r="22" spans="1:28" x14ac:dyDescent="0.2">
      <c r="A22" s="143" t="s">
        <v>33</v>
      </c>
      <c r="B22" s="144" t="s">
        <v>34</v>
      </c>
      <c r="C22" s="144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144"/>
      <c r="AB22" s="187">
        <v>0</v>
      </c>
    </row>
    <row r="23" spans="1:28" x14ac:dyDescent="0.2">
      <c r="A23" s="143" t="s">
        <v>35</v>
      </c>
      <c r="B23" s="144" t="s">
        <v>36</v>
      </c>
      <c r="C23" s="144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144"/>
      <c r="AB23" s="187">
        <v>0</v>
      </c>
    </row>
    <row r="24" spans="1:28" x14ac:dyDescent="0.2">
      <c r="A24" s="143" t="s">
        <v>37</v>
      </c>
      <c r="B24" s="144" t="s">
        <v>38</v>
      </c>
      <c r="C24" s="144">
        <v>21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>
        <v>21</v>
      </c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144">
        <v>21</v>
      </c>
      <c r="AB24" s="187">
        <v>0</v>
      </c>
    </row>
    <row r="25" spans="1:28" x14ac:dyDescent="0.2">
      <c r="A25" s="143" t="s">
        <v>40</v>
      </c>
      <c r="B25" s="144" t="s">
        <v>357</v>
      </c>
      <c r="C25" s="144">
        <v>6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>
        <v>6</v>
      </c>
      <c r="Z25" s="23"/>
      <c r="AA25" s="144">
        <v>6</v>
      </c>
      <c r="AB25" s="187">
        <v>0</v>
      </c>
    </row>
    <row r="26" spans="1:28" x14ac:dyDescent="0.2">
      <c r="A26" s="143" t="s">
        <v>42</v>
      </c>
      <c r="B26" s="144" t="s">
        <v>43</v>
      </c>
      <c r="C26" s="144">
        <v>4</v>
      </c>
      <c r="D26" s="23"/>
      <c r="E26" s="23"/>
      <c r="F26" s="23"/>
      <c r="G26" s="23"/>
      <c r="H26" s="23"/>
      <c r="I26" s="23"/>
      <c r="J26" s="23"/>
      <c r="K26" s="23"/>
      <c r="L26" s="23">
        <v>4</v>
      </c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144">
        <v>4</v>
      </c>
      <c r="AB26" s="187">
        <v>0</v>
      </c>
    </row>
    <row r="27" spans="1:28" x14ac:dyDescent="0.2">
      <c r="A27" s="143" t="s">
        <v>45</v>
      </c>
      <c r="B27" s="144" t="s">
        <v>254</v>
      </c>
      <c r="C27" s="144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144"/>
      <c r="AB27" s="187">
        <v>0</v>
      </c>
    </row>
    <row r="28" spans="1:28" x14ac:dyDescent="0.2">
      <c r="A28" s="143" t="s">
        <v>258</v>
      </c>
      <c r="B28" s="144" t="s">
        <v>259</v>
      </c>
      <c r="C28" s="144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144"/>
      <c r="AB28" s="187">
        <v>0</v>
      </c>
    </row>
    <row r="29" spans="1:28" x14ac:dyDescent="0.2">
      <c r="A29" s="143" t="s">
        <v>46</v>
      </c>
      <c r="B29" s="144" t="s">
        <v>47</v>
      </c>
      <c r="C29" s="144">
        <v>1</v>
      </c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>
        <v>1</v>
      </c>
      <c r="W29" s="23"/>
      <c r="X29" s="23"/>
      <c r="Y29" s="23"/>
      <c r="Z29" s="23"/>
      <c r="AA29" s="144">
        <v>1</v>
      </c>
      <c r="AB29" s="187">
        <v>0</v>
      </c>
    </row>
    <row r="30" spans="1:28" x14ac:dyDescent="0.2">
      <c r="A30" s="143" t="s">
        <v>49</v>
      </c>
      <c r="B30" s="144" t="s">
        <v>50</v>
      </c>
      <c r="C30" s="144">
        <v>12</v>
      </c>
      <c r="D30" s="23"/>
      <c r="E30" s="23"/>
      <c r="F30" s="23"/>
      <c r="G30" s="23"/>
      <c r="H30" s="23"/>
      <c r="I30" s="23"/>
      <c r="J30" s="23"/>
      <c r="K30" s="23"/>
      <c r="L30" s="23">
        <v>12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144">
        <v>12</v>
      </c>
      <c r="AB30" s="187">
        <v>0</v>
      </c>
    </row>
    <row r="31" spans="1:28" x14ac:dyDescent="0.2">
      <c r="A31" s="143" t="s">
        <v>51</v>
      </c>
      <c r="B31" s="144" t="s">
        <v>358</v>
      </c>
      <c r="C31" s="144">
        <v>1</v>
      </c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>
        <v>1</v>
      </c>
      <c r="AA31" s="144">
        <v>1</v>
      </c>
      <c r="AB31" s="187">
        <v>0</v>
      </c>
    </row>
    <row r="32" spans="1:28" x14ac:dyDescent="0.2">
      <c r="A32" s="143" t="s">
        <v>52</v>
      </c>
      <c r="B32" s="144" t="s">
        <v>53</v>
      </c>
      <c r="C32" s="144">
        <v>2</v>
      </c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>
        <v>2</v>
      </c>
      <c r="X32" s="23"/>
      <c r="Y32" s="23"/>
      <c r="Z32" s="23"/>
      <c r="AA32" s="144">
        <v>2</v>
      </c>
      <c r="AB32" s="187">
        <v>0</v>
      </c>
    </row>
    <row r="33" spans="1:28" x14ac:dyDescent="0.2">
      <c r="A33" s="143" t="s">
        <v>54</v>
      </c>
      <c r="B33" s="144" t="s">
        <v>359</v>
      </c>
      <c r="C33" s="144">
        <v>2</v>
      </c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>
        <v>2</v>
      </c>
      <c r="V33" s="23"/>
      <c r="W33" s="23"/>
      <c r="X33" s="23"/>
      <c r="Y33" s="23"/>
      <c r="Z33" s="23"/>
      <c r="AA33" s="144">
        <v>2</v>
      </c>
      <c r="AB33" s="187">
        <v>0</v>
      </c>
    </row>
    <row r="34" spans="1:28" x14ac:dyDescent="0.2">
      <c r="A34" s="143" t="s">
        <v>55</v>
      </c>
      <c r="B34" s="144" t="s">
        <v>373</v>
      </c>
      <c r="C34" s="144">
        <v>2</v>
      </c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>
        <v>2</v>
      </c>
      <c r="X34" s="23"/>
      <c r="Y34" s="23"/>
      <c r="Z34" s="23"/>
      <c r="AA34" s="144">
        <v>2</v>
      </c>
      <c r="AB34" s="187">
        <v>0</v>
      </c>
    </row>
    <row r="35" spans="1:28" x14ac:dyDescent="0.2">
      <c r="A35" s="143" t="s">
        <v>59</v>
      </c>
      <c r="B35" s="144" t="s">
        <v>360</v>
      </c>
      <c r="C35" s="144">
        <v>11</v>
      </c>
      <c r="D35" s="23"/>
      <c r="E35" s="23"/>
      <c r="F35" s="23"/>
      <c r="G35" s="23"/>
      <c r="H35" s="23"/>
      <c r="I35" s="23"/>
      <c r="J35" s="23"/>
      <c r="K35" s="23">
        <v>11</v>
      </c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144">
        <v>11</v>
      </c>
      <c r="AB35" s="187">
        <v>0</v>
      </c>
    </row>
    <row r="36" spans="1:28" x14ac:dyDescent="0.2">
      <c r="A36" s="143" t="s">
        <v>79</v>
      </c>
      <c r="B36" s="144" t="s">
        <v>215</v>
      </c>
      <c r="C36" s="144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144"/>
      <c r="AB36" s="187">
        <v>0</v>
      </c>
    </row>
    <row r="37" spans="1:28" x14ac:dyDescent="0.2">
      <c r="A37" s="143" t="s">
        <v>237</v>
      </c>
      <c r="B37" s="144" t="s">
        <v>238</v>
      </c>
      <c r="C37" s="144">
        <v>1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>
        <v>1</v>
      </c>
      <c r="T37" s="23"/>
      <c r="U37" s="23"/>
      <c r="V37" s="23"/>
      <c r="W37" s="23"/>
      <c r="X37" s="23"/>
      <c r="Y37" s="23"/>
      <c r="Z37" s="23"/>
      <c r="AA37" s="144">
        <v>1</v>
      </c>
      <c r="AB37" s="187">
        <v>0</v>
      </c>
    </row>
    <row r="38" spans="1:28" x14ac:dyDescent="0.2">
      <c r="A38" s="143" t="s">
        <v>239</v>
      </c>
      <c r="B38" s="144" t="s">
        <v>240</v>
      </c>
      <c r="C38" s="144">
        <v>1</v>
      </c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>
        <v>1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144">
        <v>1</v>
      </c>
      <c r="AB38" s="187">
        <v>0</v>
      </c>
    </row>
    <row r="39" spans="1:28" x14ac:dyDescent="0.2">
      <c r="A39" s="143"/>
      <c r="B39" s="144"/>
      <c r="C39" s="144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144"/>
      <c r="AB39" s="187"/>
    </row>
    <row r="40" spans="1:28" ht="13.5" thickBot="1" x14ac:dyDescent="0.25">
      <c r="A40" s="145"/>
      <c r="B40" s="146" t="s">
        <v>337</v>
      </c>
      <c r="C40" s="147">
        <v>125</v>
      </c>
      <c r="D40" s="108">
        <v>0</v>
      </c>
      <c r="E40" s="108">
        <v>0</v>
      </c>
      <c r="F40" s="108">
        <v>8</v>
      </c>
      <c r="G40" s="108">
        <v>0</v>
      </c>
      <c r="H40" s="108">
        <v>6</v>
      </c>
      <c r="I40" s="108">
        <v>0</v>
      </c>
      <c r="J40" s="108">
        <v>0</v>
      </c>
      <c r="K40" s="108">
        <v>23</v>
      </c>
      <c r="L40" s="108">
        <v>16</v>
      </c>
      <c r="M40" s="108">
        <v>2</v>
      </c>
      <c r="N40" s="108">
        <v>22</v>
      </c>
      <c r="O40" s="108">
        <v>8</v>
      </c>
      <c r="P40" s="108">
        <v>0</v>
      </c>
      <c r="Q40" s="108">
        <v>9</v>
      </c>
      <c r="R40" s="108">
        <v>0</v>
      </c>
      <c r="S40" s="108">
        <v>1</v>
      </c>
      <c r="T40" s="108">
        <v>4</v>
      </c>
      <c r="U40" s="108">
        <v>2</v>
      </c>
      <c r="V40" s="108">
        <v>1</v>
      </c>
      <c r="W40" s="108">
        <v>4</v>
      </c>
      <c r="X40" s="108">
        <v>0</v>
      </c>
      <c r="Y40" s="108">
        <v>18</v>
      </c>
      <c r="Z40" s="108">
        <v>1</v>
      </c>
      <c r="AA40" s="147">
        <v>125</v>
      </c>
      <c r="AB40" s="188">
        <v>0</v>
      </c>
    </row>
    <row r="44" spans="1:28" ht="18.75" thickBot="1" x14ac:dyDescent="0.3">
      <c r="B44" s="138" t="s">
        <v>338</v>
      </c>
    </row>
    <row r="45" spans="1:28" ht="65.25" x14ac:dyDescent="0.25">
      <c r="A45" s="139"/>
      <c r="B45" s="140" t="s">
        <v>306</v>
      </c>
      <c r="C45" s="141" t="s">
        <v>4</v>
      </c>
      <c r="D45" s="142" t="s">
        <v>94</v>
      </c>
      <c r="E45" s="142" t="s">
        <v>265</v>
      </c>
      <c r="F45" s="142" t="s">
        <v>18</v>
      </c>
      <c r="G45" s="142" t="s">
        <v>85</v>
      </c>
      <c r="H45" s="142" t="s">
        <v>12</v>
      </c>
      <c r="I45" s="142" t="s">
        <v>39</v>
      </c>
      <c r="J45" s="142" t="s">
        <v>90</v>
      </c>
      <c r="K45" s="142" t="s">
        <v>30</v>
      </c>
      <c r="L45" s="142" t="s">
        <v>92</v>
      </c>
      <c r="M45" s="142" t="s">
        <v>91</v>
      </c>
      <c r="N45" s="142" t="s">
        <v>267</v>
      </c>
      <c r="O45" s="142" t="s">
        <v>165</v>
      </c>
      <c r="P45" s="142" t="s">
        <v>23</v>
      </c>
      <c r="Q45" s="142" t="s">
        <v>315</v>
      </c>
      <c r="R45" s="142" t="s">
        <v>101</v>
      </c>
      <c r="S45" s="142" t="s">
        <v>95</v>
      </c>
      <c r="T45" s="142" t="s">
        <v>41</v>
      </c>
      <c r="U45" s="142" t="s">
        <v>96</v>
      </c>
      <c r="V45" s="142" t="s">
        <v>48</v>
      </c>
      <c r="W45" s="142" t="s">
        <v>260</v>
      </c>
      <c r="X45" s="142" t="s">
        <v>44</v>
      </c>
      <c r="Y45" s="142" t="s">
        <v>7</v>
      </c>
      <c r="Z45" s="142" t="s">
        <v>20</v>
      </c>
      <c r="AA45" s="141" t="s">
        <v>118</v>
      </c>
      <c r="AB45" s="186" t="s">
        <v>218</v>
      </c>
    </row>
    <row r="46" spans="1:28" x14ac:dyDescent="0.2">
      <c r="A46" s="143" t="s">
        <v>56</v>
      </c>
      <c r="B46" s="144" t="s">
        <v>105</v>
      </c>
      <c r="C46" s="144">
        <v>0</v>
      </c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144">
        <v>0</v>
      </c>
      <c r="AB46" s="187">
        <v>0</v>
      </c>
    </row>
    <row r="47" spans="1:28" x14ac:dyDescent="0.2">
      <c r="A47" s="143" t="s">
        <v>57</v>
      </c>
      <c r="B47" s="144" t="s">
        <v>186</v>
      </c>
      <c r="C47" s="144">
        <v>0</v>
      </c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144">
        <v>0</v>
      </c>
      <c r="AB47" s="187">
        <v>0</v>
      </c>
    </row>
    <row r="48" spans="1:28" x14ac:dyDescent="0.2">
      <c r="A48" s="143" t="s">
        <v>58</v>
      </c>
      <c r="B48" s="144" t="s">
        <v>179</v>
      </c>
      <c r="C48" s="144">
        <v>5</v>
      </c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>
        <v>10</v>
      </c>
      <c r="U48" s="23"/>
      <c r="V48" s="23"/>
      <c r="W48" s="23"/>
      <c r="X48" s="23"/>
      <c r="Y48" s="23"/>
      <c r="Z48" s="23"/>
      <c r="AA48" s="144">
        <v>10</v>
      </c>
      <c r="AB48" s="187">
        <v>5</v>
      </c>
    </row>
    <row r="49" spans="1:28" x14ac:dyDescent="0.2">
      <c r="A49" s="143" t="s">
        <v>61</v>
      </c>
      <c r="B49" s="144" t="s">
        <v>189</v>
      </c>
      <c r="C49" s="144">
        <v>6</v>
      </c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144">
        <v>0</v>
      </c>
      <c r="AB49" s="187">
        <v>-6</v>
      </c>
    </row>
    <row r="50" spans="1:28" x14ac:dyDescent="0.2">
      <c r="A50" s="143" t="s">
        <v>287</v>
      </c>
      <c r="B50" s="144" t="s">
        <v>288</v>
      </c>
      <c r="C50" s="144">
        <v>18</v>
      </c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144">
        <v>0</v>
      </c>
      <c r="AB50" s="187">
        <v>-18</v>
      </c>
    </row>
    <row r="51" spans="1:28" x14ac:dyDescent="0.2">
      <c r="A51" s="143" t="s">
        <v>120</v>
      </c>
      <c r="B51" s="144" t="s">
        <v>198</v>
      </c>
      <c r="C51" s="144">
        <v>3</v>
      </c>
      <c r="D51" s="23"/>
      <c r="E51" s="23"/>
      <c r="F51" s="23"/>
      <c r="G51" s="23"/>
      <c r="H51" s="23">
        <v>1</v>
      </c>
      <c r="I51" s="23"/>
      <c r="J51" s="23"/>
      <c r="K51" s="23"/>
      <c r="L51" s="23"/>
      <c r="M51" s="23"/>
      <c r="N51" s="23"/>
      <c r="O51" s="23"/>
      <c r="P51" s="23"/>
      <c r="Q51" s="23"/>
      <c r="R51" s="23">
        <v>1</v>
      </c>
      <c r="S51" s="23"/>
      <c r="T51" s="23"/>
      <c r="U51" s="23">
        <v>1</v>
      </c>
      <c r="V51" s="23"/>
      <c r="W51" s="23"/>
      <c r="X51" s="23"/>
      <c r="Y51" s="23"/>
      <c r="Z51" s="23"/>
      <c r="AA51" s="144">
        <v>3</v>
      </c>
      <c r="AB51" s="187">
        <v>0</v>
      </c>
    </row>
    <row r="52" spans="1:28" x14ac:dyDescent="0.2">
      <c r="A52" s="143" t="s">
        <v>119</v>
      </c>
      <c r="B52" s="144" t="s">
        <v>199</v>
      </c>
      <c r="C52" s="144">
        <v>1</v>
      </c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>
        <v>1</v>
      </c>
      <c r="W52" s="23"/>
      <c r="X52" s="23"/>
      <c r="Y52" s="23"/>
      <c r="Z52" s="23"/>
      <c r="AA52" s="144">
        <v>1</v>
      </c>
      <c r="AB52" s="187">
        <v>0</v>
      </c>
    </row>
    <row r="53" spans="1:28" x14ac:dyDescent="0.2">
      <c r="A53" s="143" t="s">
        <v>121</v>
      </c>
      <c r="B53" s="144" t="s">
        <v>200</v>
      </c>
      <c r="C53" s="144">
        <v>3</v>
      </c>
      <c r="D53" s="23">
        <v>3</v>
      </c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144">
        <v>3</v>
      </c>
      <c r="AB53" s="187">
        <v>0</v>
      </c>
    </row>
    <row r="54" spans="1:28" x14ac:dyDescent="0.2">
      <c r="A54" s="143" t="s">
        <v>122</v>
      </c>
      <c r="B54" s="144" t="s">
        <v>201</v>
      </c>
      <c r="C54" s="144">
        <v>1</v>
      </c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>
        <v>1</v>
      </c>
      <c r="U54" s="23"/>
      <c r="V54" s="23"/>
      <c r="W54" s="23"/>
      <c r="X54" s="23"/>
      <c r="Y54" s="23"/>
      <c r="Z54" s="23"/>
      <c r="AA54" s="144">
        <v>1</v>
      </c>
      <c r="AB54" s="187">
        <v>0</v>
      </c>
    </row>
    <row r="55" spans="1:28" x14ac:dyDescent="0.2">
      <c r="A55" s="143" t="s">
        <v>149</v>
      </c>
      <c r="B55" s="144" t="s">
        <v>270</v>
      </c>
      <c r="C55" s="144">
        <v>7</v>
      </c>
      <c r="D55" s="23"/>
      <c r="E55" s="23"/>
      <c r="F55" s="23"/>
      <c r="G55" s="23"/>
      <c r="H55" s="23"/>
      <c r="I55" s="23"/>
      <c r="J55" s="23"/>
      <c r="K55" s="23"/>
      <c r="L55" s="23"/>
      <c r="M55" s="23">
        <v>1</v>
      </c>
      <c r="N55" s="23"/>
      <c r="O55" s="23"/>
      <c r="P55" s="23"/>
      <c r="Q55" s="23"/>
      <c r="R55" s="23"/>
      <c r="S55" s="23"/>
      <c r="T55" s="23"/>
      <c r="U55" s="23">
        <v>2</v>
      </c>
      <c r="V55" s="23"/>
      <c r="W55" s="23"/>
      <c r="X55" s="23">
        <v>3</v>
      </c>
      <c r="Y55" s="23"/>
      <c r="Z55" s="23">
        <v>1</v>
      </c>
      <c r="AA55" s="144">
        <v>7</v>
      </c>
      <c r="AB55" s="187">
        <v>0</v>
      </c>
    </row>
    <row r="56" spans="1:28" x14ac:dyDescent="0.2">
      <c r="A56" s="143" t="s">
        <v>150</v>
      </c>
      <c r="B56" s="144" t="s">
        <v>278</v>
      </c>
      <c r="C56" s="144">
        <v>6</v>
      </c>
      <c r="D56" s="23"/>
      <c r="E56" s="23"/>
      <c r="F56" s="23"/>
      <c r="G56" s="23"/>
      <c r="H56" s="23"/>
      <c r="I56" s="23"/>
      <c r="J56" s="23">
        <v>2</v>
      </c>
      <c r="K56" s="23"/>
      <c r="L56" s="23"/>
      <c r="M56" s="23"/>
      <c r="N56" s="23"/>
      <c r="O56" s="23"/>
      <c r="P56" s="23"/>
      <c r="Q56" s="23"/>
      <c r="R56" s="23"/>
      <c r="S56" s="23"/>
      <c r="T56" s="23">
        <v>2</v>
      </c>
      <c r="U56" s="23"/>
      <c r="V56" s="23"/>
      <c r="W56" s="23"/>
      <c r="X56" s="23"/>
      <c r="Y56" s="23"/>
      <c r="Z56" s="23">
        <v>2</v>
      </c>
      <c r="AA56" s="144">
        <v>6</v>
      </c>
      <c r="AB56" s="187">
        <v>0</v>
      </c>
    </row>
    <row r="57" spans="1:28" x14ac:dyDescent="0.2">
      <c r="A57" s="143" t="s">
        <v>62</v>
      </c>
      <c r="B57" s="144" t="s">
        <v>104</v>
      </c>
      <c r="C57" s="144">
        <v>7</v>
      </c>
      <c r="D57" s="23"/>
      <c r="E57" s="23"/>
      <c r="F57" s="23"/>
      <c r="G57" s="23"/>
      <c r="H57" s="23"/>
      <c r="I57" s="23"/>
      <c r="J57" s="23"/>
      <c r="K57" s="23"/>
      <c r="L57" s="23"/>
      <c r="M57" s="23">
        <v>7</v>
      </c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144">
        <v>7</v>
      </c>
      <c r="AB57" s="187">
        <v>0</v>
      </c>
    </row>
    <row r="58" spans="1:28" x14ac:dyDescent="0.2">
      <c r="A58" s="143" t="s">
        <v>63</v>
      </c>
      <c r="B58" s="144" t="s">
        <v>116</v>
      </c>
      <c r="C58" s="144">
        <v>10</v>
      </c>
      <c r="D58" s="23"/>
      <c r="E58" s="23"/>
      <c r="F58" s="23"/>
      <c r="G58" s="23">
        <v>1</v>
      </c>
      <c r="H58" s="23"/>
      <c r="I58" s="23"/>
      <c r="J58" s="23"/>
      <c r="K58" s="23"/>
      <c r="L58" s="23"/>
      <c r="M58" s="23">
        <v>3</v>
      </c>
      <c r="N58" s="23">
        <v>2</v>
      </c>
      <c r="O58" s="23">
        <v>1</v>
      </c>
      <c r="P58" s="23"/>
      <c r="Q58" s="23">
        <v>1</v>
      </c>
      <c r="R58" s="23"/>
      <c r="S58" s="23">
        <v>1</v>
      </c>
      <c r="T58" s="23"/>
      <c r="U58" s="23"/>
      <c r="V58" s="23"/>
      <c r="W58" s="23"/>
      <c r="X58" s="23"/>
      <c r="Y58" s="23">
        <v>1</v>
      </c>
      <c r="Z58" s="23"/>
      <c r="AA58" s="144">
        <v>10</v>
      </c>
      <c r="AB58" s="187">
        <v>0</v>
      </c>
    </row>
    <row r="59" spans="1:28" x14ac:dyDescent="0.2">
      <c r="A59" s="143" t="s">
        <v>64</v>
      </c>
      <c r="B59" s="144" t="s">
        <v>127</v>
      </c>
      <c r="C59" s="144">
        <v>7</v>
      </c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144">
        <v>0</v>
      </c>
      <c r="AB59" s="187">
        <v>-7</v>
      </c>
    </row>
    <row r="60" spans="1:28" x14ac:dyDescent="0.2">
      <c r="A60" s="143" t="s">
        <v>65</v>
      </c>
      <c r="B60" s="144" t="s">
        <v>185</v>
      </c>
      <c r="C60" s="144">
        <v>9</v>
      </c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>
        <v>5</v>
      </c>
      <c r="W60" s="23"/>
      <c r="X60" s="23">
        <v>4</v>
      </c>
      <c r="Y60" s="23"/>
      <c r="Z60" s="23"/>
      <c r="AA60" s="144">
        <v>9</v>
      </c>
      <c r="AB60" s="187">
        <v>0</v>
      </c>
    </row>
    <row r="61" spans="1:28" x14ac:dyDescent="0.2">
      <c r="A61" s="143" t="s">
        <v>66</v>
      </c>
      <c r="B61" s="144" t="s">
        <v>187</v>
      </c>
      <c r="C61" s="144">
        <v>10</v>
      </c>
      <c r="D61" s="23"/>
      <c r="E61" s="23"/>
      <c r="F61" s="23"/>
      <c r="G61" s="23"/>
      <c r="H61" s="23"/>
      <c r="I61" s="23"/>
      <c r="J61" s="23">
        <v>2</v>
      </c>
      <c r="K61" s="23"/>
      <c r="L61" s="23"/>
      <c r="M61" s="23"/>
      <c r="N61" s="23"/>
      <c r="O61" s="23"/>
      <c r="P61" s="23"/>
      <c r="Q61" s="23">
        <v>3</v>
      </c>
      <c r="R61" s="23">
        <v>2</v>
      </c>
      <c r="S61" s="23">
        <v>1</v>
      </c>
      <c r="T61" s="23"/>
      <c r="U61" s="23">
        <v>2</v>
      </c>
      <c r="V61" s="23"/>
      <c r="W61" s="23"/>
      <c r="X61" s="23"/>
      <c r="Y61" s="23"/>
      <c r="Z61" s="23"/>
      <c r="AA61" s="144">
        <v>10</v>
      </c>
      <c r="AB61" s="187">
        <v>0</v>
      </c>
    </row>
    <row r="62" spans="1:28" x14ac:dyDescent="0.2">
      <c r="A62" s="143" t="s">
        <v>67</v>
      </c>
      <c r="B62" s="144" t="s">
        <v>188</v>
      </c>
      <c r="C62" s="144">
        <v>7</v>
      </c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144">
        <v>0</v>
      </c>
      <c r="AB62" s="187">
        <v>-7</v>
      </c>
    </row>
    <row r="63" spans="1:28" x14ac:dyDescent="0.2">
      <c r="A63" s="143" t="s">
        <v>68</v>
      </c>
      <c r="B63" s="144" t="s">
        <v>271</v>
      </c>
      <c r="C63" s="144">
        <v>22</v>
      </c>
      <c r="D63" s="23">
        <v>2</v>
      </c>
      <c r="E63" s="23"/>
      <c r="F63" s="23"/>
      <c r="G63" s="23"/>
      <c r="H63" s="23">
        <v>2</v>
      </c>
      <c r="I63" s="23"/>
      <c r="J63" s="23">
        <v>3</v>
      </c>
      <c r="K63" s="23"/>
      <c r="L63" s="23"/>
      <c r="M63" s="23">
        <v>5</v>
      </c>
      <c r="N63" s="23"/>
      <c r="O63" s="23">
        <v>1</v>
      </c>
      <c r="P63" s="23"/>
      <c r="Q63" s="23"/>
      <c r="R63" s="23">
        <v>2</v>
      </c>
      <c r="S63" s="23"/>
      <c r="T63" s="23"/>
      <c r="U63" s="23"/>
      <c r="V63" s="23">
        <v>5</v>
      </c>
      <c r="W63" s="23"/>
      <c r="X63" s="23"/>
      <c r="Y63" s="23"/>
      <c r="Z63" s="23">
        <v>2</v>
      </c>
      <c r="AA63" s="144">
        <v>22</v>
      </c>
      <c r="AB63" s="187">
        <v>0</v>
      </c>
    </row>
    <row r="64" spans="1:28" x14ac:dyDescent="0.2">
      <c r="A64" s="143" t="s">
        <v>68</v>
      </c>
      <c r="B64" s="144" t="s">
        <v>272</v>
      </c>
      <c r="C64" s="144">
        <v>14</v>
      </c>
      <c r="D64" s="23"/>
      <c r="E64" s="23"/>
      <c r="F64" s="23"/>
      <c r="G64" s="23">
        <v>1</v>
      </c>
      <c r="H64" s="23">
        <v>2</v>
      </c>
      <c r="I64" s="23">
        <v>2</v>
      </c>
      <c r="J64" s="23"/>
      <c r="K64" s="23"/>
      <c r="L64" s="23"/>
      <c r="M64" s="23">
        <v>1</v>
      </c>
      <c r="N64" s="23"/>
      <c r="O64" s="23"/>
      <c r="P64" s="23"/>
      <c r="Q64" s="23">
        <v>1</v>
      </c>
      <c r="R64" s="23">
        <v>4</v>
      </c>
      <c r="S64" s="23"/>
      <c r="T64" s="23"/>
      <c r="U64" s="23">
        <v>2</v>
      </c>
      <c r="V64" s="23"/>
      <c r="W64" s="23"/>
      <c r="X64" s="23"/>
      <c r="Y64" s="23">
        <v>1</v>
      </c>
      <c r="Z64" s="23"/>
      <c r="AA64" s="144">
        <v>14</v>
      </c>
      <c r="AB64" s="187">
        <v>0</v>
      </c>
    </row>
    <row r="65" spans="1:28" x14ac:dyDescent="0.2">
      <c r="A65" s="143" t="s">
        <v>275</v>
      </c>
      <c r="B65" s="144" t="s">
        <v>273</v>
      </c>
      <c r="C65" s="144">
        <v>22</v>
      </c>
      <c r="D65" s="23"/>
      <c r="E65" s="23"/>
      <c r="F65" s="23"/>
      <c r="G65" s="23"/>
      <c r="H65" s="23"/>
      <c r="I65" s="23">
        <v>5</v>
      </c>
      <c r="J65" s="23">
        <v>2</v>
      </c>
      <c r="K65" s="23"/>
      <c r="L65" s="23"/>
      <c r="M65" s="23"/>
      <c r="N65" s="23"/>
      <c r="O65" s="23"/>
      <c r="P65" s="23"/>
      <c r="Q65" s="23">
        <v>4</v>
      </c>
      <c r="R65" s="23">
        <v>4</v>
      </c>
      <c r="S65" s="23"/>
      <c r="T65" s="23">
        <v>2</v>
      </c>
      <c r="U65" s="23"/>
      <c r="V65" s="23">
        <v>1</v>
      </c>
      <c r="W65" s="23"/>
      <c r="X65" s="23">
        <v>4</v>
      </c>
      <c r="Y65" s="23"/>
      <c r="Z65" s="23"/>
      <c r="AA65" s="144">
        <v>22</v>
      </c>
      <c r="AB65" s="187">
        <v>0</v>
      </c>
    </row>
    <row r="66" spans="1:28" x14ac:dyDescent="0.2">
      <c r="A66" s="143" t="s">
        <v>275</v>
      </c>
      <c r="B66" s="144" t="s">
        <v>274</v>
      </c>
      <c r="C66" s="144">
        <v>14</v>
      </c>
      <c r="D66" s="23">
        <v>2</v>
      </c>
      <c r="E66" s="23"/>
      <c r="F66" s="23"/>
      <c r="G66" s="23"/>
      <c r="H66" s="23"/>
      <c r="I66" s="23"/>
      <c r="J66" s="23">
        <v>2</v>
      </c>
      <c r="K66" s="23"/>
      <c r="L66" s="23"/>
      <c r="M66" s="23"/>
      <c r="N66" s="23"/>
      <c r="O66" s="23"/>
      <c r="P66" s="23"/>
      <c r="Q66" s="23">
        <v>2</v>
      </c>
      <c r="R66" s="23">
        <v>1</v>
      </c>
      <c r="S66" s="23"/>
      <c r="T66" s="23">
        <v>3</v>
      </c>
      <c r="U66" s="23">
        <v>1</v>
      </c>
      <c r="V66" s="23">
        <v>2</v>
      </c>
      <c r="W66" s="23">
        <v>1</v>
      </c>
      <c r="X66" s="23"/>
      <c r="Y66" s="23"/>
      <c r="Z66" s="23"/>
      <c r="AA66" s="144">
        <v>14</v>
      </c>
      <c r="AB66" s="187">
        <v>0</v>
      </c>
    </row>
    <row r="67" spans="1:28" x14ac:dyDescent="0.2">
      <c r="A67" s="143" t="s">
        <v>69</v>
      </c>
      <c r="B67" s="144" t="s">
        <v>192</v>
      </c>
      <c r="C67" s="144">
        <v>7</v>
      </c>
      <c r="D67" s="23"/>
      <c r="E67" s="23"/>
      <c r="F67" s="23"/>
      <c r="G67" s="23">
        <v>1</v>
      </c>
      <c r="H67" s="23"/>
      <c r="I67" s="23"/>
      <c r="J67" s="23">
        <v>1</v>
      </c>
      <c r="K67" s="23"/>
      <c r="L67" s="23"/>
      <c r="M67" s="23">
        <v>1</v>
      </c>
      <c r="N67" s="23"/>
      <c r="O67" s="23"/>
      <c r="P67" s="23"/>
      <c r="Q67" s="23"/>
      <c r="R67" s="23">
        <v>1</v>
      </c>
      <c r="S67" s="23"/>
      <c r="T67" s="23"/>
      <c r="U67" s="23"/>
      <c r="V67" s="23">
        <v>1</v>
      </c>
      <c r="W67" s="23">
        <v>1</v>
      </c>
      <c r="X67" s="23"/>
      <c r="Y67" s="23">
        <v>1</v>
      </c>
      <c r="Z67" s="23"/>
      <c r="AA67" s="144">
        <v>7</v>
      </c>
      <c r="AB67" s="187">
        <v>0</v>
      </c>
    </row>
    <row r="68" spans="1:28" x14ac:dyDescent="0.2">
      <c r="A68" s="143" t="s">
        <v>69</v>
      </c>
      <c r="B68" s="144" t="s">
        <v>193</v>
      </c>
      <c r="C68" s="144">
        <v>6</v>
      </c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144">
        <v>0</v>
      </c>
      <c r="AB68" s="187">
        <v>-6</v>
      </c>
    </row>
    <row r="69" spans="1:28" x14ac:dyDescent="0.2">
      <c r="A69" s="143" t="s">
        <v>213</v>
      </c>
      <c r="B69" s="144" t="s">
        <v>343</v>
      </c>
      <c r="C69" s="144">
        <v>7</v>
      </c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144">
        <v>0</v>
      </c>
      <c r="AB69" s="187">
        <v>-7</v>
      </c>
    </row>
    <row r="70" spans="1:28" x14ac:dyDescent="0.2">
      <c r="A70" s="143"/>
      <c r="B70" s="144"/>
      <c r="C70" s="144">
        <v>0</v>
      </c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144">
        <v>0</v>
      </c>
      <c r="AB70" s="187">
        <v>0</v>
      </c>
    </row>
    <row r="71" spans="1:28" x14ac:dyDescent="0.2">
      <c r="A71" s="143" t="s">
        <v>138</v>
      </c>
      <c r="B71" s="144" t="s">
        <v>210</v>
      </c>
      <c r="C71" s="144">
        <v>5</v>
      </c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144">
        <v>0</v>
      </c>
      <c r="AB71" s="187">
        <v>-5</v>
      </c>
    </row>
    <row r="72" spans="1:28" x14ac:dyDescent="0.2">
      <c r="A72" s="143"/>
      <c r="B72" s="144"/>
      <c r="C72" s="144">
        <v>0</v>
      </c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144">
        <v>0</v>
      </c>
      <c r="AB72" s="187">
        <v>0</v>
      </c>
    </row>
    <row r="73" spans="1:28" x14ac:dyDescent="0.2">
      <c r="A73" s="143" t="s">
        <v>70</v>
      </c>
      <c r="B73" s="144" t="s">
        <v>197</v>
      </c>
      <c r="C73" s="144">
        <v>7</v>
      </c>
      <c r="D73" s="23">
        <v>2</v>
      </c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>
        <v>1</v>
      </c>
      <c r="T73" s="23">
        <v>2</v>
      </c>
      <c r="U73" s="23">
        <v>1</v>
      </c>
      <c r="V73" s="23">
        <v>1</v>
      </c>
      <c r="W73" s="23"/>
      <c r="X73" s="23"/>
      <c r="Y73" s="23"/>
      <c r="Z73" s="23"/>
      <c r="AA73" s="144">
        <v>7</v>
      </c>
      <c r="AB73" s="187">
        <v>0</v>
      </c>
    </row>
    <row r="74" spans="1:28" x14ac:dyDescent="0.2">
      <c r="A74" s="143" t="s">
        <v>70</v>
      </c>
      <c r="B74" s="144" t="s">
        <v>196</v>
      </c>
      <c r="C74" s="144">
        <v>6</v>
      </c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144">
        <v>0</v>
      </c>
      <c r="AB74" s="187">
        <v>-6</v>
      </c>
    </row>
    <row r="75" spans="1:28" x14ac:dyDescent="0.2">
      <c r="A75" s="143" t="s">
        <v>302</v>
      </c>
      <c r="B75" s="144" t="s">
        <v>304</v>
      </c>
      <c r="C75" s="144">
        <v>7</v>
      </c>
      <c r="D75" s="23"/>
      <c r="E75" s="23"/>
      <c r="F75" s="23"/>
      <c r="G75" s="23"/>
      <c r="H75" s="23"/>
      <c r="I75" s="23">
        <v>1</v>
      </c>
      <c r="J75" s="23"/>
      <c r="K75" s="23"/>
      <c r="L75" s="23"/>
      <c r="M75" s="23"/>
      <c r="N75" s="23"/>
      <c r="O75" s="23"/>
      <c r="P75" s="23"/>
      <c r="Q75" s="23"/>
      <c r="R75" s="23"/>
      <c r="S75" s="23">
        <v>1</v>
      </c>
      <c r="T75" s="23"/>
      <c r="U75" s="23">
        <v>1</v>
      </c>
      <c r="V75" s="23">
        <v>1</v>
      </c>
      <c r="W75" s="23"/>
      <c r="X75" s="23">
        <v>1</v>
      </c>
      <c r="Y75" s="23">
        <v>1</v>
      </c>
      <c r="Z75" s="23">
        <v>1</v>
      </c>
      <c r="AA75" s="144">
        <v>7</v>
      </c>
      <c r="AB75" s="187">
        <v>0</v>
      </c>
    </row>
    <row r="76" spans="1:28" x14ac:dyDescent="0.2">
      <c r="A76" s="143" t="s">
        <v>303</v>
      </c>
      <c r="B76" s="144" t="s">
        <v>305</v>
      </c>
      <c r="C76" s="144">
        <v>6</v>
      </c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144">
        <v>0</v>
      </c>
      <c r="AB76" s="187">
        <v>-6</v>
      </c>
    </row>
    <row r="77" spans="1:28" x14ac:dyDescent="0.2">
      <c r="A77" s="143" t="s">
        <v>124</v>
      </c>
      <c r="B77" s="144" t="s">
        <v>194</v>
      </c>
      <c r="C77" s="144">
        <v>3</v>
      </c>
      <c r="D77" s="23"/>
      <c r="E77" s="23"/>
      <c r="F77" s="23"/>
      <c r="G77" s="23"/>
      <c r="H77" s="23"/>
      <c r="I77" s="23"/>
      <c r="J77" s="23">
        <v>1</v>
      </c>
      <c r="K77" s="23"/>
      <c r="L77" s="23"/>
      <c r="M77" s="23"/>
      <c r="N77" s="23"/>
      <c r="O77" s="23"/>
      <c r="P77" s="23"/>
      <c r="Q77" s="23"/>
      <c r="R77" s="23"/>
      <c r="S77" s="23">
        <v>2</v>
      </c>
      <c r="T77" s="23"/>
      <c r="U77" s="23"/>
      <c r="V77" s="23"/>
      <c r="W77" s="23"/>
      <c r="X77" s="23"/>
      <c r="Y77" s="23"/>
      <c r="Z77" s="23"/>
      <c r="AA77" s="144">
        <v>3</v>
      </c>
      <c r="AB77" s="187">
        <v>0</v>
      </c>
    </row>
    <row r="78" spans="1:28" x14ac:dyDescent="0.2">
      <c r="A78" s="143" t="s">
        <v>125</v>
      </c>
      <c r="B78" s="144" t="s">
        <v>195</v>
      </c>
      <c r="C78" s="144">
        <v>1</v>
      </c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>
        <v>1</v>
      </c>
      <c r="R78" s="23"/>
      <c r="S78" s="23"/>
      <c r="T78" s="23"/>
      <c r="U78" s="23"/>
      <c r="V78" s="23"/>
      <c r="W78" s="23"/>
      <c r="X78" s="23"/>
      <c r="Y78" s="23"/>
      <c r="Z78" s="23"/>
      <c r="AA78" s="144">
        <v>1</v>
      </c>
      <c r="AB78" s="187">
        <v>0</v>
      </c>
    </row>
    <row r="79" spans="1:28" x14ac:dyDescent="0.2">
      <c r="A79" s="143" t="s">
        <v>289</v>
      </c>
      <c r="B79" s="144" t="s">
        <v>290</v>
      </c>
      <c r="C79" s="144">
        <v>9</v>
      </c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>
        <v>9</v>
      </c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144">
        <v>9</v>
      </c>
      <c r="AB79" s="187">
        <v>0</v>
      </c>
    </row>
    <row r="80" spans="1:28" x14ac:dyDescent="0.2">
      <c r="A80" s="143" t="s">
        <v>276</v>
      </c>
      <c r="B80" s="144" t="s">
        <v>78</v>
      </c>
      <c r="C80" s="144">
        <v>2</v>
      </c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>
        <v>2</v>
      </c>
      <c r="U80" s="23"/>
      <c r="V80" s="23"/>
      <c r="W80" s="23"/>
      <c r="X80" s="23"/>
      <c r="Y80" s="23"/>
      <c r="Z80" s="23"/>
      <c r="AA80" s="144">
        <v>2</v>
      </c>
      <c r="AB80" s="187">
        <v>0</v>
      </c>
    </row>
    <row r="81" spans="1:28" x14ac:dyDescent="0.2">
      <c r="A81" s="143" t="s">
        <v>277</v>
      </c>
      <c r="B81" s="144" t="s">
        <v>212</v>
      </c>
      <c r="C81" s="144">
        <v>6</v>
      </c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144">
        <v>0</v>
      </c>
      <c r="AB81" s="187">
        <v>-6</v>
      </c>
    </row>
    <row r="82" spans="1:28" x14ac:dyDescent="0.2">
      <c r="A82" s="143"/>
      <c r="B82" s="144"/>
      <c r="C82" s="144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144"/>
      <c r="AB82" s="187"/>
    </row>
    <row r="83" spans="1:28" x14ac:dyDescent="0.2">
      <c r="A83" s="143"/>
      <c r="B83" s="148" t="s">
        <v>339</v>
      </c>
      <c r="C83" s="144">
        <v>244</v>
      </c>
      <c r="D83" s="23">
        <v>9</v>
      </c>
      <c r="E83" s="23">
        <v>0</v>
      </c>
      <c r="F83" s="23">
        <v>0</v>
      </c>
      <c r="G83" s="23">
        <v>3</v>
      </c>
      <c r="H83" s="23">
        <v>5</v>
      </c>
      <c r="I83" s="23">
        <v>8</v>
      </c>
      <c r="J83" s="23">
        <v>13</v>
      </c>
      <c r="K83" s="23">
        <v>0</v>
      </c>
      <c r="L83" s="23">
        <v>0</v>
      </c>
      <c r="M83" s="23">
        <v>18</v>
      </c>
      <c r="N83" s="23">
        <v>2</v>
      </c>
      <c r="O83" s="23">
        <v>2</v>
      </c>
      <c r="P83" s="23">
        <v>9</v>
      </c>
      <c r="Q83" s="23">
        <v>12</v>
      </c>
      <c r="R83" s="23">
        <v>15</v>
      </c>
      <c r="S83" s="23">
        <v>6</v>
      </c>
      <c r="T83" s="23">
        <v>22</v>
      </c>
      <c r="U83" s="23">
        <v>10</v>
      </c>
      <c r="V83" s="23">
        <v>17</v>
      </c>
      <c r="W83" s="23">
        <v>2</v>
      </c>
      <c r="X83" s="23">
        <v>12</v>
      </c>
      <c r="Y83" s="23">
        <v>4</v>
      </c>
      <c r="Z83" s="23">
        <v>6</v>
      </c>
      <c r="AA83" s="144">
        <v>175</v>
      </c>
      <c r="AB83" s="187">
        <v>-69</v>
      </c>
    </row>
    <row r="84" spans="1:28" x14ac:dyDescent="0.2">
      <c r="A84" s="143"/>
      <c r="B84" s="144"/>
      <c r="C84" s="144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144"/>
      <c r="AB84" s="187"/>
    </row>
    <row r="85" spans="1:28" ht="13.5" thickBot="1" x14ac:dyDescent="0.25">
      <c r="A85" s="145"/>
      <c r="B85" s="146" t="s">
        <v>340</v>
      </c>
      <c r="C85" s="147">
        <v>369</v>
      </c>
      <c r="D85" s="108">
        <v>9</v>
      </c>
      <c r="E85" s="108">
        <v>0</v>
      </c>
      <c r="F85" s="108">
        <v>8</v>
      </c>
      <c r="G85" s="108">
        <v>3</v>
      </c>
      <c r="H85" s="108">
        <v>11</v>
      </c>
      <c r="I85" s="108">
        <v>8</v>
      </c>
      <c r="J85" s="108">
        <v>13</v>
      </c>
      <c r="K85" s="108">
        <v>23</v>
      </c>
      <c r="L85" s="108">
        <v>16</v>
      </c>
      <c r="M85" s="108">
        <v>20</v>
      </c>
      <c r="N85" s="108">
        <v>24</v>
      </c>
      <c r="O85" s="108">
        <v>10</v>
      </c>
      <c r="P85" s="108">
        <v>9</v>
      </c>
      <c r="Q85" s="108">
        <v>21</v>
      </c>
      <c r="R85" s="108">
        <v>15</v>
      </c>
      <c r="S85" s="108">
        <v>7</v>
      </c>
      <c r="T85" s="108">
        <v>26</v>
      </c>
      <c r="U85" s="108">
        <v>12</v>
      </c>
      <c r="V85" s="108">
        <v>18</v>
      </c>
      <c r="W85" s="108">
        <v>6</v>
      </c>
      <c r="X85" s="108">
        <v>12</v>
      </c>
      <c r="Y85" s="108">
        <v>22</v>
      </c>
      <c r="Z85" s="108">
        <v>7</v>
      </c>
      <c r="AA85" s="147">
        <v>300</v>
      </c>
      <c r="AB85" s="188">
        <v>-69</v>
      </c>
    </row>
    <row r="89" spans="1:28" ht="18.75" thickBot="1" x14ac:dyDescent="0.3">
      <c r="B89" s="138" t="s">
        <v>216</v>
      </c>
    </row>
    <row r="90" spans="1:28" ht="65.25" x14ac:dyDescent="0.25">
      <c r="A90" s="139"/>
      <c r="B90" s="140" t="s">
        <v>306</v>
      </c>
      <c r="C90" s="141" t="s">
        <v>4</v>
      </c>
      <c r="D90" s="142" t="s">
        <v>94</v>
      </c>
      <c r="E90" s="142" t="s">
        <v>265</v>
      </c>
      <c r="F90" s="142" t="s">
        <v>18</v>
      </c>
      <c r="G90" s="142" t="s">
        <v>85</v>
      </c>
      <c r="H90" s="142" t="s">
        <v>12</v>
      </c>
      <c r="I90" s="142" t="s">
        <v>39</v>
      </c>
      <c r="J90" s="142" t="s">
        <v>90</v>
      </c>
      <c r="K90" s="142" t="s">
        <v>30</v>
      </c>
      <c r="L90" s="142" t="s">
        <v>92</v>
      </c>
      <c r="M90" s="142" t="s">
        <v>91</v>
      </c>
      <c r="N90" s="142" t="s">
        <v>267</v>
      </c>
      <c r="O90" s="142" t="s">
        <v>165</v>
      </c>
      <c r="P90" s="142" t="s">
        <v>23</v>
      </c>
      <c r="Q90" s="142" t="s">
        <v>315</v>
      </c>
      <c r="R90" s="142" t="s">
        <v>101</v>
      </c>
      <c r="S90" s="142" t="s">
        <v>95</v>
      </c>
      <c r="T90" s="142" t="s">
        <v>41</v>
      </c>
      <c r="U90" s="142" t="s">
        <v>96</v>
      </c>
      <c r="V90" s="142" t="s">
        <v>48</v>
      </c>
      <c r="W90" s="142" t="s">
        <v>260</v>
      </c>
      <c r="X90" s="142" t="s">
        <v>44</v>
      </c>
      <c r="Y90" s="142" t="s">
        <v>7</v>
      </c>
      <c r="Z90" s="142" t="s">
        <v>20</v>
      </c>
      <c r="AA90" s="141" t="s">
        <v>118</v>
      </c>
      <c r="AB90" s="186" t="s">
        <v>218</v>
      </c>
    </row>
    <row r="91" spans="1:28" x14ac:dyDescent="0.2">
      <c r="A91" s="143" t="s">
        <v>6</v>
      </c>
      <c r="B91" s="144" t="s">
        <v>350</v>
      </c>
      <c r="C91" s="144">
        <v>4</v>
      </c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>
        <v>4</v>
      </c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144">
        <v>4</v>
      </c>
      <c r="AB91" s="187">
        <v>0</v>
      </c>
    </row>
    <row r="92" spans="1:28" x14ac:dyDescent="0.2">
      <c r="A92" s="143" t="s">
        <v>8</v>
      </c>
      <c r="B92" s="144" t="s">
        <v>351</v>
      </c>
      <c r="C92" s="144">
        <v>2</v>
      </c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>
        <v>2</v>
      </c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144">
        <v>2</v>
      </c>
      <c r="AB92" s="187">
        <v>0</v>
      </c>
    </row>
    <row r="93" spans="1:28" x14ac:dyDescent="0.2">
      <c r="A93" s="143"/>
      <c r="B93" s="144" t="s">
        <v>352</v>
      </c>
      <c r="C93" s="144">
        <v>2</v>
      </c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>
        <v>2</v>
      </c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144">
        <v>2</v>
      </c>
      <c r="AB93" s="187">
        <v>0</v>
      </c>
    </row>
    <row r="94" spans="1:28" x14ac:dyDescent="0.2">
      <c r="A94" s="143" t="s">
        <v>9</v>
      </c>
      <c r="B94" s="144" t="s">
        <v>364</v>
      </c>
      <c r="C94" s="144">
        <v>9</v>
      </c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>
        <v>9</v>
      </c>
      <c r="R94" s="23"/>
      <c r="S94" s="23"/>
      <c r="T94" s="23"/>
      <c r="U94" s="23"/>
      <c r="V94" s="23"/>
      <c r="W94" s="23"/>
      <c r="X94" s="23"/>
      <c r="Y94" s="23"/>
      <c r="Z94" s="23"/>
      <c r="AA94" s="144">
        <v>9</v>
      </c>
      <c r="AB94" s="187">
        <v>0</v>
      </c>
    </row>
    <row r="95" spans="1:28" x14ac:dyDescent="0.2">
      <c r="A95" s="143" t="s">
        <v>10</v>
      </c>
      <c r="B95" s="144" t="s">
        <v>353</v>
      </c>
      <c r="C95" s="144">
        <v>2</v>
      </c>
      <c r="D95" s="23"/>
      <c r="E95" s="23"/>
      <c r="F95" s="23"/>
      <c r="G95" s="23"/>
      <c r="H95" s="23"/>
      <c r="I95" s="23"/>
      <c r="J95" s="23"/>
      <c r="K95" s="23"/>
      <c r="L95" s="23"/>
      <c r="M95" s="23">
        <v>2</v>
      </c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144">
        <v>2</v>
      </c>
      <c r="AB95" s="187">
        <v>0</v>
      </c>
    </row>
    <row r="96" spans="1:28" x14ac:dyDescent="0.2">
      <c r="A96" s="143" t="s">
        <v>11</v>
      </c>
      <c r="B96" s="144"/>
      <c r="C96" s="144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144"/>
      <c r="AB96" s="187">
        <v>0</v>
      </c>
    </row>
    <row r="97" spans="1:28" x14ac:dyDescent="0.2">
      <c r="A97" s="143" t="s">
        <v>13</v>
      </c>
      <c r="B97" s="144" t="s">
        <v>355</v>
      </c>
      <c r="C97" s="144">
        <v>6</v>
      </c>
      <c r="D97" s="23"/>
      <c r="E97" s="23"/>
      <c r="F97" s="23"/>
      <c r="G97" s="23"/>
      <c r="H97" s="23">
        <v>6</v>
      </c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144">
        <v>6</v>
      </c>
      <c r="AB97" s="187">
        <v>0</v>
      </c>
    </row>
    <row r="98" spans="1:28" x14ac:dyDescent="0.2">
      <c r="A98" s="143" t="s">
        <v>14</v>
      </c>
      <c r="B98" s="144"/>
      <c r="C98" s="144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144"/>
      <c r="AB98" s="187">
        <v>0</v>
      </c>
    </row>
    <row r="99" spans="1:28" x14ac:dyDescent="0.2">
      <c r="A99" s="143" t="s">
        <v>16</v>
      </c>
      <c r="B99" s="144"/>
      <c r="C99" s="144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144"/>
      <c r="AB99" s="187">
        <v>0</v>
      </c>
    </row>
    <row r="100" spans="1:28" x14ac:dyDescent="0.2">
      <c r="A100" s="143" t="s">
        <v>255</v>
      </c>
      <c r="B100" s="144" t="s">
        <v>256</v>
      </c>
      <c r="C100" s="144">
        <v>8</v>
      </c>
      <c r="D100" s="23"/>
      <c r="E100" s="23"/>
      <c r="F100" s="23">
        <v>8</v>
      </c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144">
        <v>8</v>
      </c>
      <c r="AB100" s="187">
        <v>0</v>
      </c>
    </row>
    <row r="101" spans="1:28" x14ac:dyDescent="0.2">
      <c r="A101" s="143" t="s">
        <v>19</v>
      </c>
      <c r="B101" s="144"/>
      <c r="C101" s="144">
        <v>0</v>
      </c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144"/>
      <c r="AB101" s="187">
        <v>0</v>
      </c>
    </row>
    <row r="102" spans="1:28" x14ac:dyDescent="0.2">
      <c r="A102" s="143" t="s">
        <v>24</v>
      </c>
      <c r="B102" s="144"/>
      <c r="C102" s="144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144"/>
      <c r="AB102" s="187">
        <v>0</v>
      </c>
    </row>
    <row r="103" spans="1:28" x14ac:dyDescent="0.2">
      <c r="A103" s="143" t="s">
        <v>26</v>
      </c>
      <c r="B103" s="144" t="s">
        <v>27</v>
      </c>
      <c r="C103" s="144">
        <v>12</v>
      </c>
      <c r="D103" s="23"/>
      <c r="E103" s="23"/>
      <c r="F103" s="23"/>
      <c r="G103" s="23"/>
      <c r="H103" s="23"/>
      <c r="I103" s="23"/>
      <c r="J103" s="23"/>
      <c r="K103" s="23">
        <v>12</v>
      </c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144">
        <v>12</v>
      </c>
      <c r="AB103" s="187">
        <v>0</v>
      </c>
    </row>
    <row r="104" spans="1:28" x14ac:dyDescent="0.2">
      <c r="A104" s="143" t="s">
        <v>28</v>
      </c>
      <c r="B104" s="144" t="s">
        <v>29</v>
      </c>
      <c r="C104" s="144">
        <v>4</v>
      </c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>
        <v>4</v>
      </c>
      <c r="U104" s="23"/>
      <c r="V104" s="23"/>
      <c r="W104" s="23"/>
      <c r="X104" s="23"/>
      <c r="Y104" s="23"/>
      <c r="Z104" s="23"/>
      <c r="AA104" s="144">
        <v>4</v>
      </c>
      <c r="AB104" s="187">
        <v>0</v>
      </c>
    </row>
    <row r="105" spans="1:28" x14ac:dyDescent="0.2">
      <c r="A105" s="143" t="s">
        <v>31</v>
      </c>
      <c r="B105" s="144" t="s">
        <v>32</v>
      </c>
      <c r="C105" s="144">
        <v>12</v>
      </c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>
        <v>12</v>
      </c>
      <c r="U105" s="23"/>
      <c r="V105" s="23"/>
      <c r="W105" s="23"/>
      <c r="X105" s="23"/>
      <c r="Y105" s="23"/>
      <c r="Z105" s="23"/>
      <c r="AA105" s="144">
        <v>12</v>
      </c>
      <c r="AB105" s="187">
        <v>0</v>
      </c>
    </row>
    <row r="106" spans="1:28" x14ac:dyDescent="0.2">
      <c r="A106" s="143" t="s">
        <v>33</v>
      </c>
      <c r="B106" s="144" t="s">
        <v>145</v>
      </c>
      <c r="C106" s="144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144"/>
      <c r="AB106" s="187">
        <v>0</v>
      </c>
    </row>
    <row r="107" spans="1:28" x14ac:dyDescent="0.2">
      <c r="A107" s="143" t="s">
        <v>35</v>
      </c>
      <c r="B107" s="144" t="s">
        <v>146</v>
      </c>
      <c r="C107" s="144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144"/>
      <c r="AB107" s="187">
        <v>0</v>
      </c>
    </row>
    <row r="108" spans="1:28" x14ac:dyDescent="0.2">
      <c r="A108" s="143" t="s">
        <v>37</v>
      </c>
      <c r="B108" s="144" t="s">
        <v>73</v>
      </c>
      <c r="C108" s="144">
        <v>3</v>
      </c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>
        <v>3</v>
      </c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144">
        <v>3</v>
      </c>
      <c r="AB108" s="187">
        <v>0</v>
      </c>
    </row>
    <row r="109" spans="1:28" x14ac:dyDescent="0.2">
      <c r="A109" s="143" t="s">
        <v>40</v>
      </c>
      <c r="B109" s="144" t="s">
        <v>357</v>
      </c>
      <c r="C109" s="144">
        <v>6</v>
      </c>
      <c r="D109" s="23"/>
      <c r="E109" s="23"/>
      <c r="F109" s="23"/>
      <c r="G109" s="23"/>
      <c r="H109" s="23"/>
      <c r="I109" s="23"/>
      <c r="J109" s="23"/>
      <c r="K109" s="23">
        <v>6</v>
      </c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144">
        <v>6</v>
      </c>
      <c r="AB109" s="187">
        <v>0</v>
      </c>
    </row>
    <row r="110" spans="1:28" x14ac:dyDescent="0.2">
      <c r="A110" s="143" t="s">
        <v>42</v>
      </c>
      <c r="B110" s="144" t="s">
        <v>43</v>
      </c>
      <c r="C110" s="144">
        <v>4</v>
      </c>
      <c r="D110" s="23"/>
      <c r="E110" s="23"/>
      <c r="F110" s="23"/>
      <c r="G110" s="23"/>
      <c r="H110" s="23"/>
      <c r="I110" s="23"/>
      <c r="J110" s="23"/>
      <c r="K110" s="23"/>
      <c r="L110" s="23">
        <v>4</v>
      </c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144">
        <v>4</v>
      </c>
      <c r="AB110" s="187">
        <v>0</v>
      </c>
    </row>
    <row r="111" spans="1:28" x14ac:dyDescent="0.2">
      <c r="A111" s="143" t="s">
        <v>45</v>
      </c>
      <c r="B111" s="144"/>
      <c r="C111" s="144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144"/>
      <c r="AB111" s="187">
        <v>0</v>
      </c>
    </row>
    <row r="112" spans="1:28" x14ac:dyDescent="0.2">
      <c r="A112" s="143" t="s">
        <v>258</v>
      </c>
      <c r="B112" s="144"/>
      <c r="C112" s="144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144"/>
      <c r="AB112" s="187">
        <v>0</v>
      </c>
    </row>
    <row r="113" spans="1:28" x14ac:dyDescent="0.2">
      <c r="A113" s="143" t="s">
        <v>46</v>
      </c>
      <c r="B113" s="144" t="s">
        <v>47</v>
      </c>
      <c r="C113" s="144">
        <v>1</v>
      </c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>
        <v>1</v>
      </c>
      <c r="W113" s="23"/>
      <c r="X113" s="23"/>
      <c r="Y113" s="23"/>
      <c r="Z113" s="23"/>
      <c r="AA113" s="144">
        <v>1</v>
      </c>
      <c r="AB113" s="187">
        <v>0</v>
      </c>
    </row>
    <row r="114" spans="1:28" x14ac:dyDescent="0.2">
      <c r="A114" s="143" t="s">
        <v>49</v>
      </c>
      <c r="B114" s="144" t="s">
        <v>74</v>
      </c>
      <c r="C114" s="144">
        <v>12</v>
      </c>
      <c r="D114" s="23"/>
      <c r="E114" s="23"/>
      <c r="F114" s="23"/>
      <c r="G114" s="23"/>
      <c r="H114" s="23"/>
      <c r="I114" s="23"/>
      <c r="J114" s="23"/>
      <c r="K114" s="23"/>
      <c r="L114" s="23">
        <v>12</v>
      </c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144">
        <v>12</v>
      </c>
      <c r="AB114" s="187">
        <v>0</v>
      </c>
    </row>
    <row r="115" spans="1:28" x14ac:dyDescent="0.2">
      <c r="A115" s="143" t="s">
        <v>51</v>
      </c>
      <c r="B115" s="144" t="s">
        <v>358</v>
      </c>
      <c r="C115" s="144">
        <v>1</v>
      </c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>
        <v>1</v>
      </c>
      <c r="AA115" s="144">
        <v>1</v>
      </c>
      <c r="AB115" s="187">
        <v>0</v>
      </c>
    </row>
    <row r="116" spans="1:28" x14ac:dyDescent="0.2">
      <c r="A116" s="143" t="s">
        <v>52</v>
      </c>
      <c r="B116" s="144" t="s">
        <v>53</v>
      </c>
      <c r="C116" s="144">
        <v>2</v>
      </c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>
        <v>2</v>
      </c>
      <c r="X116" s="23"/>
      <c r="Y116" s="23"/>
      <c r="Z116" s="23"/>
      <c r="AA116" s="144">
        <v>2</v>
      </c>
      <c r="AB116" s="187">
        <v>0</v>
      </c>
    </row>
    <row r="117" spans="1:28" x14ac:dyDescent="0.2">
      <c r="A117" s="143" t="s">
        <v>54</v>
      </c>
      <c r="B117" s="144" t="s">
        <v>359</v>
      </c>
      <c r="C117" s="144">
        <v>2</v>
      </c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>
        <v>2</v>
      </c>
      <c r="V117" s="23"/>
      <c r="W117" s="23"/>
      <c r="X117" s="23"/>
      <c r="Y117" s="23"/>
      <c r="Z117" s="23"/>
      <c r="AA117" s="144">
        <v>2</v>
      </c>
      <c r="AB117" s="187">
        <v>0</v>
      </c>
    </row>
    <row r="118" spans="1:28" x14ac:dyDescent="0.2">
      <c r="A118" s="143" t="s">
        <v>55</v>
      </c>
      <c r="B118" s="144"/>
      <c r="C118" s="144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144"/>
      <c r="AB118" s="187">
        <v>0</v>
      </c>
    </row>
    <row r="119" spans="1:28" x14ac:dyDescent="0.2">
      <c r="A119" s="143" t="s">
        <v>59</v>
      </c>
      <c r="B119" s="144" t="s">
        <v>360</v>
      </c>
      <c r="C119" s="144">
        <v>11</v>
      </c>
      <c r="D119" s="23"/>
      <c r="E119" s="23"/>
      <c r="F119" s="23"/>
      <c r="G119" s="23"/>
      <c r="H119" s="23"/>
      <c r="I119" s="23"/>
      <c r="J119" s="23"/>
      <c r="K119" s="23">
        <v>11</v>
      </c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144">
        <v>11</v>
      </c>
      <c r="AB119" s="187">
        <v>0</v>
      </c>
    </row>
    <row r="120" spans="1:28" x14ac:dyDescent="0.2">
      <c r="A120" s="143" t="s">
        <v>79</v>
      </c>
      <c r="B120" s="144"/>
      <c r="C120" s="144">
        <v>5</v>
      </c>
      <c r="D120" s="23"/>
      <c r="E120" s="23"/>
      <c r="F120" s="23"/>
      <c r="G120" s="23"/>
      <c r="H120" s="23"/>
      <c r="I120" s="23">
        <v>5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144">
        <v>5</v>
      </c>
      <c r="AB120" s="187">
        <v>0</v>
      </c>
    </row>
    <row r="121" spans="1:28" x14ac:dyDescent="0.2">
      <c r="A121" s="143" t="s">
        <v>237</v>
      </c>
      <c r="B121" s="144" t="s">
        <v>238</v>
      </c>
      <c r="C121" s="144">
        <v>1</v>
      </c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>
        <v>1</v>
      </c>
      <c r="T121" s="23"/>
      <c r="U121" s="23"/>
      <c r="V121" s="23"/>
      <c r="W121" s="23"/>
      <c r="X121" s="23"/>
      <c r="Y121" s="23"/>
      <c r="Z121" s="23"/>
      <c r="AA121" s="144">
        <v>1</v>
      </c>
      <c r="AB121" s="187">
        <v>0</v>
      </c>
    </row>
    <row r="122" spans="1:28" x14ac:dyDescent="0.2">
      <c r="A122" s="143" t="s">
        <v>239</v>
      </c>
      <c r="B122" s="144" t="s">
        <v>240</v>
      </c>
      <c r="C122" s="144">
        <v>1</v>
      </c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>
        <v>1</v>
      </c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144">
        <v>1</v>
      </c>
      <c r="AB122" s="187">
        <v>0</v>
      </c>
    </row>
    <row r="123" spans="1:28" x14ac:dyDescent="0.2">
      <c r="A123" s="143"/>
      <c r="B123" s="144"/>
      <c r="C123" s="144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144"/>
      <c r="AB123" s="187"/>
    </row>
    <row r="124" spans="1:28" ht="13.5" thickBot="1" x14ac:dyDescent="0.25">
      <c r="A124" s="145"/>
      <c r="B124" s="146" t="s">
        <v>219</v>
      </c>
      <c r="C124" s="147">
        <v>110</v>
      </c>
      <c r="D124" s="108">
        <v>0</v>
      </c>
      <c r="E124" s="108">
        <v>0</v>
      </c>
      <c r="F124" s="108">
        <v>8</v>
      </c>
      <c r="G124" s="108">
        <v>0</v>
      </c>
      <c r="H124" s="108">
        <v>6</v>
      </c>
      <c r="I124" s="108">
        <v>5</v>
      </c>
      <c r="J124" s="108">
        <v>0</v>
      </c>
      <c r="K124" s="108">
        <v>29</v>
      </c>
      <c r="L124" s="108">
        <v>16</v>
      </c>
      <c r="M124" s="108">
        <v>2</v>
      </c>
      <c r="N124" s="108">
        <v>4</v>
      </c>
      <c r="O124" s="108">
        <v>8</v>
      </c>
      <c r="P124" s="108">
        <v>0</v>
      </c>
      <c r="Q124" s="108">
        <v>9</v>
      </c>
      <c r="R124" s="108">
        <v>0</v>
      </c>
      <c r="S124" s="108">
        <v>1</v>
      </c>
      <c r="T124" s="108">
        <v>16</v>
      </c>
      <c r="U124" s="108">
        <v>2</v>
      </c>
      <c r="V124" s="108">
        <v>1</v>
      </c>
      <c r="W124" s="108">
        <v>2</v>
      </c>
      <c r="X124" s="108">
        <v>0</v>
      </c>
      <c r="Y124" s="108">
        <v>0</v>
      </c>
      <c r="Z124" s="108">
        <v>1</v>
      </c>
      <c r="AA124" s="147">
        <v>110</v>
      </c>
      <c r="AB124" s="188">
        <v>0</v>
      </c>
    </row>
    <row r="128" spans="1:28" ht="18.75" thickBot="1" x14ac:dyDescent="0.3">
      <c r="B128" s="138" t="s">
        <v>217</v>
      </c>
    </row>
    <row r="129" spans="1:28" ht="65.25" x14ac:dyDescent="0.25">
      <c r="A129" s="139"/>
      <c r="B129" s="140" t="s">
        <v>306</v>
      </c>
      <c r="C129" s="141" t="s">
        <v>4</v>
      </c>
      <c r="D129" s="142" t="s">
        <v>94</v>
      </c>
      <c r="E129" s="142" t="s">
        <v>265</v>
      </c>
      <c r="F129" s="142" t="s">
        <v>18</v>
      </c>
      <c r="G129" s="142" t="s">
        <v>85</v>
      </c>
      <c r="H129" s="142" t="s">
        <v>12</v>
      </c>
      <c r="I129" s="142" t="s">
        <v>39</v>
      </c>
      <c r="J129" s="142" t="s">
        <v>90</v>
      </c>
      <c r="K129" s="142" t="s">
        <v>30</v>
      </c>
      <c r="L129" s="142" t="s">
        <v>92</v>
      </c>
      <c r="M129" s="142" t="s">
        <v>91</v>
      </c>
      <c r="N129" s="142" t="s">
        <v>267</v>
      </c>
      <c r="O129" s="142" t="s">
        <v>165</v>
      </c>
      <c r="P129" s="142" t="s">
        <v>23</v>
      </c>
      <c r="Q129" s="142" t="s">
        <v>315</v>
      </c>
      <c r="R129" s="142" t="s">
        <v>101</v>
      </c>
      <c r="S129" s="142" t="s">
        <v>95</v>
      </c>
      <c r="T129" s="142" t="s">
        <v>41</v>
      </c>
      <c r="U129" s="142" t="s">
        <v>96</v>
      </c>
      <c r="V129" s="142" t="s">
        <v>48</v>
      </c>
      <c r="W129" s="142" t="s">
        <v>260</v>
      </c>
      <c r="X129" s="142" t="s">
        <v>44</v>
      </c>
      <c r="Y129" s="142" t="s">
        <v>7</v>
      </c>
      <c r="Z129" s="142" t="s">
        <v>20</v>
      </c>
      <c r="AA129" s="141" t="s">
        <v>118</v>
      </c>
      <c r="AB129" s="186" t="s">
        <v>218</v>
      </c>
    </row>
    <row r="130" spans="1:28" x14ac:dyDescent="0.2">
      <c r="A130" s="143" t="s">
        <v>58</v>
      </c>
      <c r="B130" s="144" t="s">
        <v>179</v>
      </c>
      <c r="C130" s="144">
        <v>5</v>
      </c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>
        <v>10</v>
      </c>
      <c r="U130" s="23"/>
      <c r="V130" s="23"/>
      <c r="W130" s="23"/>
      <c r="X130" s="23"/>
      <c r="Y130" s="23"/>
      <c r="Z130" s="23"/>
      <c r="AA130" s="144">
        <v>10</v>
      </c>
      <c r="AB130" s="187">
        <v>5</v>
      </c>
    </row>
    <row r="131" spans="1:28" x14ac:dyDescent="0.2">
      <c r="A131" s="143" t="s">
        <v>61</v>
      </c>
      <c r="B131" s="144" t="s">
        <v>189</v>
      </c>
      <c r="C131" s="144">
        <v>6</v>
      </c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144">
        <v>0</v>
      </c>
      <c r="AB131" s="187">
        <v>-6</v>
      </c>
    </row>
    <row r="132" spans="1:28" x14ac:dyDescent="0.2">
      <c r="A132" s="143" t="s">
        <v>287</v>
      </c>
      <c r="B132" s="144" t="s">
        <v>288</v>
      </c>
      <c r="C132" s="144">
        <v>18</v>
      </c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144">
        <v>0</v>
      </c>
      <c r="AB132" s="187">
        <v>-18</v>
      </c>
    </row>
    <row r="133" spans="1:28" x14ac:dyDescent="0.2">
      <c r="A133" s="143" t="s">
        <v>120</v>
      </c>
      <c r="B133" s="144" t="s">
        <v>198</v>
      </c>
      <c r="C133" s="144">
        <v>3</v>
      </c>
      <c r="D133" s="23"/>
      <c r="E133" s="23"/>
      <c r="F133" s="23"/>
      <c r="G133" s="23"/>
      <c r="H133" s="23"/>
      <c r="I133" s="23"/>
      <c r="J133" s="23">
        <v>1</v>
      </c>
      <c r="K133" s="23"/>
      <c r="L133" s="23"/>
      <c r="M133" s="23"/>
      <c r="N133" s="23"/>
      <c r="O133" s="23"/>
      <c r="P133" s="23"/>
      <c r="Q133" s="23">
        <v>1</v>
      </c>
      <c r="R133" s="23"/>
      <c r="S133" s="23"/>
      <c r="T133" s="23"/>
      <c r="U133" s="23"/>
      <c r="V133" s="23">
        <v>1</v>
      </c>
      <c r="W133" s="23"/>
      <c r="X133" s="23"/>
      <c r="Y133" s="23"/>
      <c r="Z133" s="23"/>
      <c r="AA133" s="144">
        <v>3</v>
      </c>
      <c r="AB133" s="187">
        <v>0</v>
      </c>
    </row>
    <row r="134" spans="1:28" x14ac:dyDescent="0.2">
      <c r="A134" s="143" t="s">
        <v>119</v>
      </c>
      <c r="B134" s="144" t="s">
        <v>199</v>
      </c>
      <c r="C134" s="144">
        <v>1</v>
      </c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>
        <v>1</v>
      </c>
      <c r="U134" s="23"/>
      <c r="V134" s="23"/>
      <c r="W134" s="23"/>
      <c r="X134" s="23"/>
      <c r="Y134" s="23"/>
      <c r="Z134" s="23"/>
      <c r="AA134" s="144">
        <v>1</v>
      </c>
      <c r="AB134" s="187">
        <v>0</v>
      </c>
    </row>
    <row r="135" spans="1:28" x14ac:dyDescent="0.2">
      <c r="A135" s="143" t="s">
        <v>121</v>
      </c>
      <c r="B135" s="144" t="s">
        <v>200</v>
      </c>
      <c r="C135" s="144">
        <v>3</v>
      </c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>
        <v>1</v>
      </c>
      <c r="U135" s="23">
        <v>1</v>
      </c>
      <c r="V135" s="23">
        <v>1</v>
      </c>
      <c r="W135" s="23"/>
      <c r="X135" s="23"/>
      <c r="Y135" s="23"/>
      <c r="Z135" s="23"/>
      <c r="AA135" s="144">
        <v>3</v>
      </c>
      <c r="AB135" s="187">
        <v>0</v>
      </c>
    </row>
    <row r="136" spans="1:28" x14ac:dyDescent="0.2">
      <c r="A136" s="143" t="s">
        <v>122</v>
      </c>
      <c r="B136" s="144" t="s">
        <v>201</v>
      </c>
      <c r="C136" s="144">
        <v>1</v>
      </c>
      <c r="D136" s="23">
        <v>1</v>
      </c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144">
        <v>1</v>
      </c>
      <c r="AB136" s="187">
        <v>0</v>
      </c>
    </row>
    <row r="137" spans="1:28" x14ac:dyDescent="0.2">
      <c r="A137" s="143" t="s">
        <v>149</v>
      </c>
      <c r="B137" s="144" t="s">
        <v>202</v>
      </c>
      <c r="C137" s="144">
        <v>7</v>
      </c>
      <c r="D137" s="23"/>
      <c r="E137" s="23"/>
      <c r="F137" s="23"/>
      <c r="G137" s="23">
        <v>1</v>
      </c>
      <c r="H137" s="23">
        <v>1</v>
      </c>
      <c r="I137" s="23">
        <v>1</v>
      </c>
      <c r="J137" s="23">
        <v>2</v>
      </c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>
        <v>2</v>
      </c>
      <c r="W137" s="23"/>
      <c r="X137" s="23"/>
      <c r="Y137" s="23"/>
      <c r="Z137" s="23"/>
      <c r="AA137" s="144">
        <v>7</v>
      </c>
      <c r="AB137" s="187">
        <v>0</v>
      </c>
    </row>
    <row r="138" spans="1:28" x14ac:dyDescent="0.2">
      <c r="A138" s="143" t="s">
        <v>150</v>
      </c>
      <c r="B138" s="144" t="s">
        <v>203</v>
      </c>
      <c r="C138" s="144">
        <v>6</v>
      </c>
      <c r="D138" s="23">
        <v>1</v>
      </c>
      <c r="E138" s="23"/>
      <c r="F138" s="23"/>
      <c r="G138" s="23"/>
      <c r="H138" s="23"/>
      <c r="I138" s="23"/>
      <c r="J138" s="23">
        <v>1</v>
      </c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>
        <v>2</v>
      </c>
      <c r="W138" s="23"/>
      <c r="X138" s="23"/>
      <c r="Y138" s="23"/>
      <c r="Z138" s="23">
        <v>2</v>
      </c>
      <c r="AA138" s="144">
        <v>6</v>
      </c>
      <c r="AB138" s="187">
        <v>0</v>
      </c>
    </row>
    <row r="139" spans="1:28" x14ac:dyDescent="0.2">
      <c r="A139" s="143" t="s">
        <v>62</v>
      </c>
      <c r="B139" s="144" t="s">
        <v>104</v>
      </c>
      <c r="C139" s="144">
        <v>7</v>
      </c>
      <c r="D139" s="23"/>
      <c r="E139" s="23"/>
      <c r="F139" s="23"/>
      <c r="G139" s="23"/>
      <c r="H139" s="23"/>
      <c r="I139" s="23"/>
      <c r="J139" s="23"/>
      <c r="K139" s="23"/>
      <c r="L139" s="23"/>
      <c r="M139" s="23">
        <v>7</v>
      </c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144">
        <v>7</v>
      </c>
      <c r="AB139" s="187">
        <v>0</v>
      </c>
    </row>
    <row r="140" spans="1:28" x14ac:dyDescent="0.2">
      <c r="A140" s="143" t="s">
        <v>63</v>
      </c>
      <c r="B140" s="144" t="s">
        <v>116</v>
      </c>
      <c r="C140" s="144">
        <v>10</v>
      </c>
      <c r="D140" s="23"/>
      <c r="E140" s="23"/>
      <c r="F140" s="23"/>
      <c r="G140" s="23"/>
      <c r="H140" s="23"/>
      <c r="I140" s="23"/>
      <c r="J140" s="23"/>
      <c r="K140" s="23"/>
      <c r="L140" s="23"/>
      <c r="M140" s="23">
        <v>9</v>
      </c>
      <c r="N140" s="23"/>
      <c r="O140" s="23"/>
      <c r="P140" s="23"/>
      <c r="Q140" s="23"/>
      <c r="R140" s="23"/>
      <c r="S140" s="23">
        <v>1</v>
      </c>
      <c r="T140" s="23"/>
      <c r="U140" s="23"/>
      <c r="V140" s="23"/>
      <c r="W140" s="23"/>
      <c r="X140" s="23"/>
      <c r="Y140" s="23"/>
      <c r="Z140" s="23"/>
      <c r="AA140" s="144">
        <v>10</v>
      </c>
      <c r="AB140" s="187">
        <v>0</v>
      </c>
    </row>
    <row r="141" spans="1:28" x14ac:dyDescent="0.2">
      <c r="A141" s="143" t="s">
        <v>64</v>
      </c>
      <c r="B141" s="144" t="s">
        <v>127</v>
      </c>
      <c r="C141" s="144">
        <v>7</v>
      </c>
      <c r="D141" s="23"/>
      <c r="E141" s="23"/>
      <c r="F141" s="23"/>
      <c r="G141" s="23">
        <v>1</v>
      </c>
      <c r="H141" s="23">
        <v>1</v>
      </c>
      <c r="I141" s="23"/>
      <c r="J141" s="23">
        <v>1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>
        <v>2</v>
      </c>
      <c r="U141" s="23"/>
      <c r="V141" s="23"/>
      <c r="W141" s="23"/>
      <c r="X141" s="23">
        <v>1</v>
      </c>
      <c r="Y141" s="23">
        <v>1</v>
      </c>
      <c r="Z141" s="23"/>
      <c r="AA141" s="144">
        <v>7</v>
      </c>
      <c r="AB141" s="187">
        <v>0</v>
      </c>
    </row>
    <row r="142" spans="1:28" x14ac:dyDescent="0.2">
      <c r="A142" s="143" t="s">
        <v>117</v>
      </c>
      <c r="B142" s="144" t="s">
        <v>190</v>
      </c>
      <c r="C142" s="144">
        <v>4</v>
      </c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144">
        <v>0</v>
      </c>
      <c r="AB142" s="187">
        <v>-4</v>
      </c>
    </row>
    <row r="143" spans="1:28" x14ac:dyDescent="0.2">
      <c r="A143" s="143" t="s">
        <v>123</v>
      </c>
      <c r="B143" s="144" t="s">
        <v>191</v>
      </c>
      <c r="C143" s="144">
        <v>3</v>
      </c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144">
        <v>0</v>
      </c>
      <c r="AB143" s="187">
        <v>-3</v>
      </c>
    </row>
    <row r="144" spans="1:28" x14ac:dyDescent="0.2">
      <c r="A144" s="143" t="s">
        <v>65</v>
      </c>
      <c r="B144" s="144" t="s">
        <v>185</v>
      </c>
      <c r="C144" s="144">
        <v>9</v>
      </c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>
        <v>5</v>
      </c>
      <c r="W144" s="23"/>
      <c r="X144" s="23">
        <v>4</v>
      </c>
      <c r="Y144" s="23"/>
      <c r="Z144" s="23"/>
      <c r="AA144" s="144">
        <v>9</v>
      </c>
      <c r="AB144" s="187">
        <v>0</v>
      </c>
    </row>
    <row r="145" spans="1:28" x14ac:dyDescent="0.2">
      <c r="A145" s="143" t="s">
        <v>66</v>
      </c>
      <c r="B145" s="144" t="s">
        <v>187</v>
      </c>
      <c r="C145" s="144">
        <v>10</v>
      </c>
      <c r="D145" s="23"/>
      <c r="E145" s="23"/>
      <c r="F145" s="23"/>
      <c r="G145" s="23"/>
      <c r="H145" s="23"/>
      <c r="I145" s="23"/>
      <c r="J145" s="23">
        <v>3</v>
      </c>
      <c r="K145" s="23"/>
      <c r="L145" s="23"/>
      <c r="M145" s="23"/>
      <c r="N145" s="23"/>
      <c r="O145" s="23"/>
      <c r="P145" s="23"/>
      <c r="Q145" s="23">
        <v>2</v>
      </c>
      <c r="R145" s="23"/>
      <c r="S145" s="23"/>
      <c r="T145" s="23"/>
      <c r="U145" s="23">
        <v>1</v>
      </c>
      <c r="V145" s="23"/>
      <c r="W145" s="23">
        <v>2</v>
      </c>
      <c r="X145" s="23">
        <v>2</v>
      </c>
      <c r="Y145" s="23"/>
      <c r="Z145" s="23"/>
      <c r="AA145" s="144">
        <v>10</v>
      </c>
      <c r="AB145" s="187">
        <v>0</v>
      </c>
    </row>
    <row r="146" spans="1:28" x14ac:dyDescent="0.2">
      <c r="A146" s="143" t="s">
        <v>67</v>
      </c>
      <c r="B146" s="144" t="s">
        <v>188</v>
      </c>
      <c r="C146" s="144">
        <v>7</v>
      </c>
      <c r="D146" s="23">
        <v>1</v>
      </c>
      <c r="E146" s="23"/>
      <c r="F146" s="23"/>
      <c r="G146" s="23"/>
      <c r="H146" s="23"/>
      <c r="I146" s="23"/>
      <c r="J146" s="23">
        <v>1</v>
      </c>
      <c r="K146" s="23"/>
      <c r="L146" s="23"/>
      <c r="M146" s="23"/>
      <c r="N146" s="23">
        <v>1</v>
      </c>
      <c r="O146" s="23"/>
      <c r="P146" s="23">
        <v>1</v>
      </c>
      <c r="Q146" s="23"/>
      <c r="R146" s="23">
        <v>1</v>
      </c>
      <c r="S146" s="23"/>
      <c r="T146" s="23"/>
      <c r="U146" s="23">
        <v>1</v>
      </c>
      <c r="V146" s="23"/>
      <c r="W146" s="23"/>
      <c r="X146" s="23">
        <v>1</v>
      </c>
      <c r="Y146" s="23"/>
      <c r="Z146" s="23"/>
      <c r="AA146" s="144">
        <v>7</v>
      </c>
      <c r="AB146" s="187">
        <v>0</v>
      </c>
    </row>
    <row r="147" spans="1:28" x14ac:dyDescent="0.2">
      <c r="A147" s="143" t="s">
        <v>76</v>
      </c>
      <c r="B147" s="144" t="s">
        <v>204</v>
      </c>
      <c r="C147" s="144">
        <v>22</v>
      </c>
      <c r="D147" s="23">
        <v>5</v>
      </c>
      <c r="E147" s="23"/>
      <c r="F147" s="23"/>
      <c r="G147" s="23">
        <v>3</v>
      </c>
      <c r="H147" s="23"/>
      <c r="I147" s="23">
        <v>3</v>
      </c>
      <c r="J147" s="23"/>
      <c r="K147" s="23"/>
      <c r="L147" s="23"/>
      <c r="M147" s="23"/>
      <c r="N147" s="23"/>
      <c r="O147" s="23"/>
      <c r="P147" s="23"/>
      <c r="Q147" s="23"/>
      <c r="R147" s="23">
        <v>2</v>
      </c>
      <c r="S147" s="23"/>
      <c r="T147" s="23"/>
      <c r="U147" s="23">
        <v>1</v>
      </c>
      <c r="V147" s="23">
        <v>7</v>
      </c>
      <c r="W147" s="23"/>
      <c r="X147" s="23"/>
      <c r="Y147" s="23">
        <v>1</v>
      </c>
      <c r="Z147" s="23"/>
      <c r="AA147" s="144">
        <v>22</v>
      </c>
      <c r="AB147" s="187">
        <v>0</v>
      </c>
    </row>
    <row r="148" spans="1:28" x14ac:dyDescent="0.2">
      <c r="A148" s="143" t="s">
        <v>76</v>
      </c>
      <c r="B148" s="144" t="s">
        <v>205</v>
      </c>
      <c r="C148" s="144">
        <v>14</v>
      </c>
      <c r="D148" s="23">
        <v>1</v>
      </c>
      <c r="E148" s="23"/>
      <c r="F148" s="23"/>
      <c r="G148" s="23">
        <v>1</v>
      </c>
      <c r="H148" s="23">
        <v>2</v>
      </c>
      <c r="I148" s="23">
        <v>2</v>
      </c>
      <c r="J148" s="23">
        <v>4</v>
      </c>
      <c r="K148" s="23"/>
      <c r="L148" s="23"/>
      <c r="M148" s="23"/>
      <c r="N148" s="23"/>
      <c r="O148" s="23">
        <v>1</v>
      </c>
      <c r="P148" s="23"/>
      <c r="Q148" s="23">
        <v>2</v>
      </c>
      <c r="R148" s="23"/>
      <c r="S148" s="23"/>
      <c r="T148" s="23"/>
      <c r="U148" s="23">
        <v>1</v>
      </c>
      <c r="V148" s="23"/>
      <c r="W148" s="23"/>
      <c r="X148" s="23"/>
      <c r="Y148" s="23"/>
      <c r="Z148" s="23"/>
      <c r="AA148" s="144">
        <v>14</v>
      </c>
      <c r="AB148" s="187">
        <v>0</v>
      </c>
    </row>
    <row r="149" spans="1:28" x14ac:dyDescent="0.2">
      <c r="A149" s="143" t="s">
        <v>77</v>
      </c>
      <c r="B149" s="144" t="s">
        <v>206</v>
      </c>
      <c r="C149" s="144">
        <v>22</v>
      </c>
      <c r="D149" s="23"/>
      <c r="E149" s="23"/>
      <c r="F149" s="23">
        <v>2</v>
      </c>
      <c r="G149" s="23"/>
      <c r="H149" s="23"/>
      <c r="I149" s="23">
        <v>2</v>
      </c>
      <c r="J149" s="23">
        <v>4</v>
      </c>
      <c r="K149" s="23">
        <v>1</v>
      </c>
      <c r="L149" s="23"/>
      <c r="M149" s="23"/>
      <c r="N149" s="23"/>
      <c r="O149" s="23"/>
      <c r="P149" s="23"/>
      <c r="Q149" s="23">
        <v>3</v>
      </c>
      <c r="R149" s="23">
        <v>2</v>
      </c>
      <c r="S149" s="23"/>
      <c r="T149" s="23"/>
      <c r="U149" s="23">
        <v>1</v>
      </c>
      <c r="V149" s="23"/>
      <c r="W149" s="23">
        <v>2</v>
      </c>
      <c r="X149" s="23">
        <v>2</v>
      </c>
      <c r="Y149" s="23">
        <v>2</v>
      </c>
      <c r="Z149" s="23">
        <v>1</v>
      </c>
      <c r="AA149" s="144">
        <v>22</v>
      </c>
      <c r="AB149" s="187">
        <v>0</v>
      </c>
    </row>
    <row r="150" spans="1:28" x14ac:dyDescent="0.2">
      <c r="A150" s="143" t="s">
        <v>77</v>
      </c>
      <c r="B150" s="144" t="s">
        <v>207</v>
      </c>
      <c r="C150" s="144">
        <v>14</v>
      </c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>
        <v>4</v>
      </c>
      <c r="S150" s="23"/>
      <c r="T150" s="23">
        <v>2</v>
      </c>
      <c r="U150" s="23">
        <v>3</v>
      </c>
      <c r="V150" s="23">
        <v>3</v>
      </c>
      <c r="W150" s="23">
        <v>1</v>
      </c>
      <c r="X150" s="23"/>
      <c r="Y150" s="23">
        <v>1</v>
      </c>
      <c r="Z150" s="23"/>
      <c r="AA150" s="144">
        <v>14</v>
      </c>
      <c r="AB150" s="187">
        <v>0</v>
      </c>
    </row>
    <row r="151" spans="1:28" x14ac:dyDescent="0.2">
      <c r="A151" s="143" t="s">
        <v>135</v>
      </c>
      <c r="B151" s="144" t="s">
        <v>192</v>
      </c>
      <c r="C151" s="144">
        <v>7</v>
      </c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144">
        <v>0</v>
      </c>
      <c r="AB151" s="187">
        <v>-7</v>
      </c>
    </row>
    <row r="152" spans="1:28" x14ac:dyDescent="0.2">
      <c r="A152" s="143" t="s">
        <v>136</v>
      </c>
      <c r="B152" s="144" t="s">
        <v>193</v>
      </c>
      <c r="C152" s="144">
        <v>6</v>
      </c>
      <c r="D152" s="23">
        <v>1</v>
      </c>
      <c r="E152" s="23"/>
      <c r="F152" s="23"/>
      <c r="G152" s="23"/>
      <c r="H152" s="23"/>
      <c r="I152" s="23">
        <v>1</v>
      </c>
      <c r="J152" s="23"/>
      <c r="K152" s="23"/>
      <c r="L152" s="23"/>
      <c r="M152" s="23"/>
      <c r="N152" s="23">
        <v>1</v>
      </c>
      <c r="O152" s="23"/>
      <c r="P152" s="23"/>
      <c r="Q152" s="23"/>
      <c r="R152" s="23">
        <v>1</v>
      </c>
      <c r="S152" s="23">
        <v>1</v>
      </c>
      <c r="T152" s="23"/>
      <c r="U152" s="23"/>
      <c r="V152" s="23"/>
      <c r="W152" s="23"/>
      <c r="X152" s="23"/>
      <c r="Y152" s="23">
        <v>1</v>
      </c>
      <c r="Z152" s="23"/>
      <c r="AA152" s="144">
        <v>6</v>
      </c>
      <c r="AB152" s="187">
        <v>0</v>
      </c>
    </row>
    <row r="153" spans="1:28" x14ac:dyDescent="0.2">
      <c r="A153" s="143" t="s">
        <v>213</v>
      </c>
      <c r="B153" s="144" t="s">
        <v>208</v>
      </c>
      <c r="C153" s="144">
        <v>7</v>
      </c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144">
        <v>0</v>
      </c>
      <c r="AB153" s="187">
        <v>-7</v>
      </c>
    </row>
    <row r="154" spans="1:28" x14ac:dyDescent="0.2">
      <c r="A154" s="143" t="s">
        <v>214</v>
      </c>
      <c r="B154" s="144" t="s">
        <v>209</v>
      </c>
      <c r="C154" s="144">
        <v>0</v>
      </c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144">
        <v>0</v>
      </c>
      <c r="AB154" s="187">
        <v>0</v>
      </c>
    </row>
    <row r="155" spans="1:28" x14ac:dyDescent="0.2">
      <c r="A155" s="143" t="s">
        <v>138</v>
      </c>
      <c r="B155" s="144" t="s">
        <v>210</v>
      </c>
      <c r="C155" s="144">
        <v>5</v>
      </c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144">
        <v>0</v>
      </c>
      <c r="AB155" s="187">
        <v>-5</v>
      </c>
    </row>
    <row r="156" spans="1:28" x14ac:dyDescent="0.2">
      <c r="A156" s="143" t="s">
        <v>139</v>
      </c>
      <c r="B156" s="144" t="s">
        <v>211</v>
      </c>
      <c r="C156" s="144">
        <v>0</v>
      </c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144">
        <v>0</v>
      </c>
      <c r="AB156" s="187">
        <v>0</v>
      </c>
    </row>
    <row r="157" spans="1:28" x14ac:dyDescent="0.2">
      <c r="A157" s="143" t="s">
        <v>70</v>
      </c>
      <c r="B157" s="144" t="s">
        <v>197</v>
      </c>
      <c r="C157" s="144">
        <v>7</v>
      </c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>
        <v>1</v>
      </c>
      <c r="S157" s="23">
        <v>1</v>
      </c>
      <c r="T157" s="23"/>
      <c r="U157" s="23"/>
      <c r="V157" s="23">
        <v>3</v>
      </c>
      <c r="W157" s="23">
        <v>2</v>
      </c>
      <c r="X157" s="23"/>
      <c r="Y157" s="23"/>
      <c r="Z157" s="23"/>
      <c r="AA157" s="144">
        <v>7</v>
      </c>
      <c r="AB157" s="187">
        <v>0</v>
      </c>
    </row>
    <row r="158" spans="1:28" x14ac:dyDescent="0.2">
      <c r="A158" s="143" t="s">
        <v>70</v>
      </c>
      <c r="B158" s="144" t="s">
        <v>196</v>
      </c>
      <c r="C158" s="144">
        <v>6</v>
      </c>
      <c r="D158" s="23">
        <v>2</v>
      </c>
      <c r="E158" s="23"/>
      <c r="F158" s="23"/>
      <c r="G158" s="23"/>
      <c r="H158" s="23"/>
      <c r="I158" s="23"/>
      <c r="J158" s="23"/>
      <c r="K158" s="23"/>
      <c r="L158" s="23"/>
      <c r="M158" s="23"/>
      <c r="N158" s="23">
        <v>1</v>
      </c>
      <c r="O158" s="23"/>
      <c r="P158" s="23"/>
      <c r="Q158" s="23"/>
      <c r="R158" s="23"/>
      <c r="S158" s="23"/>
      <c r="T158" s="23"/>
      <c r="U158" s="23"/>
      <c r="V158" s="23">
        <v>2</v>
      </c>
      <c r="W158" s="23"/>
      <c r="X158" s="23"/>
      <c r="Y158" s="23">
        <v>1</v>
      </c>
      <c r="Z158" s="23"/>
      <c r="AA158" s="144">
        <v>6</v>
      </c>
      <c r="AB158" s="187">
        <v>0</v>
      </c>
    </row>
    <row r="159" spans="1:28" x14ac:dyDescent="0.2">
      <c r="A159" s="143" t="s">
        <v>302</v>
      </c>
      <c r="B159" s="144" t="s">
        <v>304</v>
      </c>
      <c r="C159" s="144">
        <v>7</v>
      </c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144">
        <v>0</v>
      </c>
      <c r="AB159" s="187">
        <v>-7</v>
      </c>
    </row>
    <row r="160" spans="1:28" x14ac:dyDescent="0.2">
      <c r="A160" s="143" t="s">
        <v>303</v>
      </c>
      <c r="B160" s="144" t="s">
        <v>305</v>
      </c>
      <c r="C160" s="144">
        <v>6</v>
      </c>
      <c r="D160" s="23">
        <v>3</v>
      </c>
      <c r="E160" s="23"/>
      <c r="F160" s="23"/>
      <c r="G160" s="23"/>
      <c r="H160" s="23"/>
      <c r="I160" s="23"/>
      <c r="J160" s="23">
        <v>2</v>
      </c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>
        <v>1</v>
      </c>
      <c r="X160" s="23"/>
      <c r="Y160" s="23"/>
      <c r="Z160" s="23"/>
      <c r="AA160" s="144">
        <v>6</v>
      </c>
      <c r="AB160" s="187">
        <v>0</v>
      </c>
    </row>
    <row r="161" spans="1:28" x14ac:dyDescent="0.2">
      <c r="A161" s="143" t="s">
        <v>140</v>
      </c>
      <c r="B161" s="144" t="s">
        <v>194</v>
      </c>
      <c r="C161" s="144">
        <v>3</v>
      </c>
      <c r="D161" s="23"/>
      <c r="E161" s="23"/>
      <c r="F161" s="23"/>
      <c r="G161" s="23">
        <v>1</v>
      </c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>
        <v>2</v>
      </c>
      <c r="T161" s="23"/>
      <c r="U161" s="23"/>
      <c r="V161" s="23"/>
      <c r="W161" s="23"/>
      <c r="X161" s="23"/>
      <c r="Y161" s="23"/>
      <c r="Z161" s="23"/>
      <c r="AA161" s="144">
        <v>3</v>
      </c>
      <c r="AB161" s="187">
        <v>0</v>
      </c>
    </row>
    <row r="162" spans="1:28" x14ac:dyDescent="0.2">
      <c r="A162" s="143" t="s">
        <v>141</v>
      </c>
      <c r="B162" s="144" t="s">
        <v>195</v>
      </c>
      <c r="C162" s="144">
        <v>1</v>
      </c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>
        <v>1</v>
      </c>
      <c r="V162" s="23"/>
      <c r="W162" s="23"/>
      <c r="X162" s="23"/>
      <c r="Y162" s="23"/>
      <c r="Z162" s="23"/>
      <c r="AA162" s="144">
        <v>1</v>
      </c>
      <c r="AB162" s="187">
        <v>0</v>
      </c>
    </row>
    <row r="163" spans="1:28" x14ac:dyDescent="0.2">
      <c r="A163" s="143" t="s">
        <v>289</v>
      </c>
      <c r="B163" s="144" t="s">
        <v>290</v>
      </c>
      <c r="C163" s="144">
        <v>9</v>
      </c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>
        <v>2</v>
      </c>
      <c r="P163" s="23"/>
      <c r="Q163" s="23"/>
      <c r="R163" s="23">
        <v>7</v>
      </c>
      <c r="S163" s="23"/>
      <c r="T163" s="23"/>
      <c r="U163" s="23"/>
      <c r="V163" s="23"/>
      <c r="W163" s="23"/>
      <c r="X163" s="23"/>
      <c r="Y163" s="23"/>
      <c r="Z163" s="23"/>
      <c r="AA163" s="144">
        <v>9</v>
      </c>
      <c r="AB163" s="187">
        <v>0</v>
      </c>
    </row>
    <row r="164" spans="1:28" x14ac:dyDescent="0.2">
      <c r="A164" s="143" t="s">
        <v>71</v>
      </c>
      <c r="B164" s="144" t="s">
        <v>78</v>
      </c>
      <c r="C164" s="144">
        <v>2</v>
      </c>
      <c r="D164" s="23"/>
      <c r="E164" s="23"/>
      <c r="F164" s="23"/>
      <c r="G164" s="23"/>
      <c r="H164" s="23"/>
      <c r="I164" s="23">
        <v>2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144">
        <v>2</v>
      </c>
      <c r="AB164" s="187">
        <v>0</v>
      </c>
    </row>
    <row r="165" spans="1:28" x14ac:dyDescent="0.2">
      <c r="A165" s="143" t="s">
        <v>95</v>
      </c>
      <c r="B165" s="144" t="s">
        <v>212</v>
      </c>
      <c r="C165" s="144">
        <v>6</v>
      </c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>
        <v>6</v>
      </c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144">
        <v>6</v>
      </c>
      <c r="AB165" s="187">
        <v>0</v>
      </c>
    </row>
    <row r="166" spans="1:28" x14ac:dyDescent="0.2">
      <c r="A166" s="143"/>
      <c r="B166" s="144"/>
      <c r="C166" s="144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144"/>
      <c r="AB166" s="187"/>
    </row>
    <row r="167" spans="1:28" x14ac:dyDescent="0.2">
      <c r="A167" s="143"/>
      <c r="B167" s="148" t="s">
        <v>220</v>
      </c>
      <c r="C167" s="144">
        <v>251</v>
      </c>
      <c r="D167" s="23">
        <v>15</v>
      </c>
      <c r="E167" s="23">
        <v>0</v>
      </c>
      <c r="F167" s="23">
        <v>2</v>
      </c>
      <c r="G167" s="23">
        <v>7</v>
      </c>
      <c r="H167" s="23">
        <v>4</v>
      </c>
      <c r="I167" s="23">
        <v>11</v>
      </c>
      <c r="J167" s="23">
        <v>19</v>
      </c>
      <c r="K167" s="23">
        <v>1</v>
      </c>
      <c r="L167" s="23">
        <v>0</v>
      </c>
      <c r="M167" s="23">
        <v>16</v>
      </c>
      <c r="N167" s="23">
        <v>3</v>
      </c>
      <c r="O167" s="23">
        <v>3</v>
      </c>
      <c r="P167" s="23">
        <v>7</v>
      </c>
      <c r="Q167" s="23">
        <v>8</v>
      </c>
      <c r="R167" s="23">
        <v>18</v>
      </c>
      <c r="S167" s="23">
        <v>5</v>
      </c>
      <c r="T167" s="23">
        <v>16</v>
      </c>
      <c r="U167" s="23">
        <v>10</v>
      </c>
      <c r="V167" s="23">
        <v>26</v>
      </c>
      <c r="W167" s="23">
        <v>8</v>
      </c>
      <c r="X167" s="23">
        <v>10</v>
      </c>
      <c r="Y167" s="23">
        <v>7</v>
      </c>
      <c r="Z167" s="23">
        <v>3</v>
      </c>
      <c r="AA167" s="144">
        <v>199</v>
      </c>
      <c r="AB167" s="187">
        <v>-52</v>
      </c>
    </row>
    <row r="168" spans="1:28" x14ac:dyDescent="0.2">
      <c r="A168" s="143"/>
      <c r="B168" s="144"/>
      <c r="C168" s="144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144"/>
      <c r="AB168" s="187"/>
    </row>
    <row r="169" spans="1:28" ht="13.5" thickBot="1" x14ac:dyDescent="0.25">
      <c r="A169" s="168"/>
      <c r="B169" s="169" t="s">
        <v>221</v>
      </c>
      <c r="C169" s="170">
        <v>361</v>
      </c>
      <c r="D169" s="171">
        <v>15</v>
      </c>
      <c r="E169" s="171">
        <v>0</v>
      </c>
      <c r="F169" s="171">
        <v>10</v>
      </c>
      <c r="G169" s="171">
        <v>7</v>
      </c>
      <c r="H169" s="171">
        <v>10</v>
      </c>
      <c r="I169" s="171">
        <v>16</v>
      </c>
      <c r="J169" s="171">
        <v>19</v>
      </c>
      <c r="K169" s="171">
        <v>30</v>
      </c>
      <c r="L169" s="171">
        <v>16</v>
      </c>
      <c r="M169" s="171">
        <v>18</v>
      </c>
      <c r="N169" s="171">
        <v>7</v>
      </c>
      <c r="O169" s="171">
        <v>11</v>
      </c>
      <c r="P169" s="171">
        <v>7</v>
      </c>
      <c r="Q169" s="171">
        <v>17</v>
      </c>
      <c r="R169" s="171">
        <v>18</v>
      </c>
      <c r="S169" s="171">
        <v>6</v>
      </c>
      <c r="T169" s="171">
        <v>32</v>
      </c>
      <c r="U169" s="171">
        <v>12</v>
      </c>
      <c r="V169" s="171">
        <v>27</v>
      </c>
      <c r="W169" s="171">
        <v>10</v>
      </c>
      <c r="X169" s="171">
        <v>10</v>
      </c>
      <c r="Y169" s="171">
        <v>7</v>
      </c>
      <c r="Z169" s="171">
        <v>4</v>
      </c>
      <c r="AA169" s="170">
        <v>309</v>
      </c>
      <c r="AB169" s="189">
        <v>-52</v>
      </c>
    </row>
    <row r="170" spans="1:28" x14ac:dyDescent="0.2">
      <c r="A170" s="139"/>
      <c r="B170" s="149"/>
      <c r="C170" s="149"/>
      <c r="D170" s="150"/>
      <c r="E170" s="150"/>
      <c r="F170" s="150"/>
      <c r="G170" s="150"/>
      <c r="H170" s="150"/>
      <c r="I170" s="150"/>
      <c r="J170" s="150"/>
      <c r="K170" s="150"/>
      <c r="L170" s="150"/>
      <c r="M170" s="150"/>
      <c r="N170" s="150"/>
      <c r="O170" s="150"/>
      <c r="P170" s="150"/>
      <c r="Q170" s="150"/>
      <c r="R170" s="150"/>
      <c r="S170" s="150"/>
      <c r="T170" s="150"/>
      <c r="U170" s="150"/>
      <c r="V170" s="150"/>
      <c r="W170" s="150"/>
      <c r="X170" s="150"/>
      <c r="Y170" s="150"/>
      <c r="Z170" s="150"/>
      <c r="AA170" s="149"/>
      <c r="AB170" s="190"/>
    </row>
    <row r="171" spans="1:28" x14ac:dyDescent="0.2">
      <c r="A171" s="143"/>
      <c r="B171" s="148" t="s">
        <v>222</v>
      </c>
      <c r="C171" s="144">
        <v>730</v>
      </c>
      <c r="D171" s="23">
        <v>24</v>
      </c>
      <c r="E171" s="23">
        <v>0</v>
      </c>
      <c r="F171" s="23">
        <v>18</v>
      </c>
      <c r="G171" s="23">
        <v>10</v>
      </c>
      <c r="H171" s="23">
        <v>21</v>
      </c>
      <c r="I171" s="23">
        <v>24</v>
      </c>
      <c r="J171" s="23">
        <v>32</v>
      </c>
      <c r="K171" s="23">
        <v>53</v>
      </c>
      <c r="L171" s="23">
        <v>32</v>
      </c>
      <c r="M171" s="23">
        <v>38</v>
      </c>
      <c r="N171" s="23">
        <v>31</v>
      </c>
      <c r="O171" s="23">
        <v>21</v>
      </c>
      <c r="P171" s="23">
        <v>16</v>
      </c>
      <c r="Q171" s="23">
        <v>38</v>
      </c>
      <c r="R171" s="23">
        <v>33</v>
      </c>
      <c r="S171" s="23">
        <v>13</v>
      </c>
      <c r="T171" s="23">
        <v>58</v>
      </c>
      <c r="U171" s="23">
        <v>24</v>
      </c>
      <c r="V171" s="23">
        <v>45</v>
      </c>
      <c r="W171" s="23">
        <v>16</v>
      </c>
      <c r="X171" s="23">
        <v>22</v>
      </c>
      <c r="Y171" s="23">
        <v>29</v>
      </c>
      <c r="Z171" s="23">
        <v>11</v>
      </c>
      <c r="AA171" s="144">
        <v>609</v>
      </c>
      <c r="AB171" s="187">
        <v>-121</v>
      </c>
    </row>
    <row r="172" spans="1:28" x14ac:dyDescent="0.2">
      <c r="A172" s="143"/>
      <c r="B172" s="148" t="s">
        <v>223</v>
      </c>
      <c r="C172" s="144"/>
      <c r="D172" s="23">
        <v>2</v>
      </c>
      <c r="E172" s="23">
        <v>0</v>
      </c>
      <c r="F172" s="23">
        <v>2</v>
      </c>
      <c r="G172" s="23">
        <v>1</v>
      </c>
      <c r="H172" s="23">
        <v>2</v>
      </c>
      <c r="I172" s="23">
        <v>3</v>
      </c>
      <c r="J172" s="23">
        <v>2</v>
      </c>
      <c r="K172" s="23">
        <v>2</v>
      </c>
      <c r="L172" s="23">
        <v>2</v>
      </c>
      <c r="M172" s="23">
        <v>2</v>
      </c>
      <c r="N172" s="23">
        <v>1</v>
      </c>
      <c r="O172" s="23">
        <v>1</v>
      </c>
      <c r="P172" s="23">
        <v>2</v>
      </c>
      <c r="Q172" s="23">
        <v>2</v>
      </c>
      <c r="R172" s="23">
        <v>2</v>
      </c>
      <c r="S172" s="23">
        <v>1</v>
      </c>
      <c r="T172" s="23">
        <v>3</v>
      </c>
      <c r="U172" s="23">
        <v>2</v>
      </c>
      <c r="V172" s="23">
        <v>3</v>
      </c>
      <c r="W172" s="23">
        <v>1</v>
      </c>
      <c r="X172" s="23">
        <v>2</v>
      </c>
      <c r="Y172" s="23">
        <v>2</v>
      </c>
      <c r="Z172" s="23">
        <v>1</v>
      </c>
      <c r="AA172" s="144"/>
      <c r="AB172" s="187"/>
    </row>
    <row r="173" spans="1:28" x14ac:dyDescent="0.2">
      <c r="A173" s="143"/>
      <c r="B173" s="148" t="s">
        <v>224</v>
      </c>
      <c r="C173" s="144"/>
      <c r="D173" s="173">
        <v>-11.512195121951223</v>
      </c>
      <c r="E173" s="172">
        <v>0</v>
      </c>
      <c r="F173" s="173">
        <v>-17.512195121951223</v>
      </c>
      <c r="G173" s="173">
        <v>-7.7560975609756113</v>
      </c>
      <c r="H173" s="173">
        <v>-14.512195121951223</v>
      </c>
      <c r="I173" s="173">
        <v>-29.268292682926834</v>
      </c>
      <c r="J173" s="173">
        <v>-3.5121951219512226</v>
      </c>
      <c r="K173" s="172">
        <v>17.487804878048777</v>
      </c>
      <c r="L173" s="173">
        <v>-3.5121951219512226</v>
      </c>
      <c r="M173" s="172">
        <v>2.4878048780487774</v>
      </c>
      <c r="N173" s="172">
        <v>13.243902439024389</v>
      </c>
      <c r="O173" s="172">
        <v>3.2439024390243887</v>
      </c>
      <c r="P173" s="173">
        <v>-19.512195121951223</v>
      </c>
      <c r="Q173" s="172">
        <v>2.4878048780487774</v>
      </c>
      <c r="R173" s="173">
        <v>-2.5121951219512226</v>
      </c>
      <c r="S173" s="173">
        <v>-4.7560975609756113</v>
      </c>
      <c r="T173" s="172">
        <v>4.7317073170731661</v>
      </c>
      <c r="U173" s="173">
        <v>-11.512195121951223</v>
      </c>
      <c r="V173" s="173">
        <v>-8.2682926829268339</v>
      </c>
      <c r="W173" s="173">
        <v>-1.7560975609756113</v>
      </c>
      <c r="X173" s="173">
        <v>-13.512195121951223</v>
      </c>
      <c r="Y173" s="173">
        <v>-6.5121951219512226</v>
      </c>
      <c r="Z173" s="173">
        <v>-6.7560975609756113</v>
      </c>
      <c r="AA173" s="144"/>
      <c r="AB173" s="187"/>
    </row>
    <row r="174" spans="1:28" x14ac:dyDescent="0.2">
      <c r="A174" s="143"/>
      <c r="B174" s="144"/>
      <c r="C174" s="144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144"/>
      <c r="AB174" s="187"/>
    </row>
    <row r="175" spans="1:28" x14ac:dyDescent="0.2">
      <c r="A175" s="143"/>
      <c r="B175" s="144"/>
      <c r="C175" s="144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144"/>
      <c r="AB175" s="187"/>
    </row>
    <row r="176" spans="1:28" x14ac:dyDescent="0.2">
      <c r="A176" s="143"/>
      <c r="B176" s="148" t="s">
        <v>225</v>
      </c>
      <c r="C176" s="144">
        <v>728</v>
      </c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144"/>
      <c r="AB176" s="187"/>
    </row>
    <row r="177" spans="1:28" x14ac:dyDescent="0.2">
      <c r="A177" s="143"/>
      <c r="B177" s="148" t="s">
        <v>226</v>
      </c>
      <c r="C177" s="144">
        <v>41</v>
      </c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144"/>
      <c r="AB177" s="187"/>
    </row>
    <row r="178" spans="1:28" ht="13.5" thickBot="1" x14ac:dyDescent="0.25">
      <c r="A178" s="145"/>
      <c r="B178" s="151" t="s">
        <v>148</v>
      </c>
      <c r="C178" s="147">
        <v>17.756097560975611</v>
      </c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47"/>
      <c r="AB178" s="188"/>
    </row>
  </sheetData>
  <sheetProtection sheet="1" objects="1" scenarios="1"/>
  <phoneticPr fontId="13" type="noConversion"/>
  <pageMargins left="0.75" right="0.75" top="1" bottom="1" header="0.5" footer="0.5"/>
  <pageSetup paperSize="5" scale="1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4" r:id="rId10" name="HTS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HTS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/>
  </sheetViews>
  <sheetFormatPr defaultRowHeight="12.75" x14ac:dyDescent="0.2"/>
  <sheetData/>
  <phoneticPr fontId="28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71</vt:i4>
      </vt:variant>
    </vt:vector>
  </HeadingPairs>
  <TitlesOfParts>
    <vt:vector size="88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2024-05-21T18:28:23Z</cp:lastPrinted>
  <dcterms:created xsi:type="dcterms:W3CDTF">2005-10-16T17:50:13Z</dcterms:created>
  <dcterms:modified xsi:type="dcterms:W3CDTF">2024-05-21T20:59:39Z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