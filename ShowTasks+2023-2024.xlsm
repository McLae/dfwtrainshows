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NMRA\Council\2024\"/>
    </mc:Choice>
  </mc:AlternateContent>
  <xr:revisionPtr revIDLastSave="0" documentId="8_{CB664DE5-F1F5-48A2-85C8-875BF83E2AA9}" xr6:coauthVersionLast="47" xr6:coauthVersionMax="47" xr10:uidLastSave="{00000000-0000-0000-0000-000000000000}"/>
  <bookViews>
    <workbookView xWindow="-120" yWindow="-120" windowWidth="29040" windowHeight="15840" tabRatio="851" xr2:uid="{00000000-000D-0000-FFFF-FFFF00000000}"/>
  </bookViews>
  <sheets>
    <sheet name="Participants" sheetId="2" r:id="rId1"/>
    <sheet name="S.O.A." sheetId="1" r:id="rId2"/>
    <sheet name="FALL Friday" sheetId="4" r:id="rId3"/>
    <sheet name="FALL Saturday" sheetId="5" r:id="rId4"/>
    <sheet name="FALL Sunday" sheetId="6" r:id="rId5"/>
    <sheet name="DAT Friday" sheetId="34" r:id="rId6"/>
    <sheet name="DAT Saturday" sheetId="35" r:id="rId7"/>
    <sheet name="DAT Sunday" sheetId="36" r:id="rId8"/>
    <sheet name="CLUB" sheetId="37" r:id="rId9"/>
    <sheet name="SignInSheet" sheetId="28" r:id="rId10"/>
    <sheet name="HTS Show Mgr" sheetId="39" r:id="rId11"/>
    <sheet name="HTS Asst Show Mgr" sheetId="40" r:id="rId12"/>
    <sheet name="DAT Show Mgr" sheetId="42" r:id="rId13"/>
    <sheet name="DAT Asst Show Mgr" sheetId="41" r:id="rId14"/>
    <sheet name="Summaries" sheetId="43" r:id="rId15"/>
    <sheet name="Scrap" sheetId="38" r:id="rId16"/>
    <sheet name="Xref " sheetId="44" r:id="rId17"/>
    <sheet name="Sheet2" sheetId="45" r:id="rId18"/>
  </sheets>
  <functionGroups builtInGroupCount="19"/>
  <definedNames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2">'FALL Friday'!$G$6</definedName>
    <definedName name="DATDayWorkHours">S.O.A.!$C$135:$C$172</definedName>
    <definedName name="DATFriday">'DAT Friday'!$A$5</definedName>
    <definedName name="DATFridayCols">Scrap!$D$7</definedName>
    <definedName name="DATFridayRows">Scrap!$C$7</definedName>
    <definedName name="DATPreShow">S.O.A.!$A$95:$D$127</definedName>
    <definedName name="DATPreshowTaskClubs">S.O.A.!$D$95:$D$127</definedName>
    <definedName name="DATPreshowTaskHours">S.O.A.!$C$95:$C$127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Friday">'FALL Friday'!$A$5</definedName>
    <definedName name="FALLSaturday">'FALL Saturday'!$A$5</definedName>
    <definedName name="FALLSaturdayRows">Scrap!$C$5</definedName>
    <definedName name="FALLSunday">'FALL Sunday'!$A$5</definedName>
    <definedName name="GrandTotalHours">S.O.A.!$C$177</definedName>
    <definedName name="HoursPerShare">Participants!$C$38</definedName>
    <definedName name="HTSDayWorkHours">S.O.A.!$C$45:$C$84</definedName>
    <definedName name="HTSFridayCols">Scrap!$D$4</definedName>
    <definedName name="HTSFridayRows">Scrap!$C$4</definedName>
    <definedName name="HTSPreShow">S.O.A.!$A$5:$D$38</definedName>
    <definedName name="HTSPreshowTaskClubs">S.O.A.!$D$5:$D$38</definedName>
    <definedName name="HTSPreshowTaskHours">S.O.A.!$C$5:$C$38</definedName>
    <definedName name="HTSSaturdayCols">Scrap!$D$5</definedName>
    <definedName name="HTSSaturdayRows">Scrap!$C$5</definedName>
    <definedName name="HTSSundayCols">Scrap!$D$6</definedName>
    <definedName name="HTSSundayRows">Scrap!$C$6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HTSDay1">Scrap!$C$18</definedName>
    <definedName name="MatrixHTSDayN">Scrap!$D$18</definedName>
    <definedName name="MatrixHTSPre1">Scrap!$C$17</definedName>
    <definedName name="MatrixHTSPreN">Scrap!$D$17</definedName>
    <definedName name="ParticipantsCanUpdate">Scrap!$D$12</definedName>
    <definedName name="_xlnm.Print_Area" localSheetId="5">'DAT Friday'!$A$1:$Q$13</definedName>
    <definedName name="_xlnm.Print_Area" localSheetId="6">'DAT Saturday'!$A$1:$L$28</definedName>
    <definedName name="_xlnm.Print_Area" localSheetId="7">'DAT Sunday'!$A$1:$K$31</definedName>
    <definedName name="_xlnm.Print_Area" localSheetId="2">'FALL Friday'!$A$1:$Q$12</definedName>
    <definedName name="_xlnm.Print_Area" localSheetId="3">'FALL Saturday'!$A$1:$L$30</definedName>
    <definedName name="_xlnm.Print_Area" localSheetId="4">'FALL Sunday'!$A$1:$L$31</definedName>
    <definedName name="_xlnm.Print_Area" localSheetId="0">Participants!$A$2:$F$38</definedName>
    <definedName name="_xlnm.Print_Area" localSheetId="1">S.O.A.!$A$1:$E$177</definedName>
    <definedName name="_xlnm.Print_Area" localSheetId="16">'Xref '!$A$1:$C$29</definedName>
    <definedName name="_xlnm.Print_Titles" localSheetId="6">'DAT Saturday'!$1:$6</definedName>
    <definedName name="_xlnm.Print_Titles" localSheetId="7">'DAT Sunday'!$1:$6</definedName>
    <definedName name="_xlnm.Print_Titles" localSheetId="3">'FALL Saturday'!$1:$5</definedName>
    <definedName name="_xlnm.Print_Titles" localSheetId="4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</definedNames>
  <calcPr calcId="191029"/>
</workbook>
</file>

<file path=xl/calcChain.xml><?xml version="1.0" encoding="utf-8"?>
<calcChain xmlns="http://schemas.openxmlformats.org/spreadsheetml/2006/main">
  <c r="J5" i="38" l="1"/>
  <c r="H4" i="38"/>
  <c r="E8" i="37"/>
  <c r="F8" i="37" s="1"/>
  <c r="C8" i="37"/>
  <c r="A4" i="44"/>
  <c r="B4" i="44"/>
  <c r="C4" i="44"/>
  <c r="A5" i="44"/>
  <c r="B5" i="44"/>
  <c r="C5" i="44"/>
  <c r="A6" i="44"/>
  <c r="B6" i="44"/>
  <c r="C6" i="44"/>
  <c r="A7" i="44"/>
  <c r="B7" i="44"/>
  <c r="C7" i="44"/>
  <c r="A8" i="44"/>
  <c r="B8" i="44"/>
  <c r="C8" i="44"/>
  <c r="A9" i="44"/>
  <c r="B9" i="44"/>
  <c r="C9" i="44"/>
  <c r="A10" i="44"/>
  <c r="B10" i="44"/>
  <c r="C10" i="44"/>
  <c r="A11" i="44"/>
  <c r="B11" i="44"/>
  <c r="C11" i="44"/>
  <c r="A12" i="44"/>
  <c r="B12" i="44"/>
  <c r="C12" i="44"/>
  <c r="A13" i="44"/>
  <c r="B13" i="44"/>
  <c r="C13" i="44"/>
  <c r="A14" i="44"/>
  <c r="B14" i="44"/>
  <c r="C14" i="44"/>
  <c r="A15" i="44"/>
  <c r="B15" i="44"/>
  <c r="C15" i="44"/>
  <c r="A16" i="44"/>
  <c r="B16" i="44"/>
  <c r="C16" i="44"/>
  <c r="A17" i="44"/>
  <c r="B17" i="44"/>
  <c r="C17" i="44"/>
  <c r="A18" i="44"/>
  <c r="B18" i="44"/>
  <c r="C18" i="44"/>
  <c r="A19" i="44"/>
  <c r="B19" i="44"/>
  <c r="C19" i="44"/>
  <c r="A20" i="44"/>
  <c r="B20" i="44"/>
  <c r="C20" i="44"/>
  <c r="A21" i="44"/>
  <c r="B21" i="44"/>
  <c r="C21" i="44"/>
  <c r="A22" i="44"/>
  <c r="B22" i="44"/>
  <c r="C22" i="44"/>
  <c r="A23" i="44"/>
  <c r="B23" i="44"/>
  <c r="C23" i="44"/>
  <c r="A24" i="44"/>
  <c r="B24" i="44"/>
  <c r="C24" i="44"/>
  <c r="A25" i="44"/>
  <c r="B25" i="44"/>
  <c r="C25" i="44"/>
  <c r="A26" i="44"/>
  <c r="B26" i="44"/>
  <c r="C26" i="44"/>
  <c r="A27" i="44"/>
  <c r="B27" i="44"/>
  <c r="C27" i="44"/>
  <c r="A28" i="44"/>
  <c r="B28" i="44"/>
  <c r="C28" i="44"/>
  <c r="A29" i="44"/>
  <c r="B29" i="44"/>
  <c r="C29" i="44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B8" i="37"/>
  <c r="D8" i="37"/>
  <c r="H1" i="36"/>
  <c r="A5" i="36"/>
  <c r="H9" i="38"/>
  <c r="I1" i="35"/>
  <c r="A5" i="35"/>
  <c r="H8" i="38" s="1"/>
  <c r="M1" i="34"/>
  <c r="A5" i="34"/>
  <c r="H7" i="38" s="1"/>
  <c r="I1" i="6"/>
  <c r="A5" i="6"/>
  <c r="H6" i="38"/>
  <c r="I1" i="5"/>
  <c r="A5" i="5"/>
  <c r="H5" i="38"/>
  <c r="N1" i="4"/>
  <c r="A5" i="4"/>
  <c r="E3" i="28" s="1"/>
  <c r="B2" i="1"/>
  <c r="B3" i="1"/>
  <c r="C39" i="1"/>
  <c r="B43" i="1"/>
  <c r="B44" i="1"/>
  <c r="C85" i="1"/>
  <c r="C87" i="1" s="1"/>
  <c r="C177" i="1" s="1"/>
  <c r="D85" i="1"/>
  <c r="B93" i="1"/>
  <c r="B94" i="1"/>
  <c r="C94" i="1"/>
  <c r="D94" i="1"/>
  <c r="B103" i="1"/>
  <c r="C128" i="1"/>
  <c r="B132" i="1"/>
  <c r="B133" i="1"/>
  <c r="C173" i="1"/>
  <c r="D173" i="1"/>
  <c r="B5" i="2"/>
  <c r="C34" i="2"/>
  <c r="E36" i="2"/>
  <c r="C175" i="1"/>
  <c r="C6" i="38"/>
  <c r="D4" i="38"/>
  <c r="C4" i="38"/>
  <c r="C8" i="38"/>
  <c r="C7" i="38"/>
  <c r="D5" i="38"/>
  <c r="D6" i="38"/>
  <c r="D9" i="38"/>
  <c r="D8" i="38"/>
  <c r="D7" i="38"/>
  <c r="C9" i="38"/>
  <c r="C5" i="38"/>
  <c r="C36" i="2" l="1"/>
  <c r="C38" i="2"/>
  <c r="D8" i="2"/>
  <c r="D9" i="2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</calcChain>
</file>

<file path=xl/sharedStrings.xml><?xml version="1.0" encoding="utf-8"?>
<sst xmlns="http://schemas.openxmlformats.org/spreadsheetml/2006/main" count="2303" uniqueCount="375">
  <si>
    <t>Current</t>
  </si>
  <si>
    <t>RESPONSIBLE</t>
  </si>
  <si>
    <t>Task Code</t>
  </si>
  <si>
    <t>Task Definition</t>
  </si>
  <si>
    <t>Hours</t>
  </si>
  <si>
    <t>CLUB</t>
  </si>
  <si>
    <t>A</t>
  </si>
  <si>
    <t>Leasing Facility (4)</t>
  </si>
  <si>
    <t>TNT</t>
  </si>
  <si>
    <t>B</t>
  </si>
  <si>
    <t>Facility Liason (2)</t>
  </si>
  <si>
    <t>C</t>
  </si>
  <si>
    <t>Advance Publicity (2)</t>
  </si>
  <si>
    <t>SSRM</t>
  </si>
  <si>
    <t>D</t>
  </si>
  <si>
    <t>Flyer creation/Duplication (2)</t>
  </si>
  <si>
    <t>USMR</t>
  </si>
  <si>
    <t>E</t>
  </si>
  <si>
    <t>PSA Mailings (6)</t>
  </si>
  <si>
    <t>LM</t>
  </si>
  <si>
    <t>F1</t>
  </si>
  <si>
    <t>Flyer Mailouts (4) - out of town dealers</t>
  </si>
  <si>
    <t>F2</t>
  </si>
  <si>
    <t>Flyer Mailouts (7) - Local mailing list</t>
  </si>
  <si>
    <t>MATA</t>
  </si>
  <si>
    <t>F3</t>
  </si>
  <si>
    <t>Email flyer distribution</t>
  </si>
  <si>
    <t>DA</t>
  </si>
  <si>
    <t>G</t>
  </si>
  <si>
    <t>TREX</t>
  </si>
  <si>
    <t>H</t>
  </si>
  <si>
    <t>Make Up/Print/Mail Contracts (3)</t>
  </si>
  <si>
    <t>NTNT</t>
  </si>
  <si>
    <t>I</t>
  </si>
  <si>
    <t>Compile and maintain Dealer Lists (4)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</si>
  <si>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</si>
  <si>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</si>
  <si>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</si>
  <si>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</si>
  <si>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</si>
  <si>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</si>
  <si>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</si>
  <si>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</si>
  <si>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Dealer Layout/Space Assignment (Friday) (5)</t>
  </si>
  <si>
    <t>N</t>
  </si>
  <si>
    <t>Ass't Space Assign/Floor Walker (Friday) (5)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</si>
  <si>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</si>
  <si>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</si>
  <si>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</si>
  <si>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</si>
  <si>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</si>
  <si>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</si>
  <si>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</si>
  <si>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</si>
  <si>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</si>
  <si>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Tour Brouchure Creation/Duplication (9)</t>
  </si>
  <si>
    <t>S</t>
  </si>
  <si>
    <t>Arranging for Switching Layout (1)</t>
  </si>
  <si>
    <t>TNOR</t>
  </si>
  <si>
    <t xml:space="preserve">T </t>
  </si>
  <si>
    <t>Cash Box setup/Change (4)</t>
  </si>
  <si>
    <t>U</t>
  </si>
  <si>
    <t>Getting Tickets (1)</t>
  </si>
  <si>
    <t>W</t>
  </si>
  <si>
    <t>Interior Sign Creation/Setup (2)</t>
  </si>
  <si>
    <t>X</t>
  </si>
  <si>
    <t>Arranging for Door Prizes (2)</t>
  </si>
  <si>
    <t>Y</t>
  </si>
  <si>
    <t>Phone Calls on Show Days</t>
  </si>
  <si>
    <t>Z1</t>
  </si>
  <si>
    <t>Z2</t>
  </si>
  <si>
    <t>ET</t>
  </si>
  <si>
    <t>AA</t>
  </si>
  <si>
    <t>PP</t>
  </si>
  <si>
    <t>Maintaining Web Site</t>
  </si>
  <si>
    <t>Total F/W Pre Show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</si>
  <si>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</si>
  <si>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</si>
  <si>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</si>
  <si>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</si>
  <si>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</si>
  <si>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</si>
  <si>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</si>
  <si>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</si>
  <si>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</si>
  <si>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</si>
  <si>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</si>
  <si>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</si>
  <si>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</si>
  <si>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Total Fort Worth Show</t>
  </si>
  <si>
    <t>TEXN</t>
  </si>
  <si>
    <t>Fyer Mailouts - Out of Town</t>
  </si>
  <si>
    <t>Fyer Mailouts - Local Mailing</t>
  </si>
  <si>
    <t>Maintain Dealer List</t>
  </si>
  <si>
    <t>Contracting With Dealers (2)</t>
  </si>
  <si>
    <t>Work Assignment Task Chart</t>
  </si>
  <si>
    <t>Arranging Clinic Schedules and Signs (6)</t>
  </si>
  <si>
    <t>Cash Box setup/Change (2)</t>
  </si>
  <si>
    <t>Phone Calls Show Days</t>
  </si>
  <si>
    <t>Total Dallas Pre Show Hours</t>
  </si>
  <si>
    <t>HHE</t>
  </si>
  <si>
    <t>HHW</t>
  </si>
  <si>
    <t>Sat Night Security to Clear Building</t>
  </si>
  <si>
    <t>QQ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</si>
  <si>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</si>
  <si>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</si>
  <si>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</si>
  <si>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</si>
  <si>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</si>
  <si>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</si>
  <si>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</si>
  <si>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</si>
  <si>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</si>
  <si>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</si>
  <si>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LSTR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</si>
  <si>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</si>
  <si>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</si>
  <si>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</si>
  <si>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</si>
  <si>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</si>
  <si>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</si>
  <si>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</si>
  <si>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</si>
  <si>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</si>
  <si>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</si>
  <si>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</si>
  <si>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</si>
  <si>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</si>
  <si>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</si>
  <si>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Overnight Security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</si>
  <si>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</si>
  <si>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</si>
  <si>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</si>
  <si>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</si>
  <si>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</si>
  <si>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</si>
  <si>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</si>
  <si>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</si>
  <si>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</si>
  <si>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</si>
  <si>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</si>
  <si>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EE1</t>
  </si>
  <si>
    <t>Total</t>
  </si>
  <si>
    <t>CC1Sun</t>
  </si>
  <si>
    <t>CC1Sat</t>
  </si>
  <si>
    <t>CC2Sat</t>
  </si>
  <si>
    <t>CC2Sun</t>
  </si>
  <si>
    <t>EE2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</si>
  <si>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</si>
  <si>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</si>
  <si>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</si>
  <si>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</si>
  <si>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</si>
  <si>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</si>
  <si>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</si>
  <si>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</si>
  <si>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</si>
  <si>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</si>
  <si>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</si>
  <si>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</si>
  <si>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</si>
  <si>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</si>
  <si>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</si>
  <si>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JJ2West</t>
  </si>
  <si>
    <t>MMSat</t>
  </si>
  <si>
    <t>MMSun</t>
  </si>
  <si>
    <t>PLANO FRIDAY</t>
  </si>
  <si>
    <t>PLANO SATURDAY</t>
  </si>
  <si>
    <t>PLANO SUNDAY</t>
  </si>
  <si>
    <t xml:space="preserve">Dealer Layout/Space Assignment </t>
  </si>
  <si>
    <t xml:space="preserve">Ass't Space Assign/Floor Walker </t>
  </si>
  <si>
    <t>Grand total hours to fill</t>
  </si>
  <si>
    <t>Hours per share</t>
  </si>
  <si>
    <t>CC3Sat</t>
  </si>
  <si>
    <t>CC3Sun</t>
  </si>
  <si>
    <t>6-7</t>
  </si>
  <si>
    <t>10-7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</si>
  <si>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</si>
  <si>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</si>
  <si>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</si>
  <si>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</si>
  <si>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</si>
  <si>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</si>
  <si>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</si>
  <si>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</si>
  <si>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Pre-HTS</t>
  </si>
  <si>
    <t>Pre-DAT</t>
  </si>
  <si>
    <t>Club</t>
  </si>
  <si>
    <t>Signature</t>
  </si>
  <si>
    <t>NTNG</t>
  </si>
  <si>
    <t>North Texas Narrow Gauge</t>
  </si>
  <si>
    <t>0n30 Texas Outlaws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</si>
  <si>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</si>
  <si>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</si>
  <si>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</si>
  <si>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</si>
  <si>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</si>
  <si>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</si>
  <si>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</si>
  <si>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</si>
  <si>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</si>
  <si>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</si>
  <si>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</si>
  <si>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</si>
  <si>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</si>
  <si>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</si>
  <si>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</si>
  <si>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</si>
  <si>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</si>
  <si>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</si>
  <si>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Overnight Security Saturday</t>
  </si>
  <si>
    <t>Assistant Show Manager Sat</t>
  </si>
  <si>
    <t>Assistant Show Manager Sun</t>
  </si>
  <si>
    <t>Dealer Setup Saturday</t>
  </si>
  <si>
    <t>Money Management/Change Sat</t>
  </si>
  <si>
    <t>Money Management/Change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</si>
  <si>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</si>
  <si>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</si>
  <si>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</si>
  <si>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</si>
  <si>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</si>
  <si>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</si>
  <si>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</si>
  <si>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</si>
  <si>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</si>
  <si>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</si>
  <si>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</si>
  <si>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</si>
  <si>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</si>
  <si>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</si>
  <si>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</si>
  <si>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</si>
  <si>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Layout Tour Support Table East Sat</t>
  </si>
  <si>
    <t>Layout Tour Support Table West Sat</t>
  </si>
  <si>
    <t>Layout Tour Support Table East Sun</t>
  </si>
  <si>
    <t>Layout Tour Support Table West Sun</t>
  </si>
  <si>
    <t>Post Show Parking Attendants Sun</t>
  </si>
  <si>
    <t>JJ1East</t>
  </si>
  <si>
    <t>JJ1West</t>
  </si>
  <si>
    <t>Publicist</t>
  </si>
  <si>
    <t>Participants can-update flag</t>
  </si>
  <si>
    <t>Fort Worth Pre-Show Hours</t>
  </si>
  <si>
    <t>Fort Worth Day Work Hours</t>
  </si>
  <si>
    <t>Plano Pre-Show Hours</t>
  </si>
  <si>
    <t>Plano Day Work Hours</t>
  </si>
  <si>
    <t>Diff</t>
  </si>
  <si>
    <t>Subtotals Fort Worth Pre-Show</t>
  </si>
  <si>
    <t>Subtotals Fort Worth Day Work</t>
  </si>
  <si>
    <t>Totals Fort Worth</t>
  </si>
  <si>
    <t>Subtotals Plano Pre-Show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</si>
  <si>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</si>
  <si>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</si>
  <si>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</si>
  <si>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</si>
  <si>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</si>
  <si>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</si>
  <si>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</si>
  <si>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Print matrices on two letter size pages each</t>
  </si>
  <si>
    <t>Matrix columns</t>
  </si>
  <si>
    <t>Ft Worth day work</t>
  </si>
  <si>
    <t>Ft Worth pre-show</t>
  </si>
  <si>
    <t>Plano pre-show</t>
  </si>
  <si>
    <t>Plano day work</t>
  </si>
  <si>
    <t>last</t>
  </si>
  <si>
    <t>first</t>
  </si>
  <si>
    <t>Preshow task</t>
  </si>
  <si>
    <t>CLUB can-update flag</t>
  </si>
  <si>
    <t>Issue:</t>
  </si>
  <si>
    <t>HTS</t>
  </si>
  <si>
    <t>DAT</t>
  </si>
  <si>
    <t>Plano 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</si>
  <si>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</si>
  <si>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</si>
  <si>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</si>
  <si>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</si>
  <si>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</si>
  <si>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</si>
  <si>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</si>
  <si>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</si>
  <si>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</si>
  <si>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</si>
  <si>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</si>
  <si>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</si>
  <si>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</si>
  <si>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</si>
  <si>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</si>
  <si>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</si>
  <si>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</si>
  <si>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Radio Ads</t>
  </si>
  <si>
    <t>Day sheets check names</t>
  </si>
  <si>
    <t>Tour Brochure Creation/Duplication (9)</t>
  </si>
  <si>
    <t>F4</t>
  </si>
  <si>
    <t>Survey Data</t>
  </si>
  <si>
    <t>1P if possible, Plano only (4 HOURS IN FT. WORTH) Do not double hours</t>
  </si>
  <si>
    <t>R1</t>
  </si>
  <si>
    <t>Tour Brouchure Advertising</t>
  </si>
  <si>
    <t>Tour Brochure Advertising</t>
  </si>
  <si>
    <t>TSMG</t>
  </si>
  <si>
    <t>Texas Special Modular Group</t>
  </si>
  <si>
    <t>Lone Star High Railers / Three Railers</t>
  </si>
  <si>
    <t>Keith Todd</t>
  </si>
  <si>
    <t>Pete Dahlberg</t>
  </si>
  <si>
    <t>CLUB NAME</t>
  </si>
  <si>
    <t>COUNCIL REP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</si>
  <si>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</si>
  <si>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</si>
  <si>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</si>
  <si>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</si>
  <si>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</si>
  <si>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</si>
  <si>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</si>
  <si>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</si>
  <si>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</si>
  <si>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</si>
  <si>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</si>
  <si>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</si>
  <si>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</si>
  <si>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</si>
  <si>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</si>
  <si>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</si>
  <si>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</si>
  <si>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</si>
  <si>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</si>
  <si>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>Plano Fall TS</t>
  </si>
  <si>
    <t xml:space="preserve">PLANO Winter Show Day Work Assignments </t>
  </si>
  <si>
    <t>Plano Fall Show</t>
  </si>
  <si>
    <t>Plano Fall TS Friday</t>
  </si>
  <si>
    <t>BB1</t>
  </si>
  <si>
    <t>Dealer Setup Friday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</si>
  <si>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</si>
  <si>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</si>
  <si>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</si>
  <si>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</si>
  <si>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</si>
  <si>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</si>
  <si>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</si>
  <si>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</si>
  <si>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John Read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</si>
  <si>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</si>
  <si>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</si>
  <si>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</si>
  <si>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</si>
  <si>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</si>
  <si>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</si>
  <si>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</si>
  <si>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</si>
  <si>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</si>
  <si>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CM</t>
  </si>
  <si>
    <t>Friday 9/29/2023</t>
  </si>
  <si>
    <t>Saturday 9/30/2023</t>
  </si>
  <si>
    <t>Sunday 10/1/2023</t>
  </si>
  <si>
    <t>Friday 01/19/2024</t>
  </si>
  <si>
    <t>Saturday 01/20/2024</t>
  </si>
  <si>
    <t>Sunday 01/21/2024</t>
  </si>
  <si>
    <t/>
  </si>
  <si>
    <t>North Texas Railroad Modelers</t>
  </si>
  <si>
    <t>BNRR</t>
  </si>
  <si>
    <t>Kevin Buchanan</t>
  </si>
  <si>
    <t>Marc LaShey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</si>
  <si>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</si>
  <si>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</si>
  <si>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</si>
  <si>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</si>
  <si>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</si>
  <si>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</si>
  <si>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</si>
  <si>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</si>
  <si>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</si>
  <si>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</si>
  <si>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</si>
  <si>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</si>
  <si>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</si>
  <si>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>Version 2   September 2024</t>
  </si>
  <si>
    <t>2024 Show Season V1 7/22/2024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</si>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</sst>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mmmm\ d\,\ yyyy"/>
    <numFmt numFmtId="166" formatCode="##0"/>
    <numFmt numFmtId="167" formatCode="0.000"/>
    <numFmt numFmtId="168" formatCode="[$-409]d\-mmm\-yy;@"/>
  </numFmts>
  <fonts count="33" x14ac:knownFonts="1">
    <font>
      <sz val="10"/>
      <name val="Arial"/>
    </font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sz val="14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C0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1" fillId="7" borderId="0" applyNumberFormat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264">
    <xf numFmtId="0" fontId="0" fillId="0" borderId="0" xfId="0"/>
    <xf numFmtId="0" fontId="0" fillId="0" borderId="1" xfId="0" applyBorder="1" applyAlignment="1">
      <alignment horizontal="left"/>
    </xf>
    <xf numFmtId="14" fontId="0" fillId="0" borderId="2" xfId="0" applyNumberFormat="1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left"/>
    </xf>
    <xf numFmtId="0" fontId="2" fillId="0" borderId="2" xfId="0" applyFont="1" applyBorder="1"/>
    <xf numFmtId="0" fontId="3" fillId="0" borderId="3" xfId="0" applyFont="1" applyBorder="1" applyAlignment="1">
      <alignment horizontal="left"/>
    </xf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4" fillId="0" borderId="5" xfId="0" applyFont="1" applyBorder="1"/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1" xfId="0" applyBorder="1" applyAlignment="1">
      <alignment horizontal="right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18" xfId="0" applyFill="1" applyBorder="1"/>
    <xf numFmtId="0" fontId="0" fillId="2" borderId="0" xfId="0" applyFill="1"/>
    <xf numFmtId="0" fontId="8" fillId="0" borderId="18" xfId="0" applyFont="1" applyBorder="1" applyProtection="1">
      <protection locked="0"/>
    </xf>
    <xf numFmtId="0" fontId="8" fillId="0" borderId="0" xfId="0" applyFont="1" applyProtection="1">
      <protection locked="0"/>
    </xf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8" fillId="0" borderId="19" xfId="0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21" xfId="0" applyFont="1" applyBorder="1" applyProtection="1">
      <protection locked="0"/>
    </xf>
    <xf numFmtId="0" fontId="0" fillId="3" borderId="0" xfId="0" applyFill="1"/>
    <xf numFmtId="0" fontId="8" fillId="3" borderId="9" xfId="0" applyFont="1" applyFill="1" applyBorder="1"/>
    <xf numFmtId="0" fontId="8" fillId="0" borderId="9" xfId="0" applyFont="1" applyBorder="1" applyProtection="1">
      <protection locked="0"/>
    </xf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5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5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5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1" fontId="0" fillId="0" borderId="0" xfId="0" applyNumberFormat="1"/>
    <xf numFmtId="49" fontId="4" fillId="0" borderId="0" xfId="0" applyNumberFormat="1" applyFont="1"/>
    <xf numFmtId="49" fontId="3" fillId="0" borderId="0" xfId="0" applyNumberFormat="1" applyFont="1"/>
    <xf numFmtId="0" fontId="0" fillId="0" borderId="0" xfId="0" applyAlignment="1">
      <alignment horizontal="right"/>
    </xf>
    <xf numFmtId="0" fontId="2" fillId="5" borderId="9" xfId="0" applyFont="1" applyFill="1" applyBorder="1" applyAlignment="1">
      <alignment horizontal="center"/>
    </xf>
    <xf numFmtId="49" fontId="3" fillId="0" borderId="26" xfId="0" applyNumberFormat="1" applyFont="1" applyBorder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6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2" fillId="4" borderId="0" xfId="0" applyFont="1" applyFill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7" fontId="0" fillId="0" borderId="0" xfId="0" applyNumberFormat="1" applyAlignment="1">
      <alignment horizontal="right"/>
    </xf>
    <xf numFmtId="167" fontId="0" fillId="0" borderId="1" xfId="0" applyNumberFormat="1" applyBorder="1" applyAlignment="1">
      <alignment horizontal="right"/>
    </xf>
    <xf numFmtId="167" fontId="6" fillId="0" borderId="3" xfId="0" applyNumberFormat="1" applyFont="1" applyBorder="1" applyAlignment="1">
      <alignment horizontal="right"/>
    </xf>
    <xf numFmtId="167" fontId="0" fillId="0" borderId="16" xfId="0" applyNumberFormat="1" applyBorder="1" applyAlignment="1">
      <alignment horizontal="right"/>
    </xf>
    <xf numFmtId="167" fontId="1" fillId="0" borderId="0" xfId="0" applyNumberFormat="1" applyFont="1" applyAlignment="1">
      <alignment horizontal="right"/>
    </xf>
    <xf numFmtId="0" fontId="0" fillId="0" borderId="3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31" xfId="0" applyBorder="1"/>
    <xf numFmtId="0" fontId="0" fillId="0" borderId="26" xfId="0" applyBorder="1"/>
    <xf numFmtId="0" fontId="0" fillId="0" borderId="32" xfId="0" applyBorder="1" applyAlignment="1">
      <alignment horizontal="left"/>
    </xf>
    <xf numFmtId="0" fontId="0" fillId="0" borderId="32" xfId="0" applyBorder="1" applyAlignment="1">
      <alignment horizontal="center"/>
    </xf>
    <xf numFmtId="0" fontId="4" fillId="0" borderId="15" xfId="0" applyFont="1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26" xfId="0" applyBorder="1" applyAlignment="1">
      <alignment horizontal="right"/>
    </xf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7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7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7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right"/>
    </xf>
    <xf numFmtId="167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3" fillId="0" borderId="37" xfId="0" applyFont="1" applyBorder="1" applyAlignment="1">
      <alignment horizontal="center"/>
    </xf>
    <xf numFmtId="0" fontId="5" fillId="0" borderId="38" xfId="0" applyFont="1" applyBorder="1"/>
    <xf numFmtId="0" fontId="3" fillId="0" borderId="38" xfId="0" applyFont="1" applyBorder="1" applyAlignment="1">
      <alignment textRotation="255"/>
    </xf>
    <xf numFmtId="0" fontId="0" fillId="0" borderId="38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3" fillId="0" borderId="11" xfId="0" applyFont="1" applyBorder="1" applyAlignment="1">
      <alignment horizontal="right"/>
    </xf>
    <xf numFmtId="0" fontId="3" fillId="0" borderId="38" xfId="0" applyFont="1" applyBorder="1"/>
    <xf numFmtId="0" fontId="0" fillId="0" borderId="38" xfId="0" applyBorder="1"/>
    <xf numFmtId="164" fontId="3" fillId="0" borderId="26" xfId="0" applyNumberFormat="1" applyFont="1" applyBorder="1" applyAlignment="1">
      <alignment horizontal="right"/>
    </xf>
    <xf numFmtId="0" fontId="0" fillId="5" borderId="0" xfId="0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0" fillId="5" borderId="0" xfId="2" applyFill="1" applyAlignment="1" applyProtection="1">
      <protection locked="0"/>
    </xf>
    <xf numFmtId="0" fontId="0" fillId="4" borderId="0" xfId="0" applyFill="1" applyAlignment="1">
      <alignment horizontal="center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6" fontId="8" fillId="0" borderId="0" xfId="0" applyNumberFormat="1" applyFont="1"/>
    <xf numFmtId="0" fontId="0" fillId="6" borderId="15" xfId="0" applyFill="1" applyBorder="1" applyAlignment="1">
      <alignment horizontal="center"/>
    </xf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7" fontId="22" fillId="0" borderId="0" xfId="0" applyNumberFormat="1" applyFont="1" applyAlignment="1">
      <alignment horizontal="right"/>
    </xf>
    <xf numFmtId="167" fontId="23" fillId="0" borderId="0" xfId="0" applyNumberFormat="1" applyFont="1" applyAlignment="1">
      <alignment horizontal="right"/>
    </xf>
    <xf numFmtId="167" fontId="24" fillId="0" borderId="0" xfId="0" applyNumberFormat="1" applyFont="1" applyAlignment="1">
      <alignment horizontal="right"/>
    </xf>
    <xf numFmtId="167" fontId="25" fillId="0" borderId="0" xfId="0" applyNumberFormat="1" applyFont="1" applyAlignment="1">
      <alignment horizontal="right"/>
    </xf>
    <xf numFmtId="167" fontId="18" fillId="0" borderId="0" xfId="0" applyNumberFormat="1" applyFont="1" applyAlignment="1">
      <alignment horizontal="center"/>
    </xf>
    <xf numFmtId="167" fontId="26" fillId="0" borderId="3" xfId="0" applyNumberFormat="1" applyFont="1" applyBorder="1" applyAlignment="1">
      <alignment horizontal="right"/>
    </xf>
    <xf numFmtId="167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3" fillId="0" borderId="40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164" fontId="4" fillId="0" borderId="11" xfId="0" applyNumberFormat="1" applyFont="1" applyBorder="1"/>
    <xf numFmtId="164" fontId="27" fillId="0" borderId="11" xfId="0" applyNumberFormat="1" applyFont="1" applyBorder="1"/>
    <xf numFmtId="168" fontId="2" fillId="0" borderId="0" xfId="0" applyNumberFormat="1" applyFont="1"/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167" fontId="0" fillId="5" borderId="0" xfId="0" applyNumberFormat="1" applyFill="1" applyProtection="1">
      <protection locked="0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1" xfId="0" applyFont="1" applyBorder="1"/>
    <xf numFmtId="0" fontId="8" fillId="0" borderId="11" xfId="0" applyFont="1" applyBorder="1"/>
    <xf numFmtId="0" fontId="6" fillId="0" borderId="0" xfId="0" applyFont="1"/>
    <xf numFmtId="0" fontId="31" fillId="7" borderId="0" xfId="1"/>
    <xf numFmtId="0" fontId="28" fillId="7" borderId="0" xfId="1" applyFont="1"/>
    <xf numFmtId="0" fontId="0" fillId="8" borderId="15" xfId="0" applyFill="1" applyBorder="1" applyAlignment="1">
      <alignment horizontal="center"/>
    </xf>
    <xf numFmtId="49" fontId="32" fillId="5" borderId="0" xfId="0" applyNumberFormat="1" applyFont="1" applyFill="1" applyAlignment="1">
      <alignment horizontal="center" vertical="center"/>
    </xf>
    <xf numFmtId="0" fontId="0" fillId="0" borderId="41" xfId="0" applyBorder="1" applyAlignment="1">
      <alignment textRotation="255"/>
    </xf>
    <xf numFmtId="0" fontId="0" fillId="0" borderId="15" xfId="0" applyBorder="1"/>
    <xf numFmtId="0" fontId="0" fillId="0" borderId="32" xfId="0" applyBorder="1"/>
    <xf numFmtId="0" fontId="0" fillId="0" borderId="42" xfId="0" applyBorder="1"/>
    <xf numFmtId="0" fontId="0" fillId="0" borderId="41" xfId="0" applyBorder="1"/>
    <xf numFmtId="164" fontId="3" fillId="0" borderId="11" xfId="0" applyNumberFormat="1" applyFont="1" applyBorder="1"/>
    <xf numFmtId="0" fontId="14" fillId="9" borderId="0" xfId="0" applyFont="1" applyFill="1" applyAlignment="1">
      <alignment horizontal="center" vertical="center"/>
    </xf>
    <xf numFmtId="0" fontId="14" fillId="9" borderId="0" xfId="0" applyFont="1" applyFill="1"/>
    <xf numFmtId="0" fontId="2" fillId="9" borderId="0" xfId="0" applyFont="1" applyFill="1" applyAlignment="1">
      <alignment vertical="center"/>
    </xf>
    <xf numFmtId="0" fontId="0" fillId="10" borderId="0" xfId="0" applyFill="1"/>
    <xf numFmtId="0" fontId="0" fillId="10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8" fillId="3" borderId="11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167" fontId="4" fillId="0" borderId="0" xfId="0" applyNumberFormat="1" applyFont="1" applyAlignment="1">
      <alignment horizontal="right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164" fontId="30" fillId="0" borderId="11" xfId="0" applyNumberFormat="1" applyFont="1" applyBorder="1"/>
    <xf numFmtId="49" fontId="4" fillId="0" borderId="11" xfId="0" applyNumberFormat="1" applyFont="1" applyBorder="1"/>
    <xf numFmtId="49" fontId="4" fillId="0" borderId="25" xfId="0" applyNumberFormat="1" applyFont="1" applyBorder="1"/>
    <xf numFmtId="0" fontId="8" fillId="11" borderId="11" xfId="0" applyFont="1" applyFill="1" applyBorder="1" applyAlignment="1" applyProtection="1">
      <alignment horizontal="center"/>
      <protection locked="0"/>
    </xf>
    <xf numFmtId="0" fontId="8" fillId="0" borderId="11" xfId="0" applyFont="1" applyBorder="1" applyProtection="1">
      <protection locked="0"/>
    </xf>
    <xf numFmtId="0" fontId="8" fillId="12" borderId="11" xfId="0" applyFont="1" applyFill="1" applyBorder="1"/>
    <xf numFmtId="0" fontId="8" fillId="0" borderId="9" xfId="0" applyFont="1" applyBorder="1"/>
    <xf numFmtId="0" fontId="8" fillId="0" borderId="18" xfId="0" applyFont="1" applyBorder="1"/>
    <xf numFmtId="0" fontId="12" fillId="0" borderId="18" xfId="0" applyFont="1" applyBorder="1" applyProtection="1">
      <protection locked="0"/>
    </xf>
    <xf numFmtId="0" fontId="8" fillId="12" borderId="18" xfId="0" applyFont="1" applyFill="1" applyBorder="1" applyProtection="1">
      <protection locked="0"/>
    </xf>
    <xf numFmtId="0" fontId="8" fillId="0" borderId="18" xfId="0" quotePrefix="1" applyFont="1" applyBorder="1" applyProtection="1">
      <protection locked="0"/>
    </xf>
    <xf numFmtId="0" fontId="8" fillId="12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2" fillId="12" borderId="18" xfId="0" applyFont="1" applyFill="1" applyBorder="1" applyProtection="1">
      <protection locked="0"/>
    </xf>
    <xf numFmtId="0" fontId="8" fillId="12" borderId="9" xfId="0" applyFont="1" applyFill="1" applyBorder="1" applyProtection="1">
      <protection locked="0"/>
    </xf>
    <xf numFmtId="0" fontId="8" fillId="0" borderId="18" xfId="0" applyFont="1" applyBorder="1" applyAlignment="1" applyProtection="1">
      <alignment horizontal="center"/>
      <protection locked="0"/>
    </xf>
    <xf numFmtId="0" fontId="8" fillId="12" borderId="0" xfId="0" applyFont="1" applyFill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9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5" fillId="0" borderId="2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2" fillId="0" borderId="0" xfId="0" applyFont="1" applyBorder="1"/>
    <xf numFmtId="0" fontId="8" fillId="5" borderId="0" xfId="0" applyFont="1" applyFill="1" applyBorder="1" applyAlignment="1" applyProtection="1">
      <alignment horizontal="center"/>
      <protection locked="0"/>
    </xf>
    <xf numFmtId="0" fontId="12" fillId="0" borderId="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</cellXfs>
  <cellStyles count="3">
    <cellStyle name="40% - Accent1" xfId="1" builtinId="31"/>
    <cellStyle name="Hyperlink" xfId="2" builtinId="8"/>
    <cellStyle name="Normal" xfId="0" builtinId="0"/>
  </cellStyles>
  <dxfs count="6"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8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9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9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A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C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HTS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HTS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E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0" dataDxfId="1" headerRowBorderDxfId="4" tableBorderDxfId="5" totalsRowBorderDxfId="3">
  <autoFilter ref="A7:A31" xr:uid="{53F702CB-5012-42EC-809C-337ABCC39699}"/>
  <tableColumns count="1">
    <tableColumn id="1" xr3:uid="{F745C96E-787D-46B2-9E8E-BD9A59A389BE}" name="SYMBOL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showGridLines="0" tabSelected="1" topLeftCell="A4" zoomScale="90" zoomScaleNormal="90" zoomScaleSheetLayoutView="80" workbookViewId="0">
      <selection activeCell="A8" sqref="A8:XFD30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3" customWidth="1"/>
    <col min="6" max="6" width="11.42578125" style="110" customWidth="1"/>
    <col min="7" max="7" width="20" style="185" customWidth="1"/>
    <col min="8" max="8" width="86.42578125" customWidth="1"/>
    <col min="9" max="9" width="12.28515625" bestFit="1" customWidth="1"/>
  </cols>
  <sheetData>
    <row r="1" spans="1:18" x14ac:dyDescent="0.2">
      <c r="A1" s="103"/>
      <c r="B1" s="102"/>
      <c r="C1" s="29"/>
      <c r="D1" s="30"/>
      <c r="E1" s="115"/>
      <c r="F1" s="111"/>
      <c r="G1" s="114"/>
      <c r="K1" s="3"/>
    </row>
    <row r="2" spans="1:18" ht="18" x14ac:dyDescent="0.25">
      <c r="A2" s="251" t="s">
        <v>105</v>
      </c>
      <c r="B2" s="252"/>
      <c r="C2" s="252"/>
      <c r="D2" s="253"/>
      <c r="E2" s="105"/>
      <c r="F2" s="112"/>
      <c r="G2" s="182"/>
      <c r="H2" s="18"/>
      <c r="I2" s="18"/>
      <c r="J2" s="18"/>
      <c r="K2" s="18"/>
      <c r="L2" t="s">
        <v>372</v>
      </c>
    </row>
    <row r="3" spans="1:18" ht="18" x14ac:dyDescent="0.25">
      <c r="A3" s="251"/>
      <c r="B3" s="252"/>
      <c r="C3" s="252"/>
      <c r="D3" s="253"/>
      <c r="E3" s="105"/>
      <c r="F3" s="112"/>
      <c r="G3" s="182"/>
      <c r="H3" s="18"/>
      <c r="I3" s="18"/>
      <c r="J3" s="18"/>
      <c r="K3" s="18"/>
      <c r="L3" t="s">
        <v>371</v>
      </c>
    </row>
    <row r="4" spans="1:18" ht="18" x14ac:dyDescent="0.25">
      <c r="A4" s="36"/>
      <c r="B4" s="18"/>
      <c r="C4" s="18"/>
      <c r="D4" s="35"/>
      <c r="E4" s="105"/>
      <c r="F4" s="112"/>
      <c r="G4" s="182"/>
      <c r="H4" s="18"/>
      <c r="I4" s="18"/>
      <c r="J4" s="18"/>
      <c r="K4" s="18"/>
    </row>
    <row r="5" spans="1:18" ht="16.5" thickBot="1" x14ac:dyDescent="0.3">
      <c r="A5" s="132"/>
      <c r="B5" s="133" t="str">
        <f>Issue</f>
        <v>2024 Show Season V1 7/22/2024</v>
      </c>
      <c r="C5" s="201" t="s">
        <v>346</v>
      </c>
      <c r="D5" s="134"/>
      <c r="E5" s="135"/>
      <c r="F5" s="136"/>
      <c r="G5" s="183"/>
      <c r="K5" s="3"/>
    </row>
    <row r="6" spans="1:18" ht="16.5" thickBot="1" x14ac:dyDescent="0.3">
      <c r="A6" s="132"/>
      <c r="B6" s="133"/>
      <c r="C6" s="151" t="s">
        <v>106</v>
      </c>
      <c r="D6" s="134"/>
      <c r="E6" s="137" t="s">
        <v>4</v>
      </c>
      <c r="F6" s="138"/>
      <c r="G6" s="184"/>
      <c r="H6" s="150" t="s">
        <v>267</v>
      </c>
      <c r="I6" s="254" t="s">
        <v>373</v>
      </c>
      <c r="J6" s="254"/>
      <c r="K6" s="254"/>
      <c r="L6" s="255"/>
    </row>
    <row r="7" spans="1:18" ht="15" x14ac:dyDescent="0.2">
      <c r="A7" s="263" t="s">
        <v>107</v>
      </c>
      <c r="B7" s="139"/>
      <c r="C7" s="152" t="s">
        <v>108</v>
      </c>
      <c r="D7" s="140"/>
      <c r="E7" s="141" t="s">
        <v>204</v>
      </c>
      <c r="F7" s="142" t="s">
        <v>206</v>
      </c>
      <c r="G7" s="186" t="s">
        <v>284</v>
      </c>
      <c r="K7" s="19"/>
    </row>
    <row r="8" spans="1:18" ht="15" x14ac:dyDescent="0.2">
      <c r="A8" s="260" t="s">
        <v>118</v>
      </c>
      <c r="B8" s="139" t="s">
        <v>191</v>
      </c>
      <c r="C8" s="228">
        <v>2</v>
      </c>
      <c r="D8" s="143">
        <f t="shared" ref="D8:D30" si="0">D7+1</f>
        <v>1</v>
      </c>
      <c r="E8" s="137">
        <v>38</v>
      </c>
      <c r="F8" s="187">
        <v>-4.8780487804876316E-2</v>
      </c>
      <c r="G8" s="229" t="s">
        <v>339</v>
      </c>
      <c r="H8" s="189" t="s">
        <v>370</v>
      </c>
      <c r="I8" s="168"/>
      <c r="J8" s="168"/>
      <c r="K8" s="169"/>
      <c r="L8" s="168"/>
      <c r="M8" s="168"/>
      <c r="N8" s="189"/>
      <c r="O8" s="168"/>
      <c r="P8" s="168"/>
      <c r="Q8" s="168"/>
      <c r="R8" s="168"/>
    </row>
    <row r="9" spans="1:18" ht="15" x14ac:dyDescent="0.2">
      <c r="A9" s="261" t="s">
        <v>304</v>
      </c>
      <c r="B9" s="205" t="s">
        <v>305</v>
      </c>
      <c r="C9" s="237">
        <v>0</v>
      </c>
      <c r="D9" s="143">
        <f t="shared" si="0"/>
        <v>2</v>
      </c>
      <c r="E9" s="137">
        <v>0</v>
      </c>
      <c r="F9" s="188">
        <v>0</v>
      </c>
      <c r="G9" s="229" t="s">
        <v>331</v>
      </c>
      <c r="H9" s="189"/>
      <c r="I9" s="168"/>
      <c r="J9" s="168"/>
      <c r="K9" s="169"/>
      <c r="L9" s="168"/>
      <c r="M9" s="168"/>
      <c r="N9" s="189"/>
      <c r="O9" s="168"/>
      <c r="P9" s="189"/>
      <c r="Q9" s="168"/>
      <c r="R9" s="168"/>
    </row>
    <row r="10" spans="1:18" ht="15" x14ac:dyDescent="0.2">
      <c r="A10" s="260" t="s">
        <v>27</v>
      </c>
      <c r="B10" s="139" t="s">
        <v>195</v>
      </c>
      <c r="C10" s="228">
        <v>2</v>
      </c>
      <c r="D10" s="143">
        <f t="shared" si="0"/>
        <v>3</v>
      </c>
      <c r="E10" s="137">
        <v>38</v>
      </c>
      <c r="F10" s="187">
        <v>-4.8780487804876316E-2</v>
      </c>
      <c r="G10" s="229" t="s">
        <v>276</v>
      </c>
      <c r="H10" s="168" t="s">
        <v>285</v>
      </c>
      <c r="I10" s="168"/>
      <c r="J10" s="168"/>
      <c r="K10" s="169"/>
      <c r="L10" s="168"/>
      <c r="M10" s="200"/>
      <c r="N10" s="168"/>
      <c r="O10" s="168"/>
      <c r="P10" s="168"/>
      <c r="Q10" s="168"/>
      <c r="R10" s="168"/>
    </row>
    <row r="11" spans="1:18" ht="15" x14ac:dyDescent="0.2">
      <c r="A11" s="260" t="s">
        <v>109</v>
      </c>
      <c r="B11" s="139" t="s">
        <v>110</v>
      </c>
      <c r="C11" s="228">
        <v>1</v>
      </c>
      <c r="D11" s="143">
        <f t="shared" si="0"/>
        <v>4</v>
      </c>
      <c r="E11" s="137">
        <v>19</v>
      </c>
      <c r="F11" s="187">
        <v>-2.4390243902438158E-2</v>
      </c>
      <c r="G11" s="229" t="s">
        <v>335</v>
      </c>
      <c r="H11" s="189" t="s">
        <v>293</v>
      </c>
      <c r="I11" s="168"/>
      <c r="J11" s="168"/>
      <c r="K11" s="169"/>
      <c r="L11" s="168"/>
      <c r="M11" s="168"/>
      <c r="N11" s="168"/>
      <c r="O11" s="168"/>
      <c r="P11" s="168"/>
      <c r="Q11" s="168"/>
      <c r="R11" s="168"/>
    </row>
    <row r="12" spans="1:18" ht="15" x14ac:dyDescent="0.2">
      <c r="A12" s="260" t="s">
        <v>19</v>
      </c>
      <c r="B12" s="139" t="s">
        <v>111</v>
      </c>
      <c r="C12" s="228">
        <v>2</v>
      </c>
      <c r="D12" s="143">
        <f t="shared" si="0"/>
        <v>5</v>
      </c>
      <c r="E12" s="137">
        <v>38</v>
      </c>
      <c r="F12" s="187">
        <v>-4.8780487804876316E-2</v>
      </c>
      <c r="G12" s="229" t="s">
        <v>336</v>
      </c>
      <c r="H12" s="189"/>
      <c r="I12" s="168"/>
      <c r="J12" s="168"/>
      <c r="K12" s="169"/>
      <c r="L12" s="168"/>
      <c r="M12" s="168"/>
      <c r="N12" s="168"/>
      <c r="O12" s="168"/>
      <c r="P12" s="168"/>
      <c r="Q12" s="168"/>
      <c r="R12" s="168"/>
    </row>
    <row r="13" spans="1:18" ht="15" x14ac:dyDescent="0.2">
      <c r="A13" s="260" t="s">
        <v>48</v>
      </c>
      <c r="B13" s="139" t="s">
        <v>112</v>
      </c>
      <c r="C13" s="228">
        <v>3</v>
      </c>
      <c r="D13" s="143">
        <f t="shared" si="0"/>
        <v>6</v>
      </c>
      <c r="E13" s="137">
        <v>57</v>
      </c>
      <c r="F13" s="187">
        <v>-7.3170731707314474E-2</v>
      </c>
      <c r="G13" s="229" t="s">
        <v>308</v>
      </c>
      <c r="H13" s="168"/>
      <c r="I13" s="168"/>
      <c r="J13" s="168"/>
      <c r="K13" s="169"/>
      <c r="L13" s="168"/>
      <c r="M13" s="168"/>
      <c r="N13" s="168"/>
      <c r="O13" s="168"/>
      <c r="P13" s="168"/>
      <c r="Q13" s="168"/>
      <c r="R13" s="168"/>
    </row>
    <row r="14" spans="1:18" ht="15" x14ac:dyDescent="0.2">
      <c r="A14" s="260" t="s">
        <v>114</v>
      </c>
      <c r="B14" s="205" t="s">
        <v>299</v>
      </c>
      <c r="C14" s="228">
        <v>2</v>
      </c>
      <c r="D14" s="143">
        <f t="shared" si="0"/>
        <v>7</v>
      </c>
      <c r="E14" s="137">
        <v>37</v>
      </c>
      <c r="F14" s="187">
        <v>-1.0487804878048763</v>
      </c>
      <c r="G14" s="229" t="s">
        <v>337</v>
      </c>
      <c r="H14" s="168"/>
      <c r="I14" s="168"/>
      <c r="J14" s="168"/>
      <c r="K14" s="169"/>
      <c r="L14" s="168"/>
      <c r="M14" s="168"/>
      <c r="N14" s="168"/>
      <c r="O14" s="168"/>
      <c r="P14" s="168"/>
      <c r="Q14" s="168"/>
      <c r="R14" s="168"/>
    </row>
    <row r="15" spans="1:18" ht="15" x14ac:dyDescent="0.2">
      <c r="A15" s="260" t="s">
        <v>39</v>
      </c>
      <c r="B15" s="139" t="s">
        <v>113</v>
      </c>
      <c r="C15" s="228">
        <v>2</v>
      </c>
      <c r="D15" s="143">
        <f t="shared" si="0"/>
        <v>8</v>
      </c>
      <c r="E15" s="137">
        <v>40</v>
      </c>
      <c r="F15" s="188">
        <v>1.9512195121951237</v>
      </c>
      <c r="G15" s="229" t="s">
        <v>278</v>
      </c>
      <c r="H15" s="189" t="s">
        <v>334</v>
      </c>
      <c r="I15" s="168"/>
      <c r="J15" s="168"/>
      <c r="K15" s="169"/>
      <c r="L15" s="168"/>
      <c r="M15" s="168"/>
      <c r="N15" s="168"/>
      <c r="O15" s="168"/>
      <c r="P15" s="168"/>
      <c r="Q15" s="168"/>
      <c r="R15" s="168"/>
    </row>
    <row r="16" spans="1:18" ht="15" x14ac:dyDescent="0.2">
      <c r="A16" s="260" t="s">
        <v>116</v>
      </c>
      <c r="B16" s="144" t="s">
        <v>117</v>
      </c>
      <c r="C16" s="228">
        <v>2</v>
      </c>
      <c r="D16" s="143">
        <f t="shared" si="0"/>
        <v>9</v>
      </c>
      <c r="E16" s="137">
        <v>48</v>
      </c>
      <c r="F16" s="188">
        <v>9.9512195121951237</v>
      </c>
      <c r="G16" s="229" t="s">
        <v>301</v>
      </c>
      <c r="H16" s="189"/>
      <c r="I16" s="168"/>
      <c r="J16" s="168"/>
      <c r="K16" s="169"/>
      <c r="L16" s="168"/>
      <c r="M16" s="168"/>
      <c r="N16" s="168"/>
      <c r="O16" s="168"/>
      <c r="P16" s="168"/>
      <c r="Q16" s="168"/>
      <c r="R16" s="168"/>
    </row>
    <row r="17" spans="1:18" ht="15" x14ac:dyDescent="0.2">
      <c r="A17" s="260" t="s">
        <v>115</v>
      </c>
      <c r="B17" s="139" t="s">
        <v>193</v>
      </c>
      <c r="C17" s="228">
        <v>2</v>
      </c>
      <c r="D17" s="143">
        <f t="shared" si="0"/>
        <v>10</v>
      </c>
      <c r="E17" s="137">
        <v>38</v>
      </c>
      <c r="F17" s="187">
        <v>-4.8780487804876316E-2</v>
      </c>
      <c r="G17" s="229" t="s">
        <v>283</v>
      </c>
      <c r="H17" s="189"/>
      <c r="I17" s="168"/>
      <c r="J17" s="168"/>
      <c r="K17" s="169"/>
      <c r="L17" s="168"/>
      <c r="M17" s="168"/>
      <c r="N17" s="168"/>
      <c r="O17" s="168"/>
      <c r="P17" s="168"/>
      <c r="Q17" s="168"/>
      <c r="R17" s="168"/>
    </row>
    <row r="18" spans="1:18" ht="15" x14ac:dyDescent="0.2">
      <c r="A18" s="261" t="s">
        <v>306</v>
      </c>
      <c r="B18" s="205" t="s">
        <v>307</v>
      </c>
      <c r="C18" s="228">
        <v>1</v>
      </c>
      <c r="D18" s="143">
        <f t="shared" si="0"/>
        <v>11</v>
      </c>
      <c r="E18" s="137">
        <v>19</v>
      </c>
      <c r="F18" s="187">
        <v>-2.4390243902438158E-2</v>
      </c>
      <c r="G18" s="229" t="s">
        <v>333</v>
      </c>
      <c r="H18" s="189"/>
      <c r="I18" s="168"/>
      <c r="J18" s="168"/>
      <c r="K18" s="169"/>
      <c r="L18" s="168"/>
      <c r="M18" s="168"/>
      <c r="N18" s="168"/>
      <c r="O18" s="189"/>
      <c r="P18" s="168"/>
      <c r="Q18" s="168"/>
      <c r="R18" s="168"/>
    </row>
    <row r="19" spans="1:18" ht="15" x14ac:dyDescent="0.2">
      <c r="A19" s="260" t="s">
        <v>189</v>
      </c>
      <c r="B19" s="139" t="s">
        <v>190</v>
      </c>
      <c r="C19" s="228">
        <v>1</v>
      </c>
      <c r="D19" s="143">
        <f t="shared" si="0"/>
        <v>12</v>
      </c>
      <c r="E19" s="137">
        <v>19</v>
      </c>
      <c r="F19" s="187">
        <v>-2.4390243902438158E-2</v>
      </c>
      <c r="G19" s="229" t="s">
        <v>358</v>
      </c>
      <c r="H19" s="189"/>
      <c r="I19" s="168"/>
      <c r="J19" s="168"/>
      <c r="K19" s="169"/>
      <c r="L19" s="168"/>
      <c r="M19" s="168"/>
      <c r="N19" s="168"/>
      <c r="O19" s="168"/>
      <c r="P19" s="168"/>
      <c r="Q19" s="168"/>
      <c r="R19" s="168"/>
    </row>
    <row r="20" spans="1:18" ht="15" x14ac:dyDescent="0.2">
      <c r="A20" s="260" t="s">
        <v>32</v>
      </c>
      <c r="B20" s="139" t="s">
        <v>192</v>
      </c>
      <c r="C20" s="228">
        <v>2</v>
      </c>
      <c r="D20" s="143">
        <f t="shared" si="0"/>
        <v>13</v>
      </c>
      <c r="E20" s="137">
        <v>38</v>
      </c>
      <c r="F20" s="187">
        <v>-4.8780487804876316E-2</v>
      </c>
      <c r="G20" s="229" t="s">
        <v>300</v>
      </c>
      <c r="H20" s="168" t="s">
        <v>271</v>
      </c>
      <c r="I20" s="168"/>
      <c r="J20" s="168"/>
      <c r="K20" s="169"/>
      <c r="L20" s="168"/>
      <c r="M20" s="168"/>
      <c r="N20" s="168"/>
      <c r="O20" s="168"/>
      <c r="P20" s="168"/>
      <c r="Q20" s="168"/>
      <c r="R20" s="168"/>
    </row>
    <row r="21" spans="1:18" ht="15" x14ac:dyDescent="0.2">
      <c r="A21" s="261" t="s">
        <v>356</v>
      </c>
      <c r="B21" s="205" t="s">
        <v>355</v>
      </c>
      <c r="C21" s="228">
        <v>2</v>
      </c>
      <c r="D21" s="143">
        <f t="shared" si="0"/>
        <v>14</v>
      </c>
      <c r="E21" s="137">
        <v>0</v>
      </c>
      <c r="F21" s="187">
        <v>-38.048780487804876</v>
      </c>
      <c r="G21" s="229" t="s">
        <v>359</v>
      </c>
      <c r="H21" s="189" t="s">
        <v>360</v>
      </c>
      <c r="I21" s="168"/>
      <c r="J21" s="168"/>
      <c r="K21" s="169"/>
      <c r="L21" s="168"/>
      <c r="M21" s="168"/>
      <c r="N21" s="168"/>
      <c r="O21" s="168"/>
      <c r="P21" s="168"/>
      <c r="Q21" s="168"/>
      <c r="R21" s="168"/>
    </row>
    <row r="22" spans="1:18" ht="15" x14ac:dyDescent="0.2">
      <c r="A22" s="260" t="s">
        <v>125</v>
      </c>
      <c r="B22" s="139" t="s">
        <v>126</v>
      </c>
      <c r="C22" s="228">
        <v>2</v>
      </c>
      <c r="D22" s="143">
        <f t="shared" si="0"/>
        <v>15</v>
      </c>
      <c r="E22" s="137">
        <v>37</v>
      </c>
      <c r="F22" s="187">
        <v>-1.0487804878048763</v>
      </c>
      <c r="G22" s="229" t="s">
        <v>338</v>
      </c>
      <c r="H22" s="168"/>
      <c r="I22" s="168"/>
      <c r="J22" s="168"/>
      <c r="K22" s="169"/>
      <c r="L22" s="168"/>
      <c r="M22" s="168"/>
      <c r="N22" s="168"/>
      <c r="O22" s="168"/>
      <c r="P22" s="168"/>
      <c r="Q22" s="168"/>
      <c r="R22" s="168"/>
    </row>
    <row r="23" spans="1:18" ht="15" x14ac:dyDescent="0.2">
      <c r="A23" s="260" t="s">
        <v>119</v>
      </c>
      <c r="B23" s="139" t="s">
        <v>194</v>
      </c>
      <c r="C23" s="228">
        <v>1</v>
      </c>
      <c r="D23" s="143">
        <f t="shared" si="0"/>
        <v>16</v>
      </c>
      <c r="E23" s="137">
        <v>18</v>
      </c>
      <c r="F23" s="187">
        <v>-1.0243902439024382</v>
      </c>
      <c r="G23" s="229" t="s">
        <v>332</v>
      </c>
      <c r="H23" s="168"/>
      <c r="I23" s="168"/>
      <c r="J23" s="168"/>
      <c r="K23" s="169"/>
      <c r="L23" s="168"/>
      <c r="M23" s="168"/>
      <c r="N23" s="168"/>
      <c r="O23" s="168"/>
      <c r="P23" s="168"/>
      <c r="Q23" s="168"/>
      <c r="R23" s="168"/>
    </row>
    <row r="24" spans="1:18" ht="15" x14ac:dyDescent="0.2">
      <c r="A24" s="260" t="s">
        <v>50</v>
      </c>
      <c r="B24" s="139" t="s">
        <v>122</v>
      </c>
      <c r="C24" s="228">
        <v>3</v>
      </c>
      <c r="D24" s="143">
        <f t="shared" si="0"/>
        <v>17</v>
      </c>
      <c r="E24" s="137">
        <v>56</v>
      </c>
      <c r="F24" s="187">
        <v>-1.0731707317073145</v>
      </c>
      <c r="G24" s="229" t="s">
        <v>357</v>
      </c>
      <c r="H24" s="189"/>
      <c r="I24" s="168"/>
      <c r="J24" s="168"/>
      <c r="K24" s="169"/>
      <c r="L24" s="168"/>
      <c r="M24" s="168"/>
      <c r="N24" s="168"/>
      <c r="O24" s="189"/>
      <c r="P24" s="168"/>
      <c r="Q24" s="168"/>
      <c r="R24" s="168"/>
    </row>
    <row r="25" spans="1:18" ht="15" x14ac:dyDescent="0.2">
      <c r="A25" s="260" t="s">
        <v>120</v>
      </c>
      <c r="B25" s="139" t="s">
        <v>121</v>
      </c>
      <c r="C25" s="228">
        <v>2</v>
      </c>
      <c r="D25" s="143">
        <f t="shared" si="0"/>
        <v>18</v>
      </c>
      <c r="E25" s="137">
        <v>37</v>
      </c>
      <c r="F25" s="187">
        <v>-1.0487804878048763</v>
      </c>
      <c r="G25" s="229" t="s">
        <v>279</v>
      </c>
      <c r="H25" s="168"/>
      <c r="I25" s="168"/>
      <c r="J25" s="168"/>
      <c r="K25" s="169"/>
      <c r="L25" s="168"/>
      <c r="M25" s="168"/>
      <c r="N25" s="168"/>
      <c r="O25" s="168"/>
      <c r="P25" s="168"/>
      <c r="Q25" s="168"/>
      <c r="R25" s="168"/>
    </row>
    <row r="26" spans="1:18" ht="15" x14ac:dyDescent="0.2">
      <c r="A26" s="260" t="s">
        <v>58</v>
      </c>
      <c r="B26" s="139" t="s">
        <v>202</v>
      </c>
      <c r="C26" s="228">
        <v>3</v>
      </c>
      <c r="D26" s="143">
        <f t="shared" si="0"/>
        <v>19</v>
      </c>
      <c r="E26" s="137">
        <v>56</v>
      </c>
      <c r="F26" s="187">
        <v>-1.0731707317073145</v>
      </c>
      <c r="G26" s="229" t="s">
        <v>280</v>
      </c>
      <c r="H26" s="189"/>
      <c r="I26" s="168"/>
      <c r="J26" s="168"/>
      <c r="K26" s="169"/>
      <c r="L26" s="168"/>
      <c r="M26" s="168"/>
      <c r="N26" s="168"/>
      <c r="O26" s="168"/>
      <c r="P26" s="168"/>
      <c r="Q26" s="168"/>
      <c r="R26" s="168"/>
    </row>
    <row r="27" spans="1:18" ht="15" x14ac:dyDescent="0.2">
      <c r="A27" s="261" t="s">
        <v>297</v>
      </c>
      <c r="B27" s="205" t="s">
        <v>298</v>
      </c>
      <c r="C27" s="228">
        <v>1</v>
      </c>
      <c r="D27" s="143">
        <f t="shared" si="0"/>
        <v>20</v>
      </c>
      <c r="E27" s="137">
        <v>18</v>
      </c>
      <c r="F27" s="187">
        <v>-1.0243902439024382</v>
      </c>
      <c r="G27" s="229" t="s">
        <v>277</v>
      </c>
      <c r="H27" s="189"/>
      <c r="I27" s="168"/>
      <c r="J27" s="168"/>
      <c r="K27" s="169"/>
      <c r="L27" s="168"/>
      <c r="M27" s="168"/>
      <c r="N27" s="168"/>
      <c r="O27" s="168"/>
      <c r="P27" s="168"/>
      <c r="Q27" s="168"/>
      <c r="R27" s="168"/>
    </row>
    <row r="28" spans="1:18" ht="15" x14ac:dyDescent="0.2">
      <c r="A28" s="260" t="s">
        <v>53</v>
      </c>
      <c r="B28" s="139" t="s">
        <v>124</v>
      </c>
      <c r="C28" s="228">
        <v>2</v>
      </c>
      <c r="D28" s="143">
        <f t="shared" si="0"/>
        <v>21</v>
      </c>
      <c r="E28" s="137">
        <v>37</v>
      </c>
      <c r="F28" s="187">
        <v>-1.0487804878048763</v>
      </c>
      <c r="G28" s="229" t="s">
        <v>341</v>
      </c>
      <c r="H28" s="189">
        <v>0</v>
      </c>
      <c r="I28" s="168"/>
      <c r="J28" s="168"/>
      <c r="K28" s="169"/>
      <c r="L28" s="170"/>
      <c r="M28" s="168"/>
      <c r="N28" s="168"/>
      <c r="O28" s="168"/>
      <c r="P28" s="168"/>
      <c r="Q28" s="168"/>
      <c r="R28" s="168"/>
    </row>
    <row r="29" spans="1:18" ht="15" x14ac:dyDescent="0.2">
      <c r="A29" s="260" t="s">
        <v>8</v>
      </c>
      <c r="B29" s="139" t="s">
        <v>282</v>
      </c>
      <c r="C29" s="228">
        <v>2</v>
      </c>
      <c r="D29" s="143">
        <f t="shared" si="0"/>
        <v>22</v>
      </c>
      <c r="E29" s="137">
        <v>37</v>
      </c>
      <c r="F29" s="187">
        <v>-1.0487804878048763</v>
      </c>
      <c r="G29" s="229" t="s">
        <v>340</v>
      </c>
      <c r="H29" s="189"/>
      <c r="I29" s="168"/>
      <c r="J29" s="168"/>
      <c r="K29" s="169"/>
      <c r="L29" s="168"/>
      <c r="M29" s="168"/>
      <c r="N29" s="168"/>
      <c r="O29" s="168"/>
      <c r="P29" s="168"/>
      <c r="Q29" s="168"/>
      <c r="R29" s="168"/>
    </row>
    <row r="30" spans="1:18" ht="15" x14ac:dyDescent="0.2">
      <c r="A30" s="260" t="s">
        <v>29</v>
      </c>
      <c r="B30" s="139" t="s">
        <v>123</v>
      </c>
      <c r="C30" s="228">
        <v>1</v>
      </c>
      <c r="D30" s="143">
        <f t="shared" si="0"/>
        <v>23</v>
      </c>
      <c r="E30" s="137">
        <v>18</v>
      </c>
      <c r="F30" s="187">
        <v>-1.0243902439024382</v>
      </c>
      <c r="G30" s="229" t="s">
        <v>281</v>
      </c>
      <c r="H30" s="168"/>
      <c r="I30" s="168"/>
      <c r="J30" s="168"/>
      <c r="K30" s="169"/>
      <c r="L30" s="168"/>
      <c r="M30" s="168"/>
      <c r="N30" s="168"/>
      <c r="O30" s="168"/>
      <c r="P30" s="168"/>
      <c r="Q30" s="168"/>
      <c r="R30" s="168"/>
    </row>
    <row r="31" spans="1:18" ht="15" x14ac:dyDescent="0.2">
      <c r="A31" s="262"/>
      <c r="B31" s="139"/>
      <c r="C31" s="228"/>
      <c r="D31" s="143"/>
      <c r="E31" s="137"/>
      <c r="F31" s="187"/>
      <c r="G31" s="229"/>
      <c r="H31" s="168"/>
      <c r="I31" s="168"/>
      <c r="J31" s="168"/>
      <c r="K31" s="169"/>
      <c r="L31" s="168"/>
      <c r="M31" s="168"/>
      <c r="N31" s="168"/>
      <c r="O31" s="168"/>
      <c r="P31" s="168"/>
      <c r="Q31" s="168"/>
      <c r="R31" s="168"/>
    </row>
    <row r="32" spans="1:18" ht="15" x14ac:dyDescent="0.2">
      <c r="A32" s="132"/>
      <c r="B32" s="258"/>
      <c r="C32" s="259"/>
      <c r="D32" s="146"/>
      <c r="E32" s="137"/>
      <c r="F32" s="187"/>
      <c r="G32" s="229"/>
      <c r="H32" s="168"/>
      <c r="I32" s="168"/>
      <c r="J32" s="168"/>
      <c r="K32" s="169"/>
      <c r="L32" s="168"/>
      <c r="M32" s="168"/>
      <c r="N32" s="168"/>
      <c r="O32" s="168"/>
      <c r="P32" s="168"/>
      <c r="Q32" s="168"/>
      <c r="R32" s="168"/>
    </row>
    <row r="33" spans="1:11" ht="15.75" thickBot="1" x14ac:dyDescent="0.25">
      <c r="A33" s="132"/>
      <c r="B33" s="133"/>
      <c r="C33" s="145"/>
      <c r="D33" s="146"/>
      <c r="E33" s="137"/>
      <c r="F33" s="138"/>
      <c r="K33" s="3"/>
    </row>
    <row r="34" spans="1:11" ht="16.5" thickBot="1" x14ac:dyDescent="0.3">
      <c r="A34" s="16"/>
      <c r="B34" s="150" t="s">
        <v>127</v>
      </c>
      <c r="C34" s="40">
        <f>SUM(C8:C33)</f>
        <v>41</v>
      </c>
      <c r="D34" s="39"/>
      <c r="E34" s="106"/>
      <c r="F34" s="113"/>
      <c r="K34" s="3"/>
    </row>
    <row r="35" spans="1:11" ht="15" x14ac:dyDescent="0.2">
      <c r="A35" s="133"/>
      <c r="B35" s="133"/>
      <c r="C35" s="147"/>
      <c r="D35" s="133"/>
      <c r="E35" s="147" t="s">
        <v>204</v>
      </c>
      <c r="F35" s="148"/>
    </row>
    <row r="36" spans="1:11" ht="15" x14ac:dyDescent="0.2">
      <c r="A36" s="133"/>
      <c r="B36" s="133" t="s">
        <v>171</v>
      </c>
      <c r="C36" s="147">
        <f>GrandTotalHours</f>
        <v>780</v>
      </c>
      <c r="D36" s="133"/>
      <c r="E36" s="147">
        <f>SUM(E7:E35)</f>
        <v>743</v>
      </c>
      <c r="F36" s="148"/>
    </row>
    <row r="37" spans="1:11" ht="15" x14ac:dyDescent="0.2">
      <c r="A37" s="133"/>
      <c r="B37" s="133"/>
      <c r="C37" s="147"/>
      <c r="D37" s="133"/>
      <c r="E37" s="147"/>
      <c r="F37" s="148"/>
    </row>
    <row r="38" spans="1:11" ht="15" x14ac:dyDescent="0.2">
      <c r="A38" s="133"/>
      <c r="B38" s="133" t="s">
        <v>172</v>
      </c>
      <c r="C38" s="149">
        <f>GrandTotalHours/TotalShowShares</f>
        <v>19.024390243902438</v>
      </c>
      <c r="D38" s="133"/>
      <c r="E38" s="147"/>
      <c r="F38" s="148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91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77"/>
  <sheetViews>
    <sheetView showGridLines="0" topLeftCell="A31" zoomScaleNormal="100" workbookViewId="0">
      <selection activeCell="B122" sqref="B122"/>
    </sheetView>
  </sheetViews>
  <sheetFormatPr defaultRowHeight="12.75" x14ac:dyDescent="0.2"/>
  <cols>
    <col min="2" max="2" width="45.7109375" bestFit="1" customWidth="1"/>
    <col min="4" max="4" width="14.28515625" bestFit="1" customWidth="1"/>
  </cols>
  <sheetData>
    <row r="1" spans="1:8" ht="18" x14ac:dyDescent="0.25">
      <c r="A1" s="256" t="s">
        <v>320</v>
      </c>
      <c r="B1" s="257"/>
      <c r="C1" s="257"/>
      <c r="D1" s="1"/>
    </row>
    <row r="2" spans="1:8" x14ac:dyDescent="0.2">
      <c r="A2" s="2"/>
      <c r="B2" s="171" t="str">
        <f>Issue</f>
        <v>2024 Show Season V1 7/22/2024</v>
      </c>
      <c r="C2" s="3"/>
      <c r="D2" s="4"/>
    </row>
    <row r="3" spans="1:8" ht="15.75" x14ac:dyDescent="0.25">
      <c r="A3" s="5"/>
      <c r="B3" s="107" t="str">
        <f>Season</f>
        <v>2022/2023</v>
      </c>
      <c r="C3" s="3"/>
      <c r="D3" s="6"/>
    </row>
    <row r="4" spans="1:8" x14ac:dyDescent="0.2">
      <c r="A4" s="7"/>
      <c r="C4" s="8" t="s">
        <v>0</v>
      </c>
      <c r="D4" s="6" t="s">
        <v>1</v>
      </c>
    </row>
    <row r="5" spans="1:8" x14ac:dyDescent="0.2">
      <c r="A5" s="9" t="s">
        <v>2</v>
      </c>
      <c r="B5" s="10" t="s">
        <v>3</v>
      </c>
      <c r="C5" s="11" t="s">
        <v>4</v>
      </c>
      <c r="D5" s="12" t="s">
        <v>5</v>
      </c>
    </row>
    <row r="6" spans="1:8" x14ac:dyDescent="0.2">
      <c r="A6" s="117" t="s">
        <v>6</v>
      </c>
      <c r="B6" s="27" t="s">
        <v>7</v>
      </c>
      <c r="C6" s="28">
        <v>4</v>
      </c>
      <c r="D6" s="118" t="s">
        <v>189</v>
      </c>
      <c r="F6" s="14"/>
      <c r="H6" s="3"/>
    </row>
    <row r="7" spans="1:8" x14ac:dyDescent="0.2">
      <c r="A7" s="117" t="s">
        <v>9</v>
      </c>
      <c r="B7" s="27" t="s">
        <v>10</v>
      </c>
      <c r="C7" s="28">
        <v>2</v>
      </c>
      <c r="D7" s="118" t="s">
        <v>189</v>
      </c>
      <c r="F7" s="14"/>
      <c r="H7" s="3"/>
    </row>
    <row r="8" spans="1:8" x14ac:dyDescent="0.2">
      <c r="A8" s="117" t="s">
        <v>11</v>
      </c>
      <c r="B8" s="27" t="s">
        <v>12</v>
      </c>
      <c r="C8" s="28">
        <v>2</v>
      </c>
      <c r="D8" s="118" t="s">
        <v>13</v>
      </c>
      <c r="F8" s="14"/>
      <c r="H8" s="3"/>
    </row>
    <row r="9" spans="1:8" x14ac:dyDescent="0.2">
      <c r="A9" s="117" t="s">
        <v>14</v>
      </c>
      <c r="B9" s="27" t="s">
        <v>15</v>
      </c>
      <c r="C9" s="28">
        <v>2</v>
      </c>
      <c r="D9" s="118" t="s">
        <v>115</v>
      </c>
      <c r="F9" s="14"/>
      <c r="H9" s="3"/>
    </row>
    <row r="10" spans="1:8" x14ac:dyDescent="0.2">
      <c r="A10" s="117" t="s">
        <v>17</v>
      </c>
      <c r="B10" s="27" t="s">
        <v>18</v>
      </c>
      <c r="C10" s="28">
        <v>6</v>
      </c>
      <c r="D10" s="118" t="s">
        <v>19</v>
      </c>
      <c r="F10" s="14"/>
      <c r="H10" s="3"/>
    </row>
    <row r="11" spans="1:8" x14ac:dyDescent="0.2">
      <c r="A11" s="117" t="s">
        <v>20</v>
      </c>
      <c r="B11" s="27" t="s">
        <v>21</v>
      </c>
      <c r="C11" s="28">
        <v>4</v>
      </c>
      <c r="D11" s="118" t="s">
        <v>19</v>
      </c>
      <c r="F11" s="14"/>
      <c r="H11" s="3"/>
    </row>
    <row r="12" spans="1:8" x14ac:dyDescent="0.2">
      <c r="A12" s="117" t="s">
        <v>22</v>
      </c>
      <c r="B12" s="27" t="s">
        <v>23</v>
      </c>
      <c r="C12" s="28">
        <v>7</v>
      </c>
      <c r="D12" s="118" t="s">
        <v>27</v>
      </c>
      <c r="F12" s="14"/>
      <c r="H12" s="3"/>
    </row>
    <row r="13" spans="1:8" x14ac:dyDescent="0.2">
      <c r="A13" s="117" t="s">
        <v>25</v>
      </c>
      <c r="B13" s="27" t="s">
        <v>26</v>
      </c>
      <c r="C13" s="28">
        <v>2</v>
      </c>
      <c r="D13" s="118" t="s">
        <v>27</v>
      </c>
      <c r="F13" s="14"/>
      <c r="H13" s="3"/>
    </row>
    <row r="14" spans="1:8" x14ac:dyDescent="0.2">
      <c r="A14" s="117" t="s">
        <v>291</v>
      </c>
      <c r="B14" s="27" t="s">
        <v>292</v>
      </c>
      <c r="C14" s="28">
        <v>8</v>
      </c>
      <c r="D14" s="118" t="s">
        <v>27</v>
      </c>
      <c r="F14" s="14"/>
      <c r="H14" s="3"/>
    </row>
    <row r="15" spans="1:8" x14ac:dyDescent="0.2">
      <c r="A15" s="117" t="s">
        <v>28</v>
      </c>
      <c r="B15" s="27"/>
      <c r="C15" s="28">
        <v>0</v>
      </c>
      <c r="D15" s="123"/>
      <c r="F15" s="231"/>
      <c r="H15" s="3"/>
    </row>
    <row r="16" spans="1:8" x14ac:dyDescent="0.2">
      <c r="A16" s="117" t="s">
        <v>30</v>
      </c>
      <c r="B16" s="27" t="s">
        <v>31</v>
      </c>
      <c r="C16" s="28">
        <v>3</v>
      </c>
      <c r="D16" s="118" t="s">
        <v>32</v>
      </c>
      <c r="F16" s="14"/>
      <c r="H16" s="3"/>
    </row>
    <row r="17" spans="1:8" x14ac:dyDescent="0.2">
      <c r="A17" s="117" t="s">
        <v>33</v>
      </c>
      <c r="B17" s="27" t="s">
        <v>34</v>
      </c>
      <c r="C17" s="28">
        <v>4</v>
      </c>
      <c r="D17" s="118" t="s">
        <v>39</v>
      </c>
      <c r="F17" s="14"/>
      <c r="H17" s="3"/>
    </row>
    <row r="18" spans="1:8" x14ac:dyDescent="0.2">
      <c r="A18" s="117" t="s">
        <v>35</v>
      </c>
      <c r="B18" s="27" t="s">
        <v>36</v>
      </c>
      <c r="C18" s="28">
        <v>8</v>
      </c>
      <c r="D18" s="118" t="s">
        <v>39</v>
      </c>
      <c r="F18" s="14"/>
      <c r="H18" s="3"/>
    </row>
    <row r="19" spans="1:8" x14ac:dyDescent="0.2">
      <c r="A19" s="117" t="s">
        <v>37</v>
      </c>
      <c r="B19" s="27" t="s">
        <v>38</v>
      </c>
      <c r="C19" s="28">
        <v>4</v>
      </c>
      <c r="D19" s="123" t="s">
        <v>29</v>
      </c>
      <c r="F19" s="231"/>
      <c r="H19" s="3"/>
    </row>
    <row r="20" spans="1:8" x14ac:dyDescent="0.2">
      <c r="A20" s="117" t="s">
        <v>40</v>
      </c>
      <c r="B20" s="27" t="s">
        <v>41</v>
      </c>
      <c r="C20" s="28">
        <v>12</v>
      </c>
      <c r="D20" s="118" t="s">
        <v>8</v>
      </c>
      <c r="F20" s="14"/>
      <c r="H20" s="3"/>
    </row>
    <row r="21" spans="1:8" x14ac:dyDescent="0.2">
      <c r="A21" s="117" t="s">
        <v>42</v>
      </c>
      <c r="B21" s="27" t="s">
        <v>43</v>
      </c>
      <c r="C21" s="28">
        <v>5</v>
      </c>
      <c r="D21" s="118" t="s">
        <v>32</v>
      </c>
      <c r="F21" s="14"/>
      <c r="H21" s="3"/>
    </row>
    <row r="22" spans="1:8" x14ac:dyDescent="0.2">
      <c r="A22" s="117" t="s">
        <v>44</v>
      </c>
      <c r="B22" s="27" t="s">
        <v>45</v>
      </c>
      <c r="C22" s="28">
        <v>5</v>
      </c>
      <c r="D22" s="118" t="s">
        <v>32</v>
      </c>
      <c r="F22" s="14"/>
      <c r="H22" s="3"/>
    </row>
    <row r="23" spans="1:8" x14ac:dyDescent="0.2">
      <c r="A23" s="117" t="s">
        <v>46</v>
      </c>
      <c r="B23" s="27" t="s">
        <v>47</v>
      </c>
      <c r="C23" s="28">
        <v>21</v>
      </c>
      <c r="D23" s="118" t="s">
        <v>48</v>
      </c>
      <c r="F23" s="14"/>
      <c r="H23" s="3"/>
    </row>
    <row r="24" spans="1:8" x14ac:dyDescent="0.2">
      <c r="A24" s="203" t="s">
        <v>49</v>
      </c>
      <c r="B24" s="27" t="s">
        <v>96</v>
      </c>
      <c r="C24" s="28">
        <v>6</v>
      </c>
      <c r="D24" s="118" t="s">
        <v>8</v>
      </c>
      <c r="F24" s="14"/>
      <c r="H24" s="3"/>
    </row>
    <row r="25" spans="1:8" x14ac:dyDescent="0.2">
      <c r="A25" s="117" t="s">
        <v>51</v>
      </c>
      <c r="B25" s="27" t="s">
        <v>52</v>
      </c>
      <c r="C25" s="28">
        <v>4</v>
      </c>
      <c r="D25" s="118" t="s">
        <v>116</v>
      </c>
      <c r="F25" s="14"/>
      <c r="H25" s="3"/>
    </row>
    <row r="26" spans="1:8" x14ac:dyDescent="0.2">
      <c r="A26" s="117" t="s">
        <v>54</v>
      </c>
      <c r="B26" s="27" t="s">
        <v>290</v>
      </c>
      <c r="C26" s="28">
        <v>9</v>
      </c>
      <c r="D26" s="118" t="s">
        <v>116</v>
      </c>
      <c r="F26" s="14"/>
      <c r="H26" s="3"/>
    </row>
    <row r="27" spans="1:8" x14ac:dyDescent="0.2">
      <c r="A27" s="203" t="s">
        <v>294</v>
      </c>
      <c r="B27" s="204" t="s">
        <v>296</v>
      </c>
      <c r="C27" s="28">
        <v>4</v>
      </c>
      <c r="D27" s="123" t="s">
        <v>120</v>
      </c>
      <c r="F27" s="231"/>
      <c r="H27" s="3"/>
    </row>
    <row r="28" spans="1:8" x14ac:dyDescent="0.2">
      <c r="A28" s="117" t="s">
        <v>56</v>
      </c>
      <c r="B28" s="27" t="s">
        <v>57</v>
      </c>
      <c r="C28" s="28">
        <v>1</v>
      </c>
      <c r="D28" s="118" t="s">
        <v>58</v>
      </c>
      <c r="F28" s="14"/>
      <c r="H28" s="3"/>
    </row>
    <row r="29" spans="1:8" x14ac:dyDescent="0.2">
      <c r="A29" s="117" t="s">
        <v>59</v>
      </c>
      <c r="B29" s="27" t="s">
        <v>60</v>
      </c>
      <c r="C29" s="28">
        <v>4</v>
      </c>
      <c r="D29" s="118" t="s">
        <v>116</v>
      </c>
      <c r="F29" s="231"/>
      <c r="H29" s="3"/>
    </row>
    <row r="30" spans="1:8" x14ac:dyDescent="0.2">
      <c r="A30" s="117" t="s">
        <v>61</v>
      </c>
      <c r="B30" s="27" t="s">
        <v>62</v>
      </c>
      <c r="C30" s="28">
        <v>1</v>
      </c>
      <c r="D30" s="123" t="s">
        <v>29</v>
      </c>
      <c r="F30" s="231"/>
      <c r="H30" s="3"/>
    </row>
    <row r="31" spans="1:8" x14ac:dyDescent="0.2">
      <c r="A31" s="117" t="s">
        <v>63</v>
      </c>
      <c r="B31" s="27" t="s">
        <v>64</v>
      </c>
      <c r="C31" s="28">
        <v>2</v>
      </c>
      <c r="D31" s="123" t="s">
        <v>297</v>
      </c>
      <c r="F31" s="231"/>
      <c r="H31" s="3"/>
    </row>
    <row r="32" spans="1:8" x14ac:dyDescent="0.2">
      <c r="A32" s="117" t="s">
        <v>65</v>
      </c>
      <c r="B32" s="27" t="s">
        <v>66</v>
      </c>
      <c r="C32" s="28">
        <v>2</v>
      </c>
      <c r="D32" s="118" t="s">
        <v>306</v>
      </c>
      <c r="F32" s="14"/>
      <c r="H32" s="3"/>
    </row>
    <row r="33" spans="1:8" x14ac:dyDescent="0.2">
      <c r="A33" s="117" t="s">
        <v>67</v>
      </c>
      <c r="B33" s="27" t="s">
        <v>68</v>
      </c>
      <c r="C33" s="28">
        <v>2</v>
      </c>
      <c r="D33" s="118" t="s">
        <v>39</v>
      </c>
      <c r="F33" s="14"/>
      <c r="H33" s="3"/>
    </row>
    <row r="34" spans="1:8" x14ac:dyDescent="0.2">
      <c r="A34" s="117" t="s">
        <v>73</v>
      </c>
      <c r="B34" s="27" t="s">
        <v>74</v>
      </c>
      <c r="C34" s="28">
        <v>3</v>
      </c>
      <c r="D34" s="118" t="s">
        <v>39</v>
      </c>
      <c r="F34" s="14"/>
      <c r="H34" s="3"/>
    </row>
    <row r="35" spans="1:8" x14ac:dyDescent="0.2">
      <c r="A35" s="117" t="s">
        <v>103</v>
      </c>
      <c r="B35" s="27" t="s">
        <v>239</v>
      </c>
      <c r="C35" s="28">
        <v>5</v>
      </c>
      <c r="D35" s="118" t="s">
        <v>48</v>
      </c>
      <c r="F35" s="14"/>
      <c r="H35" s="3"/>
    </row>
    <row r="36" spans="1:8" x14ac:dyDescent="0.2">
      <c r="A36" s="117" t="s">
        <v>272</v>
      </c>
      <c r="B36" s="27" t="s">
        <v>273</v>
      </c>
      <c r="C36" s="28">
        <v>1</v>
      </c>
      <c r="D36" s="118" t="s">
        <v>119</v>
      </c>
      <c r="F36" s="14"/>
      <c r="H36" s="3"/>
    </row>
    <row r="37" spans="1:8" x14ac:dyDescent="0.2">
      <c r="A37" s="117" t="s">
        <v>274</v>
      </c>
      <c r="B37" s="27" t="s">
        <v>275</v>
      </c>
      <c r="C37" s="28">
        <v>1</v>
      </c>
      <c r="D37" s="118" t="s">
        <v>109</v>
      </c>
      <c r="F37" s="14"/>
      <c r="H37" s="3"/>
    </row>
    <row r="38" spans="1:8" x14ac:dyDescent="0.2">
      <c r="A38" s="7"/>
      <c r="C38" s="3"/>
      <c r="D38" s="4"/>
    </row>
    <row r="39" spans="1:8" ht="13.5" thickBot="1" x14ac:dyDescent="0.25">
      <c r="A39" s="119"/>
      <c r="B39" s="120" t="s">
        <v>75</v>
      </c>
      <c r="C39" s="176">
        <f>SUM(C5:C38)</f>
        <v>144</v>
      </c>
      <c r="D39" s="121"/>
    </row>
    <row r="40" spans="1:8" x14ac:dyDescent="0.2">
      <c r="C40" s="3"/>
      <c r="D40" s="14"/>
    </row>
    <row r="41" spans="1:8" ht="13.5" thickBot="1" x14ac:dyDescent="0.25">
      <c r="C41" s="3"/>
      <c r="D41" s="14"/>
    </row>
    <row r="42" spans="1:8" ht="18" x14ac:dyDescent="0.25">
      <c r="A42" s="256" t="s">
        <v>321</v>
      </c>
      <c r="B42" s="257"/>
      <c r="C42" s="257"/>
      <c r="D42" s="1"/>
    </row>
    <row r="43" spans="1:8" x14ac:dyDescent="0.2">
      <c r="A43" s="7"/>
      <c r="B43" s="171" t="str">
        <f>Issue</f>
        <v>2024 Show Season V1 7/22/2024</v>
      </c>
      <c r="C43" s="3"/>
      <c r="D43" s="4"/>
    </row>
    <row r="44" spans="1:8" ht="15.75" x14ac:dyDescent="0.25">
      <c r="A44" s="7"/>
      <c r="B44" s="107" t="str">
        <f>Season</f>
        <v>2022/2023</v>
      </c>
      <c r="C44" s="3" t="s">
        <v>76</v>
      </c>
      <c r="D44" s="38" t="s">
        <v>207</v>
      </c>
    </row>
    <row r="45" spans="1:8" x14ac:dyDescent="0.2">
      <c r="A45" s="9" t="s">
        <v>2</v>
      </c>
      <c r="B45" s="10" t="s">
        <v>3</v>
      </c>
      <c r="C45" s="15" t="s">
        <v>4</v>
      </c>
      <c r="D45" s="116" t="s">
        <v>208</v>
      </c>
    </row>
    <row r="46" spans="1:8" x14ac:dyDescent="0.2">
      <c r="A46" s="117" t="s">
        <v>69</v>
      </c>
      <c r="B46" s="27" t="s">
        <v>129</v>
      </c>
      <c r="C46" s="28">
        <v>0</v>
      </c>
      <c r="D46" s="209">
        <v>0</v>
      </c>
      <c r="H46" s="3"/>
    </row>
    <row r="47" spans="1:8" x14ac:dyDescent="0.2">
      <c r="A47" s="117" t="s">
        <v>70</v>
      </c>
      <c r="B47" s="27" t="s">
        <v>210</v>
      </c>
      <c r="C47" s="28">
        <v>0</v>
      </c>
      <c r="D47" s="209">
        <v>0</v>
      </c>
      <c r="H47" s="3"/>
    </row>
    <row r="48" spans="1:8" x14ac:dyDescent="0.2">
      <c r="A48" s="117" t="s">
        <v>72</v>
      </c>
      <c r="B48" s="27" t="s">
        <v>203</v>
      </c>
      <c r="C48" s="28">
        <v>5</v>
      </c>
      <c r="D48" s="209">
        <v>5</v>
      </c>
      <c r="H48" s="3"/>
    </row>
    <row r="49" spans="1:4" x14ac:dyDescent="0.2">
      <c r="A49" s="117" t="s">
        <v>77</v>
      </c>
      <c r="B49" s="27" t="s">
        <v>213</v>
      </c>
      <c r="C49" s="28">
        <v>6</v>
      </c>
      <c r="D49" s="209">
        <v>6</v>
      </c>
    </row>
    <row r="50" spans="1:4" x14ac:dyDescent="0.2">
      <c r="A50" s="117" t="s">
        <v>327</v>
      </c>
      <c r="B50" s="27" t="s">
        <v>328</v>
      </c>
      <c r="C50" s="28">
        <v>18</v>
      </c>
      <c r="D50" s="209">
        <v>18</v>
      </c>
    </row>
    <row r="51" spans="1:4" x14ac:dyDescent="0.2">
      <c r="A51" s="117" t="s">
        <v>144</v>
      </c>
      <c r="B51" s="27" t="s">
        <v>222</v>
      </c>
      <c r="C51" s="28">
        <v>3</v>
      </c>
      <c r="D51" s="209">
        <v>3</v>
      </c>
    </row>
    <row r="52" spans="1:4" x14ac:dyDescent="0.2">
      <c r="A52" s="117" t="s">
        <v>143</v>
      </c>
      <c r="B52" s="27" t="s">
        <v>223</v>
      </c>
      <c r="C52" s="28">
        <v>1</v>
      </c>
      <c r="D52" s="209">
        <v>1</v>
      </c>
    </row>
    <row r="53" spans="1:4" x14ac:dyDescent="0.2">
      <c r="A53" s="117" t="s">
        <v>145</v>
      </c>
      <c r="B53" s="27" t="s">
        <v>224</v>
      </c>
      <c r="C53" s="28">
        <v>3</v>
      </c>
      <c r="D53" s="209">
        <v>3</v>
      </c>
    </row>
    <row r="54" spans="1:4" x14ac:dyDescent="0.2">
      <c r="A54" s="117" t="s">
        <v>146</v>
      </c>
      <c r="B54" s="204" t="s">
        <v>225</v>
      </c>
      <c r="C54" s="28">
        <v>1</v>
      </c>
      <c r="D54" s="209">
        <v>1</v>
      </c>
    </row>
    <row r="55" spans="1:4" x14ac:dyDescent="0.2">
      <c r="A55" s="117" t="s">
        <v>173</v>
      </c>
      <c r="B55" s="27" t="s">
        <v>309</v>
      </c>
      <c r="C55" s="28">
        <v>7</v>
      </c>
      <c r="D55" s="209">
        <v>7</v>
      </c>
    </row>
    <row r="56" spans="1:4" x14ac:dyDescent="0.2">
      <c r="A56" s="117" t="s">
        <v>174</v>
      </c>
      <c r="B56" s="204" t="s">
        <v>317</v>
      </c>
      <c r="C56" s="28">
        <v>6</v>
      </c>
      <c r="D56" s="209">
        <v>6</v>
      </c>
    </row>
    <row r="57" spans="1:4" x14ac:dyDescent="0.2">
      <c r="A57" s="117" t="s">
        <v>78</v>
      </c>
      <c r="B57" s="27" t="s">
        <v>128</v>
      </c>
      <c r="C57" s="28">
        <v>7</v>
      </c>
      <c r="D57" s="209">
        <v>7</v>
      </c>
    </row>
    <row r="58" spans="1:4" x14ac:dyDescent="0.2">
      <c r="A58" s="117" t="s">
        <v>79</v>
      </c>
      <c r="B58" s="27" t="s">
        <v>140</v>
      </c>
      <c r="C58" s="28">
        <v>10</v>
      </c>
      <c r="D58" s="209">
        <v>10</v>
      </c>
    </row>
    <row r="59" spans="1:4" x14ac:dyDescent="0.2">
      <c r="A59" s="117" t="s">
        <v>80</v>
      </c>
      <c r="B59" s="27" t="s">
        <v>151</v>
      </c>
      <c r="C59" s="28">
        <v>7</v>
      </c>
      <c r="D59" s="209">
        <v>7</v>
      </c>
    </row>
    <row r="60" spans="1:4" x14ac:dyDescent="0.2">
      <c r="A60" s="117" t="s">
        <v>141</v>
      </c>
      <c r="B60" s="27" t="s">
        <v>214</v>
      </c>
      <c r="C60" s="28">
        <v>4</v>
      </c>
      <c r="D60" s="209">
        <v>4</v>
      </c>
    </row>
    <row r="61" spans="1:4" x14ac:dyDescent="0.2">
      <c r="A61" s="117" t="s">
        <v>147</v>
      </c>
      <c r="B61" s="27" t="s">
        <v>215</v>
      </c>
      <c r="C61" s="28">
        <v>3</v>
      </c>
      <c r="D61" s="209">
        <v>3</v>
      </c>
    </row>
    <row r="62" spans="1:4" x14ac:dyDescent="0.2">
      <c r="A62" s="117" t="s">
        <v>81</v>
      </c>
      <c r="B62" s="27" t="s">
        <v>209</v>
      </c>
      <c r="C62" s="28">
        <v>9</v>
      </c>
      <c r="D62" s="209">
        <v>9</v>
      </c>
    </row>
    <row r="63" spans="1:4" x14ac:dyDescent="0.2">
      <c r="A63" s="117" t="s">
        <v>82</v>
      </c>
      <c r="B63" s="27" t="s">
        <v>211</v>
      </c>
      <c r="C63" s="28">
        <v>10</v>
      </c>
      <c r="D63" s="209">
        <v>10</v>
      </c>
    </row>
    <row r="64" spans="1:4" x14ac:dyDescent="0.2">
      <c r="A64" s="117" t="s">
        <v>83</v>
      </c>
      <c r="B64" s="27" t="s">
        <v>212</v>
      </c>
      <c r="C64" s="28">
        <v>7</v>
      </c>
      <c r="D64" s="209">
        <v>7</v>
      </c>
    </row>
    <row r="65" spans="1:4" x14ac:dyDescent="0.2">
      <c r="A65" s="117" t="s">
        <v>84</v>
      </c>
      <c r="B65" s="27" t="s">
        <v>310</v>
      </c>
      <c r="C65" s="28">
        <v>22</v>
      </c>
      <c r="D65" s="209">
        <v>22</v>
      </c>
    </row>
    <row r="66" spans="1:4" x14ac:dyDescent="0.2">
      <c r="A66" s="117" t="s">
        <v>84</v>
      </c>
      <c r="B66" s="27" t="s">
        <v>311</v>
      </c>
      <c r="C66" s="28">
        <v>14</v>
      </c>
      <c r="D66" s="209">
        <v>14</v>
      </c>
    </row>
    <row r="67" spans="1:4" x14ac:dyDescent="0.2">
      <c r="A67" s="117" t="s">
        <v>314</v>
      </c>
      <c r="B67" s="27" t="s">
        <v>312</v>
      </c>
      <c r="C67" s="28">
        <v>22</v>
      </c>
      <c r="D67" s="209">
        <v>22</v>
      </c>
    </row>
    <row r="68" spans="1:4" x14ac:dyDescent="0.2">
      <c r="A68" s="117" t="s">
        <v>314</v>
      </c>
      <c r="B68" s="27" t="s">
        <v>313</v>
      </c>
      <c r="C68" s="28">
        <v>14</v>
      </c>
      <c r="D68" s="209">
        <v>14</v>
      </c>
    </row>
    <row r="69" spans="1:4" x14ac:dyDescent="0.2">
      <c r="A69" s="117" t="s">
        <v>85</v>
      </c>
      <c r="B69" s="27" t="s">
        <v>216</v>
      </c>
      <c r="C69" s="28">
        <v>7</v>
      </c>
      <c r="D69" s="209">
        <v>7</v>
      </c>
    </row>
    <row r="70" spans="1:4" x14ac:dyDescent="0.2">
      <c r="A70" s="117" t="s">
        <v>85</v>
      </c>
      <c r="B70" s="27" t="s">
        <v>217</v>
      </c>
      <c r="C70" s="28">
        <v>6</v>
      </c>
      <c r="D70" s="209">
        <v>6</v>
      </c>
    </row>
    <row r="71" spans="1:4" x14ac:dyDescent="0.2">
      <c r="A71" s="31" t="s">
        <v>237</v>
      </c>
      <c r="B71" s="27" t="s">
        <v>232</v>
      </c>
      <c r="C71" s="28">
        <v>7</v>
      </c>
      <c r="D71" s="209">
        <v>7</v>
      </c>
    </row>
    <row r="72" spans="1:4" x14ac:dyDescent="0.2">
      <c r="A72" s="31" t="s">
        <v>238</v>
      </c>
      <c r="B72" s="27" t="s">
        <v>233</v>
      </c>
      <c r="C72" s="28">
        <v>0</v>
      </c>
      <c r="D72" s="209">
        <v>0</v>
      </c>
    </row>
    <row r="73" spans="1:4" x14ac:dyDescent="0.2">
      <c r="A73" s="31" t="s">
        <v>162</v>
      </c>
      <c r="B73" s="27" t="s">
        <v>234</v>
      </c>
      <c r="C73" s="28">
        <v>5</v>
      </c>
      <c r="D73" s="209">
        <v>5</v>
      </c>
    </row>
    <row r="74" spans="1:4" x14ac:dyDescent="0.2">
      <c r="A74" s="31" t="s">
        <v>163</v>
      </c>
      <c r="B74" s="27" t="s">
        <v>235</v>
      </c>
      <c r="C74" s="28">
        <v>0</v>
      </c>
      <c r="D74" s="209">
        <v>0</v>
      </c>
    </row>
    <row r="75" spans="1:4" x14ac:dyDescent="0.2">
      <c r="A75" s="117" t="s">
        <v>86</v>
      </c>
      <c r="B75" s="27" t="s">
        <v>221</v>
      </c>
      <c r="C75" s="28">
        <v>7</v>
      </c>
      <c r="D75" s="209">
        <v>7</v>
      </c>
    </row>
    <row r="76" spans="1:4" x14ac:dyDescent="0.2">
      <c r="A76" s="117" t="s">
        <v>86</v>
      </c>
      <c r="B76" s="27" t="s">
        <v>220</v>
      </c>
      <c r="C76" s="28">
        <v>6</v>
      </c>
      <c r="D76" s="209">
        <v>6</v>
      </c>
    </row>
    <row r="77" spans="1:4" x14ac:dyDescent="0.2">
      <c r="A77" s="117" t="s">
        <v>342</v>
      </c>
      <c r="B77" s="27" t="s">
        <v>344</v>
      </c>
      <c r="C77" s="28">
        <v>7</v>
      </c>
      <c r="D77" s="209">
        <v>7</v>
      </c>
    </row>
    <row r="78" spans="1:4" x14ac:dyDescent="0.2">
      <c r="A78" s="117" t="s">
        <v>343</v>
      </c>
      <c r="B78" s="27" t="s">
        <v>345</v>
      </c>
      <c r="C78" s="28">
        <v>6</v>
      </c>
      <c r="D78" s="209">
        <v>6</v>
      </c>
    </row>
    <row r="79" spans="1:4" x14ac:dyDescent="0.2">
      <c r="A79" s="117" t="s">
        <v>148</v>
      </c>
      <c r="B79" s="27" t="s">
        <v>218</v>
      </c>
      <c r="C79" s="28">
        <v>3</v>
      </c>
      <c r="D79" s="209">
        <v>3</v>
      </c>
    </row>
    <row r="80" spans="1:4" x14ac:dyDescent="0.2">
      <c r="A80" s="117" t="s">
        <v>149</v>
      </c>
      <c r="B80" s="27" t="s">
        <v>219</v>
      </c>
      <c r="C80" s="28">
        <v>1</v>
      </c>
      <c r="D80" s="209">
        <v>1</v>
      </c>
    </row>
    <row r="81" spans="1:4" x14ac:dyDescent="0.2">
      <c r="A81" s="117" t="s">
        <v>329</v>
      </c>
      <c r="B81" s="27" t="s">
        <v>330</v>
      </c>
      <c r="C81" s="28">
        <v>9</v>
      </c>
      <c r="D81" s="209">
        <v>9</v>
      </c>
    </row>
    <row r="82" spans="1:4" x14ac:dyDescent="0.2">
      <c r="A82" s="117" t="s">
        <v>315</v>
      </c>
      <c r="B82" s="27" t="s">
        <v>102</v>
      </c>
      <c r="C82" s="28">
        <v>2</v>
      </c>
      <c r="D82" s="209">
        <v>2</v>
      </c>
    </row>
    <row r="83" spans="1:4" x14ac:dyDescent="0.2">
      <c r="A83" s="117" t="s">
        <v>316</v>
      </c>
      <c r="B83" s="204" t="s">
        <v>236</v>
      </c>
      <c r="C83" s="28">
        <v>6</v>
      </c>
      <c r="D83" s="209">
        <v>6</v>
      </c>
    </row>
    <row r="84" spans="1:4" x14ac:dyDescent="0.2">
      <c r="A84" s="13"/>
      <c r="C84" s="28"/>
      <c r="D84" s="38" t="s">
        <v>204</v>
      </c>
    </row>
    <row r="85" spans="1:4" x14ac:dyDescent="0.2">
      <c r="A85" s="117"/>
      <c r="B85" s="24" t="s">
        <v>88</v>
      </c>
      <c r="C85" s="175">
        <f>SUM(C45:C84)</f>
        <v>251</v>
      </c>
      <c r="D85" s="37">
        <f>SUM(D45:D84)</f>
        <v>251</v>
      </c>
    </row>
    <row r="86" spans="1:4" x14ac:dyDescent="0.2">
      <c r="A86" s="13"/>
      <c r="C86" s="32"/>
      <c r="D86" s="38"/>
    </row>
    <row r="87" spans="1:4" ht="13.5" thickBot="1" x14ac:dyDescent="0.25">
      <c r="A87" s="119"/>
      <c r="B87" s="120" t="s">
        <v>89</v>
      </c>
      <c r="C87" s="176">
        <f>C39+C85</f>
        <v>395</v>
      </c>
      <c r="D87" s="122"/>
    </row>
    <row r="88" spans="1:4" x14ac:dyDescent="0.2">
      <c r="C88" s="3"/>
      <c r="D88" s="14"/>
    </row>
    <row r="89" spans="1:4" x14ac:dyDescent="0.2">
      <c r="C89" s="3"/>
      <c r="D89" s="14"/>
    </row>
    <row r="90" spans="1:4" x14ac:dyDescent="0.2">
      <c r="C90" s="3"/>
      <c r="D90" s="14"/>
    </row>
    <row r="91" spans="1:4" ht="13.5" thickBot="1" x14ac:dyDescent="0.25">
      <c r="C91" s="3"/>
      <c r="D91" s="14"/>
    </row>
    <row r="92" spans="1:4" ht="18" x14ac:dyDescent="0.25">
      <c r="A92" s="256" t="s">
        <v>322</v>
      </c>
      <c r="B92" s="257"/>
      <c r="C92" s="257"/>
      <c r="D92" s="1"/>
    </row>
    <row r="93" spans="1:4" ht="18" x14ac:dyDescent="0.25">
      <c r="A93" s="108"/>
      <c r="B93" s="171" t="str">
        <f>Issue</f>
        <v>2024 Show Season V1 7/22/2024</v>
      </c>
      <c r="C93" s="109"/>
      <c r="D93" s="4"/>
    </row>
    <row r="94" spans="1:4" ht="15.75" x14ac:dyDescent="0.25">
      <c r="A94" s="7"/>
      <c r="B94" s="107" t="str">
        <f>Season</f>
        <v>2022/2023</v>
      </c>
      <c r="C94" s="8" t="str">
        <f>C4</f>
        <v>Current</v>
      </c>
      <c r="D94" s="6" t="str">
        <f>D4</f>
        <v>RESPONSIBLE</v>
      </c>
    </row>
    <row r="95" spans="1:4" x14ac:dyDescent="0.2">
      <c r="A95" s="9" t="s">
        <v>2</v>
      </c>
      <c r="B95" s="10" t="s">
        <v>3</v>
      </c>
      <c r="C95" s="11" t="s">
        <v>4</v>
      </c>
      <c r="D95" s="12" t="s">
        <v>5</v>
      </c>
    </row>
    <row r="96" spans="1:4" x14ac:dyDescent="0.2">
      <c r="A96" s="117" t="s">
        <v>6</v>
      </c>
      <c r="B96" s="27" t="s">
        <v>7</v>
      </c>
      <c r="C96" s="28">
        <v>4</v>
      </c>
      <c r="D96" s="118" t="s">
        <v>189</v>
      </c>
    </row>
    <row r="97" spans="1:4" x14ac:dyDescent="0.2">
      <c r="A97" s="117" t="s">
        <v>9</v>
      </c>
      <c r="B97" s="27" t="s">
        <v>10</v>
      </c>
      <c r="C97" s="28">
        <v>2</v>
      </c>
      <c r="D97" s="123" t="s">
        <v>189</v>
      </c>
    </row>
    <row r="98" spans="1:4" x14ac:dyDescent="0.2">
      <c r="A98" s="117" t="s">
        <v>11</v>
      </c>
      <c r="B98" s="27" t="s">
        <v>12</v>
      </c>
      <c r="C98" s="28">
        <v>2</v>
      </c>
      <c r="D98" s="118" t="s">
        <v>13</v>
      </c>
    </row>
    <row r="99" spans="1:4" x14ac:dyDescent="0.2">
      <c r="A99" s="117" t="s">
        <v>14</v>
      </c>
      <c r="B99" s="27" t="s">
        <v>15</v>
      </c>
      <c r="C99" s="28">
        <v>2</v>
      </c>
      <c r="D99" s="118" t="s">
        <v>115</v>
      </c>
    </row>
    <row r="100" spans="1:4" x14ac:dyDescent="0.2">
      <c r="A100" s="117" t="s">
        <v>17</v>
      </c>
      <c r="B100" s="27" t="s">
        <v>18</v>
      </c>
      <c r="C100" s="28">
        <v>6</v>
      </c>
      <c r="D100" s="118" t="s">
        <v>19</v>
      </c>
    </row>
    <row r="101" spans="1:4" x14ac:dyDescent="0.2">
      <c r="A101" s="117" t="s">
        <v>20</v>
      </c>
      <c r="B101" s="27" t="s">
        <v>91</v>
      </c>
      <c r="C101" s="28">
        <v>4</v>
      </c>
      <c r="D101" s="118" t="s">
        <v>19</v>
      </c>
    </row>
    <row r="102" spans="1:4" x14ac:dyDescent="0.2">
      <c r="A102" s="117" t="s">
        <v>22</v>
      </c>
      <c r="B102" s="27" t="s">
        <v>92</v>
      </c>
      <c r="C102" s="28">
        <v>7</v>
      </c>
      <c r="D102" s="118" t="s">
        <v>27</v>
      </c>
    </row>
    <row r="103" spans="1:4" x14ac:dyDescent="0.2">
      <c r="A103" s="117" t="s">
        <v>25</v>
      </c>
      <c r="B103" s="27" t="str">
        <f>B13</f>
        <v>Email flyer distribution</v>
      </c>
      <c r="C103" s="28">
        <v>2</v>
      </c>
      <c r="D103" s="118" t="s">
        <v>27</v>
      </c>
    </row>
    <row r="104" spans="1:4" x14ac:dyDescent="0.2">
      <c r="A104" s="117" t="s">
        <v>291</v>
      </c>
      <c r="B104" s="27" t="s">
        <v>292</v>
      </c>
      <c r="C104" s="28">
        <v>8</v>
      </c>
      <c r="D104" s="118" t="s">
        <v>27</v>
      </c>
    </row>
    <row r="105" spans="1:4" x14ac:dyDescent="0.2">
      <c r="A105" s="117" t="s">
        <v>28</v>
      </c>
      <c r="B105" s="27"/>
      <c r="C105" s="28">
        <v>0</v>
      </c>
      <c r="D105" s="123"/>
    </row>
    <row r="106" spans="1:4" x14ac:dyDescent="0.2">
      <c r="A106" s="117" t="s">
        <v>33</v>
      </c>
      <c r="B106" s="27" t="s">
        <v>93</v>
      </c>
      <c r="C106" s="28">
        <v>4</v>
      </c>
      <c r="D106" s="118" t="s">
        <v>39</v>
      </c>
    </row>
    <row r="107" spans="1:4" x14ac:dyDescent="0.2">
      <c r="A107" s="117" t="s">
        <v>35</v>
      </c>
      <c r="B107" s="27" t="s">
        <v>94</v>
      </c>
      <c r="C107" s="28">
        <v>8</v>
      </c>
      <c r="D107" s="118" t="s">
        <v>39</v>
      </c>
    </row>
    <row r="108" spans="1:4" x14ac:dyDescent="0.2">
      <c r="A108" s="117" t="s">
        <v>37</v>
      </c>
      <c r="B108" s="27" t="s">
        <v>38</v>
      </c>
      <c r="C108" s="28">
        <v>4</v>
      </c>
      <c r="D108" s="123" t="s">
        <v>50</v>
      </c>
    </row>
    <row r="109" spans="1:4" x14ac:dyDescent="0.2">
      <c r="A109" s="117" t="s">
        <v>40</v>
      </c>
      <c r="B109" s="27" t="s">
        <v>41</v>
      </c>
      <c r="C109" s="28">
        <v>12</v>
      </c>
      <c r="D109" s="123" t="s">
        <v>50</v>
      </c>
    </row>
    <row r="110" spans="1:4" x14ac:dyDescent="0.2">
      <c r="A110" s="117" t="s">
        <v>42</v>
      </c>
      <c r="B110" s="27" t="s">
        <v>169</v>
      </c>
      <c r="C110" s="28">
        <v>5</v>
      </c>
      <c r="D110" s="123" t="s">
        <v>50</v>
      </c>
    </row>
    <row r="111" spans="1:4" x14ac:dyDescent="0.2">
      <c r="A111" s="117" t="s">
        <v>44</v>
      </c>
      <c r="B111" s="27" t="s">
        <v>170</v>
      </c>
      <c r="C111" s="28">
        <v>5</v>
      </c>
      <c r="D111" s="123" t="s">
        <v>32</v>
      </c>
    </row>
    <row r="112" spans="1:4" x14ac:dyDescent="0.2">
      <c r="A112" s="117" t="s">
        <v>46</v>
      </c>
      <c r="B112" s="27" t="s">
        <v>95</v>
      </c>
      <c r="C112" s="28">
        <v>14</v>
      </c>
      <c r="D112" s="123" t="s">
        <v>48</v>
      </c>
    </row>
    <row r="113" spans="1:4" x14ac:dyDescent="0.2">
      <c r="A113" s="117" t="s">
        <v>49</v>
      </c>
      <c r="B113" s="27" t="s">
        <v>96</v>
      </c>
      <c r="C113" s="28">
        <v>6</v>
      </c>
      <c r="D113" s="123" t="s">
        <v>39</v>
      </c>
    </row>
    <row r="114" spans="1:4" x14ac:dyDescent="0.2">
      <c r="A114" s="117" t="s">
        <v>51</v>
      </c>
      <c r="B114" s="27" t="s">
        <v>52</v>
      </c>
      <c r="C114" s="28">
        <v>4</v>
      </c>
      <c r="D114" s="123" t="s">
        <v>116</v>
      </c>
    </row>
    <row r="115" spans="1:4" x14ac:dyDescent="0.2">
      <c r="A115" s="117" t="s">
        <v>54</v>
      </c>
      <c r="B115" s="27" t="s">
        <v>55</v>
      </c>
      <c r="C115" s="28">
        <v>9</v>
      </c>
      <c r="D115" s="123" t="s">
        <v>116</v>
      </c>
    </row>
    <row r="116" spans="1:4" x14ac:dyDescent="0.2">
      <c r="A116" s="203" t="s">
        <v>294</v>
      </c>
      <c r="B116" s="204" t="s">
        <v>295</v>
      </c>
      <c r="C116" s="28">
        <v>4</v>
      </c>
      <c r="D116" s="123" t="s">
        <v>120</v>
      </c>
    </row>
    <row r="117" spans="1:4" x14ac:dyDescent="0.2">
      <c r="A117" s="117" t="s">
        <v>56</v>
      </c>
      <c r="B117" s="27" t="s">
        <v>57</v>
      </c>
      <c r="C117" s="28">
        <v>1</v>
      </c>
      <c r="D117" s="123" t="s">
        <v>58</v>
      </c>
    </row>
    <row r="118" spans="1:4" x14ac:dyDescent="0.2">
      <c r="A118" s="117" t="s">
        <v>59</v>
      </c>
      <c r="B118" s="27" t="s">
        <v>97</v>
      </c>
      <c r="C118" s="28">
        <v>4</v>
      </c>
      <c r="D118" s="123" t="s">
        <v>116</v>
      </c>
    </row>
    <row r="119" spans="1:4" x14ac:dyDescent="0.2">
      <c r="A119" s="117" t="s">
        <v>61</v>
      </c>
      <c r="B119" s="27" t="s">
        <v>62</v>
      </c>
      <c r="C119" s="28">
        <v>1</v>
      </c>
      <c r="D119" s="123" t="s">
        <v>29</v>
      </c>
    </row>
    <row r="120" spans="1:4" x14ac:dyDescent="0.2">
      <c r="A120" s="117" t="s">
        <v>63</v>
      </c>
      <c r="B120" s="27" t="s">
        <v>64</v>
      </c>
      <c r="C120" s="28">
        <v>2</v>
      </c>
      <c r="D120" s="123" t="s">
        <v>297</v>
      </c>
    </row>
    <row r="121" spans="1:4" x14ac:dyDescent="0.2">
      <c r="A121" s="117" t="s">
        <v>65</v>
      </c>
      <c r="B121" s="27" t="s">
        <v>66</v>
      </c>
      <c r="C121" s="28">
        <v>2</v>
      </c>
      <c r="D121" s="118" t="s">
        <v>306</v>
      </c>
    </row>
    <row r="122" spans="1:4" x14ac:dyDescent="0.2">
      <c r="A122" s="117" t="s">
        <v>67</v>
      </c>
      <c r="B122" s="27" t="s">
        <v>98</v>
      </c>
      <c r="C122" s="28">
        <v>2</v>
      </c>
      <c r="D122" s="118" t="s">
        <v>39</v>
      </c>
    </row>
    <row r="123" spans="1:4" x14ac:dyDescent="0.2">
      <c r="A123" s="117" t="s">
        <v>73</v>
      </c>
      <c r="B123" s="27" t="s">
        <v>74</v>
      </c>
      <c r="C123" s="28">
        <v>3</v>
      </c>
      <c r="D123" s="123" t="s">
        <v>39</v>
      </c>
    </row>
    <row r="124" spans="1:4" x14ac:dyDescent="0.2">
      <c r="A124" s="117" t="s">
        <v>103</v>
      </c>
      <c r="B124" s="27" t="s">
        <v>239</v>
      </c>
      <c r="C124" s="33">
        <v>5</v>
      </c>
      <c r="D124" s="118" t="s">
        <v>48</v>
      </c>
    </row>
    <row r="125" spans="1:4" x14ac:dyDescent="0.2">
      <c r="A125" s="117" t="s">
        <v>272</v>
      </c>
      <c r="B125" s="27" t="s">
        <v>273</v>
      </c>
      <c r="C125" s="28">
        <v>1</v>
      </c>
      <c r="D125" s="118" t="s">
        <v>119</v>
      </c>
    </row>
    <row r="126" spans="1:4" x14ac:dyDescent="0.2">
      <c r="A126" s="117" t="s">
        <v>274</v>
      </c>
      <c r="B126" s="27" t="s">
        <v>275</v>
      </c>
      <c r="C126" s="28">
        <v>1</v>
      </c>
      <c r="D126" s="118" t="s">
        <v>109</v>
      </c>
    </row>
    <row r="127" spans="1:4" x14ac:dyDescent="0.2">
      <c r="A127" s="202"/>
      <c r="C127" s="3"/>
      <c r="D127" s="4"/>
    </row>
    <row r="128" spans="1:4" ht="13.5" thickBot="1" x14ac:dyDescent="0.25">
      <c r="A128" s="124"/>
      <c r="B128" s="120" t="s">
        <v>99</v>
      </c>
      <c r="C128" s="176">
        <f>SUM(C95:C127)</f>
        <v>134</v>
      </c>
      <c r="D128" s="121"/>
    </row>
    <row r="129" spans="1:4" x14ac:dyDescent="0.2">
      <c r="A129" s="3"/>
      <c r="C129" s="3"/>
      <c r="D129" s="14"/>
    </row>
    <row r="130" spans="1:4" ht="13.5" thickBot="1" x14ac:dyDescent="0.25">
      <c r="A130" s="3"/>
      <c r="C130" s="3"/>
      <c r="D130" s="14"/>
    </row>
    <row r="131" spans="1:4" ht="18" x14ac:dyDescent="0.25">
      <c r="A131" s="256" t="s">
        <v>324</v>
      </c>
      <c r="B131" s="257"/>
      <c r="C131" s="257"/>
      <c r="D131" s="1"/>
    </row>
    <row r="132" spans="1:4" x14ac:dyDescent="0.2">
      <c r="A132" s="13"/>
      <c r="B132" s="171" t="str">
        <f>Issue</f>
        <v>2024 Show Season V1 7/22/2024</v>
      </c>
      <c r="C132" s="3"/>
      <c r="D132" s="4"/>
    </row>
    <row r="133" spans="1:4" ht="15.75" x14ac:dyDescent="0.25">
      <c r="A133" s="17"/>
      <c r="B133" s="107" t="str">
        <f>Season</f>
        <v>2022/2023</v>
      </c>
      <c r="C133" s="3"/>
      <c r="D133" s="4"/>
    </row>
    <row r="134" spans="1:4" x14ac:dyDescent="0.2">
      <c r="A134" s="17"/>
      <c r="C134" s="3" t="s">
        <v>76</v>
      </c>
      <c r="D134" s="38" t="s">
        <v>207</v>
      </c>
    </row>
    <row r="135" spans="1:4" x14ac:dyDescent="0.2">
      <c r="A135" s="9" t="s">
        <v>2</v>
      </c>
      <c r="B135" s="10" t="s">
        <v>3</v>
      </c>
      <c r="C135" s="15" t="s">
        <v>4</v>
      </c>
      <c r="D135" s="116" t="s">
        <v>208</v>
      </c>
    </row>
    <row r="136" spans="1:4" x14ac:dyDescent="0.2">
      <c r="A136" s="230" t="s">
        <v>72</v>
      </c>
      <c r="B136" s="27" t="s">
        <v>203</v>
      </c>
      <c r="C136" s="28">
        <v>5</v>
      </c>
      <c r="D136" s="209">
        <v>5</v>
      </c>
    </row>
    <row r="137" spans="1:4" x14ac:dyDescent="0.2">
      <c r="A137" s="31" t="s">
        <v>77</v>
      </c>
      <c r="B137" s="27" t="s">
        <v>213</v>
      </c>
      <c r="C137" s="28">
        <v>6</v>
      </c>
      <c r="D137" s="209">
        <v>6</v>
      </c>
    </row>
    <row r="138" spans="1:4" x14ac:dyDescent="0.2">
      <c r="A138" s="31" t="s">
        <v>327</v>
      </c>
      <c r="B138" s="204" t="s">
        <v>328</v>
      </c>
      <c r="C138" s="28">
        <v>18</v>
      </c>
      <c r="D138" s="209">
        <v>18</v>
      </c>
    </row>
    <row r="139" spans="1:4" x14ac:dyDescent="0.2">
      <c r="A139" s="31" t="s">
        <v>144</v>
      </c>
      <c r="B139" s="27" t="s">
        <v>222</v>
      </c>
      <c r="C139" s="28">
        <v>3</v>
      </c>
      <c r="D139" s="209">
        <v>3</v>
      </c>
    </row>
    <row r="140" spans="1:4" x14ac:dyDescent="0.2">
      <c r="A140" s="31" t="s">
        <v>143</v>
      </c>
      <c r="B140" s="27" t="s">
        <v>223</v>
      </c>
      <c r="C140" s="28">
        <v>1</v>
      </c>
      <c r="D140" s="209">
        <v>1</v>
      </c>
    </row>
    <row r="141" spans="1:4" x14ac:dyDescent="0.2">
      <c r="A141" s="31" t="s">
        <v>145</v>
      </c>
      <c r="B141" s="27" t="s">
        <v>224</v>
      </c>
      <c r="C141" s="28">
        <v>3</v>
      </c>
      <c r="D141" s="209">
        <v>3</v>
      </c>
    </row>
    <row r="142" spans="1:4" x14ac:dyDescent="0.2">
      <c r="A142" s="31" t="s">
        <v>146</v>
      </c>
      <c r="B142" s="27" t="s">
        <v>225</v>
      </c>
      <c r="C142" s="28">
        <v>1</v>
      </c>
      <c r="D142" s="209">
        <v>1</v>
      </c>
    </row>
    <row r="143" spans="1:4" x14ac:dyDescent="0.2">
      <c r="A143" s="31" t="s">
        <v>173</v>
      </c>
      <c r="B143" s="27" t="s">
        <v>226</v>
      </c>
      <c r="C143" s="28">
        <v>7</v>
      </c>
      <c r="D143" s="209">
        <v>7</v>
      </c>
    </row>
    <row r="144" spans="1:4" x14ac:dyDescent="0.2">
      <c r="A144" s="31" t="s">
        <v>174</v>
      </c>
      <c r="B144" s="27" t="s">
        <v>227</v>
      </c>
      <c r="C144" s="28">
        <v>6</v>
      </c>
      <c r="D144" s="209">
        <v>6</v>
      </c>
    </row>
    <row r="145" spans="1:4" x14ac:dyDescent="0.2">
      <c r="A145" s="31" t="s">
        <v>78</v>
      </c>
      <c r="B145" s="27" t="s">
        <v>128</v>
      </c>
      <c r="C145" s="28">
        <v>7</v>
      </c>
      <c r="D145" s="209">
        <v>7</v>
      </c>
    </row>
    <row r="146" spans="1:4" x14ac:dyDescent="0.2">
      <c r="A146" s="31" t="s">
        <v>79</v>
      </c>
      <c r="B146" s="27" t="s">
        <v>140</v>
      </c>
      <c r="C146" s="28">
        <v>10</v>
      </c>
      <c r="D146" s="209">
        <v>10</v>
      </c>
    </row>
    <row r="147" spans="1:4" x14ac:dyDescent="0.2">
      <c r="A147" s="31" t="s">
        <v>80</v>
      </c>
      <c r="B147" s="27" t="s">
        <v>151</v>
      </c>
      <c r="C147" s="28">
        <v>7</v>
      </c>
      <c r="D147" s="209">
        <v>7</v>
      </c>
    </row>
    <row r="148" spans="1:4" x14ac:dyDescent="0.2">
      <c r="A148" s="31" t="s">
        <v>141</v>
      </c>
      <c r="B148" s="27" t="s">
        <v>214</v>
      </c>
      <c r="C148" s="28">
        <v>4</v>
      </c>
      <c r="D148" s="209">
        <v>4</v>
      </c>
    </row>
    <row r="149" spans="1:4" x14ac:dyDescent="0.2">
      <c r="A149" s="31" t="s">
        <v>147</v>
      </c>
      <c r="B149" s="27" t="s">
        <v>215</v>
      </c>
      <c r="C149" s="28">
        <v>3</v>
      </c>
      <c r="D149" s="209">
        <v>3</v>
      </c>
    </row>
    <row r="150" spans="1:4" x14ac:dyDescent="0.2">
      <c r="A150" s="31" t="s">
        <v>81</v>
      </c>
      <c r="B150" s="27" t="s">
        <v>209</v>
      </c>
      <c r="C150" s="28">
        <v>9</v>
      </c>
      <c r="D150" s="209">
        <v>9</v>
      </c>
    </row>
    <row r="151" spans="1:4" x14ac:dyDescent="0.2">
      <c r="A151" s="31" t="s">
        <v>82</v>
      </c>
      <c r="B151" s="27" t="s">
        <v>211</v>
      </c>
      <c r="C151" s="28">
        <v>10</v>
      </c>
      <c r="D151" s="209">
        <v>10</v>
      </c>
    </row>
    <row r="152" spans="1:4" x14ac:dyDescent="0.2">
      <c r="A152" s="31" t="s">
        <v>83</v>
      </c>
      <c r="B152" s="27" t="s">
        <v>212</v>
      </c>
      <c r="C152" s="28">
        <v>7</v>
      </c>
      <c r="D152" s="209">
        <v>7</v>
      </c>
    </row>
    <row r="153" spans="1:4" x14ac:dyDescent="0.2">
      <c r="A153" s="31" t="s">
        <v>100</v>
      </c>
      <c r="B153" s="27" t="s">
        <v>228</v>
      </c>
      <c r="C153" s="28">
        <v>22</v>
      </c>
      <c r="D153" s="209">
        <v>22</v>
      </c>
    </row>
    <row r="154" spans="1:4" x14ac:dyDescent="0.2">
      <c r="A154" s="31" t="s">
        <v>100</v>
      </c>
      <c r="B154" s="27" t="s">
        <v>229</v>
      </c>
      <c r="C154" s="28">
        <v>14</v>
      </c>
      <c r="D154" s="209">
        <v>14</v>
      </c>
    </row>
    <row r="155" spans="1:4" x14ac:dyDescent="0.2">
      <c r="A155" s="31" t="s">
        <v>101</v>
      </c>
      <c r="B155" s="27" t="s">
        <v>230</v>
      </c>
      <c r="C155" s="28">
        <v>22</v>
      </c>
      <c r="D155" s="209">
        <v>22</v>
      </c>
    </row>
    <row r="156" spans="1:4" x14ac:dyDescent="0.2">
      <c r="A156" s="31" t="s">
        <v>101</v>
      </c>
      <c r="B156" s="27" t="s">
        <v>231</v>
      </c>
      <c r="C156" s="28">
        <v>14</v>
      </c>
      <c r="D156" s="209">
        <v>14</v>
      </c>
    </row>
    <row r="157" spans="1:4" x14ac:dyDescent="0.2">
      <c r="A157" s="31" t="s">
        <v>159</v>
      </c>
      <c r="B157" s="27" t="s">
        <v>216</v>
      </c>
      <c r="C157" s="28">
        <v>7</v>
      </c>
      <c r="D157" s="209">
        <v>7</v>
      </c>
    </row>
    <row r="158" spans="1:4" x14ac:dyDescent="0.2">
      <c r="A158" s="31" t="s">
        <v>160</v>
      </c>
      <c r="B158" s="27" t="s">
        <v>217</v>
      </c>
      <c r="C158" s="28">
        <v>6</v>
      </c>
      <c r="D158" s="209">
        <v>6</v>
      </c>
    </row>
    <row r="159" spans="1:4" x14ac:dyDescent="0.2">
      <c r="A159" s="31" t="s">
        <v>237</v>
      </c>
      <c r="B159" s="27" t="s">
        <v>232</v>
      </c>
      <c r="C159" s="28">
        <v>7</v>
      </c>
      <c r="D159" s="209">
        <v>7</v>
      </c>
    </row>
    <row r="160" spans="1:4" x14ac:dyDescent="0.2">
      <c r="A160" s="31" t="s">
        <v>238</v>
      </c>
      <c r="B160" s="27" t="s">
        <v>233</v>
      </c>
      <c r="C160" s="28">
        <v>0</v>
      </c>
      <c r="D160" s="209">
        <v>0</v>
      </c>
    </row>
    <row r="161" spans="1:4" x14ac:dyDescent="0.2">
      <c r="A161" s="31" t="s">
        <v>162</v>
      </c>
      <c r="B161" s="27" t="s">
        <v>234</v>
      </c>
      <c r="C161" s="28">
        <v>5</v>
      </c>
      <c r="D161" s="209">
        <v>5</v>
      </c>
    </row>
    <row r="162" spans="1:4" x14ac:dyDescent="0.2">
      <c r="A162" s="31" t="s">
        <v>163</v>
      </c>
      <c r="B162" s="27" t="s">
        <v>235</v>
      </c>
      <c r="C162" s="28">
        <v>0</v>
      </c>
      <c r="D162" s="209">
        <v>0</v>
      </c>
    </row>
    <row r="163" spans="1:4" x14ac:dyDescent="0.2">
      <c r="A163" s="31" t="s">
        <v>86</v>
      </c>
      <c r="B163" s="27" t="s">
        <v>221</v>
      </c>
      <c r="C163" s="28">
        <v>7</v>
      </c>
      <c r="D163" s="209">
        <v>7</v>
      </c>
    </row>
    <row r="164" spans="1:4" x14ac:dyDescent="0.2">
      <c r="A164" s="31" t="s">
        <v>86</v>
      </c>
      <c r="B164" s="27" t="s">
        <v>220</v>
      </c>
      <c r="C164" s="28">
        <v>6</v>
      </c>
      <c r="D164" s="209">
        <v>6</v>
      </c>
    </row>
    <row r="165" spans="1:4" x14ac:dyDescent="0.2">
      <c r="A165" s="31" t="s">
        <v>342</v>
      </c>
      <c r="B165" s="27" t="s">
        <v>344</v>
      </c>
      <c r="C165" s="28">
        <v>7</v>
      </c>
      <c r="D165" s="209">
        <v>7</v>
      </c>
    </row>
    <row r="166" spans="1:4" x14ac:dyDescent="0.2">
      <c r="A166" s="31" t="s">
        <v>343</v>
      </c>
      <c r="B166" s="204" t="s">
        <v>345</v>
      </c>
      <c r="C166" s="28">
        <v>6</v>
      </c>
      <c r="D166" s="209">
        <v>6</v>
      </c>
    </row>
    <row r="167" spans="1:4" x14ac:dyDescent="0.2">
      <c r="A167" s="31" t="s">
        <v>164</v>
      </c>
      <c r="B167" s="27" t="s">
        <v>218</v>
      </c>
      <c r="C167" s="28">
        <v>3</v>
      </c>
      <c r="D167" s="209">
        <v>3</v>
      </c>
    </row>
    <row r="168" spans="1:4" x14ac:dyDescent="0.2">
      <c r="A168" s="31" t="s">
        <v>165</v>
      </c>
      <c r="B168" s="27" t="s">
        <v>219</v>
      </c>
      <c r="C168" s="28">
        <v>1</v>
      </c>
      <c r="D168" s="209">
        <v>1</v>
      </c>
    </row>
    <row r="169" spans="1:4" x14ac:dyDescent="0.2">
      <c r="A169" s="31" t="s">
        <v>329</v>
      </c>
      <c r="B169" s="27" t="s">
        <v>330</v>
      </c>
      <c r="C169" s="28">
        <v>9</v>
      </c>
      <c r="D169" s="209">
        <v>9</v>
      </c>
    </row>
    <row r="170" spans="1:4" x14ac:dyDescent="0.2">
      <c r="A170" s="31" t="s">
        <v>87</v>
      </c>
      <c r="B170" s="27" t="s">
        <v>102</v>
      </c>
      <c r="C170" s="28">
        <v>2</v>
      </c>
      <c r="D170" s="209">
        <v>2</v>
      </c>
    </row>
    <row r="171" spans="1:4" x14ac:dyDescent="0.2">
      <c r="A171" s="31" t="s">
        <v>119</v>
      </c>
      <c r="B171" s="27" t="s">
        <v>236</v>
      </c>
      <c r="C171" s="28">
        <v>6</v>
      </c>
      <c r="D171" s="209">
        <v>6</v>
      </c>
    </row>
    <row r="172" spans="1:4" x14ac:dyDescent="0.2">
      <c r="A172" s="125"/>
      <c r="C172" s="3"/>
      <c r="D172" s="126" t="s">
        <v>204</v>
      </c>
    </row>
    <row r="173" spans="1:4" x14ac:dyDescent="0.2">
      <c r="A173" s="117"/>
      <c r="B173" s="24" t="s">
        <v>88</v>
      </c>
      <c r="C173" s="175">
        <f>SUM(C135:C172)</f>
        <v>251</v>
      </c>
      <c r="D173" s="178">
        <f>SUM(D135:D172)</f>
        <v>251</v>
      </c>
    </row>
    <row r="174" spans="1:4" x14ac:dyDescent="0.2">
      <c r="A174" s="7"/>
      <c r="C174" s="3"/>
      <c r="D174" s="38"/>
    </row>
    <row r="175" spans="1:4" x14ac:dyDescent="0.2">
      <c r="A175" s="31"/>
      <c r="B175" s="34" t="s">
        <v>104</v>
      </c>
      <c r="C175" s="175">
        <f>C128+C173</f>
        <v>385</v>
      </c>
      <c r="D175" s="37"/>
    </row>
    <row r="176" spans="1:4" x14ac:dyDescent="0.2">
      <c r="A176" s="7"/>
      <c r="C176" s="3"/>
      <c r="D176" s="38"/>
    </row>
    <row r="177" spans="1:4" ht="13.5" thickBot="1" x14ac:dyDescent="0.25">
      <c r="A177" s="119"/>
      <c r="B177" s="127" t="s">
        <v>161</v>
      </c>
      <c r="C177" s="176">
        <f>C87+C175</f>
        <v>780</v>
      </c>
      <c r="D177" s="122"/>
    </row>
  </sheetData>
  <mergeCells count="4">
    <mergeCell ref="A1:C1"/>
    <mergeCell ref="A42:C42"/>
    <mergeCell ref="A92:C92"/>
    <mergeCell ref="A131:C131"/>
  </mergeCells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1" max="16383" man="1"/>
    <brk id="130" max="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3"/>
  <sheetViews>
    <sheetView zoomScaleNormal="100" workbookViewId="0">
      <pane ySplit="5" topLeftCell="A6" activePane="bottomLeft" state="frozen"/>
      <selection pane="bottomLeft" activeCell="A17" sqref="A17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72" t="s">
        <v>318</v>
      </c>
      <c r="B1" s="72"/>
      <c r="C1" s="72"/>
      <c r="D1" s="72"/>
      <c r="E1" s="72"/>
      <c r="F1" s="72"/>
      <c r="G1" s="73"/>
      <c r="H1" s="74"/>
      <c r="I1" s="74"/>
      <c r="J1" s="74"/>
      <c r="K1" s="74"/>
      <c r="L1" s="74"/>
      <c r="M1" s="74" t="s">
        <v>267</v>
      </c>
      <c r="N1" s="71" t="str">
        <f>Issue</f>
        <v>2024 Show Season V1 7/22/2024</v>
      </c>
      <c r="O1" s="71"/>
      <c r="P1" s="71"/>
      <c r="Q1" s="71"/>
      <c r="R1" s="73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1:51" ht="15.75" x14ac:dyDescent="0.25">
      <c r="A2" s="72" t="s">
        <v>319</v>
      </c>
      <c r="B2" s="72"/>
      <c r="C2" s="72"/>
      <c r="D2" s="72"/>
      <c r="E2" s="72"/>
      <c r="F2" s="72"/>
      <c r="G2" s="73"/>
      <c r="H2" s="75"/>
      <c r="I2" s="76"/>
      <c r="J2" s="75"/>
      <c r="K2" s="75"/>
      <c r="L2" s="75"/>
      <c r="M2" s="75"/>
      <c r="N2" s="71"/>
      <c r="O2" s="71"/>
      <c r="P2" s="71"/>
      <c r="Q2" s="71"/>
      <c r="R2" s="7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14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</row>
    <row r="3" spans="1:51" ht="15" customHeight="1" x14ac:dyDescent="0.3">
      <c r="A3" s="79" t="s">
        <v>348</v>
      </c>
      <c r="B3" s="226"/>
      <c r="C3" s="226"/>
      <c r="D3" s="226"/>
      <c r="E3" s="226"/>
      <c r="F3" s="226"/>
      <c r="G3" s="73"/>
      <c r="H3" s="75"/>
      <c r="I3" s="76"/>
      <c r="J3" s="173" t="s">
        <v>166</v>
      </c>
      <c r="K3" s="78"/>
      <c r="L3" s="77"/>
      <c r="M3" s="77"/>
      <c r="N3" s="71"/>
      <c r="O3" s="71"/>
      <c r="P3" s="71"/>
      <c r="Q3" s="71"/>
      <c r="R3" s="73"/>
      <c r="S3" s="20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</row>
    <row r="4" spans="1:51" ht="15.75" x14ac:dyDescent="0.25">
      <c r="A4" s="74"/>
      <c r="B4" s="74"/>
      <c r="C4" s="74"/>
      <c r="D4" s="74"/>
      <c r="E4" s="74"/>
      <c r="F4" s="74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3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</row>
    <row r="5" spans="1:51" ht="16.5" thickBot="1" x14ac:dyDescent="0.3">
      <c r="A5" s="62" t="str">
        <f>A3</f>
        <v>Friday 9/29/2023</v>
      </c>
      <c r="B5" s="225" t="s">
        <v>130</v>
      </c>
      <c r="C5" s="225" t="s">
        <v>131</v>
      </c>
      <c r="D5" s="232" t="s">
        <v>132</v>
      </c>
      <c r="E5" s="225" t="s">
        <v>133</v>
      </c>
      <c r="F5" s="225" t="s">
        <v>134</v>
      </c>
      <c r="G5" s="63" t="s">
        <v>135</v>
      </c>
      <c r="H5" s="63" t="s">
        <v>136</v>
      </c>
      <c r="I5" s="63" t="s">
        <v>137</v>
      </c>
      <c r="J5" s="63" t="s">
        <v>138</v>
      </c>
      <c r="K5" s="63" t="s">
        <v>139</v>
      </c>
      <c r="L5" s="63" t="s">
        <v>150</v>
      </c>
      <c r="M5" s="63" t="s">
        <v>175</v>
      </c>
      <c r="N5" s="63" t="s">
        <v>130</v>
      </c>
      <c r="O5" s="63" t="s">
        <v>131</v>
      </c>
      <c r="P5" s="63" t="s">
        <v>132</v>
      </c>
      <c r="Q5" s="63" t="s">
        <v>176</v>
      </c>
      <c r="R5" s="73"/>
      <c r="S5" s="20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</row>
    <row r="6" spans="1:51" ht="15.75" x14ac:dyDescent="0.25">
      <c r="A6" s="64" t="s">
        <v>203</v>
      </c>
      <c r="B6" s="71"/>
      <c r="C6" s="71"/>
      <c r="D6" s="71"/>
      <c r="E6" s="71"/>
      <c r="F6" s="71"/>
      <c r="G6" s="48" t="s">
        <v>50</v>
      </c>
      <c r="H6" s="48" t="s">
        <v>50</v>
      </c>
      <c r="I6" s="48" t="s">
        <v>50</v>
      </c>
      <c r="J6" s="48" t="s">
        <v>50</v>
      </c>
      <c r="K6" s="48" t="s">
        <v>50</v>
      </c>
      <c r="L6" s="43"/>
      <c r="M6" s="43"/>
      <c r="N6" s="43"/>
      <c r="O6" s="43"/>
      <c r="P6" s="43"/>
      <c r="Q6" s="179"/>
      <c r="R6" s="174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</row>
    <row r="7" spans="1:51" ht="15" x14ac:dyDescent="0.2">
      <c r="A7" s="65" t="s">
        <v>203</v>
      </c>
      <c r="B7" s="71"/>
      <c r="C7" s="71"/>
      <c r="D7" s="71"/>
      <c r="E7" s="71"/>
      <c r="F7" s="71"/>
      <c r="G7" s="43"/>
      <c r="H7" s="43"/>
      <c r="I7" s="43"/>
      <c r="J7" s="43"/>
      <c r="K7" s="43"/>
      <c r="L7" s="43"/>
      <c r="M7" s="43"/>
      <c r="N7" s="43"/>
      <c r="O7" s="43"/>
      <c r="P7" s="43"/>
      <c r="Q7" s="179"/>
      <c r="R7" s="73"/>
      <c r="S7" s="20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Y7" s="20"/>
    </row>
    <row r="8" spans="1:51" ht="15" x14ac:dyDescent="0.2">
      <c r="A8" s="65" t="s">
        <v>330</v>
      </c>
      <c r="B8" s="65"/>
      <c r="C8" s="65"/>
      <c r="D8" s="205" t="s">
        <v>32</v>
      </c>
      <c r="E8" s="205" t="s">
        <v>306</v>
      </c>
      <c r="F8" s="205" t="s">
        <v>306</v>
      </c>
      <c r="G8" s="238" t="s">
        <v>32</v>
      </c>
      <c r="H8" s="238" t="s">
        <v>32</v>
      </c>
      <c r="I8" s="238" t="s">
        <v>32</v>
      </c>
      <c r="J8" s="238" t="s">
        <v>32</v>
      </c>
      <c r="K8" s="238" t="s">
        <v>32</v>
      </c>
      <c r="L8" s="205" t="s">
        <v>32</v>
      </c>
      <c r="M8" s="205"/>
      <c r="N8" s="43"/>
      <c r="O8" s="43"/>
      <c r="P8" s="43"/>
      <c r="Q8" s="179"/>
      <c r="R8" s="73"/>
      <c r="S8" s="20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Y8" s="20"/>
    </row>
    <row r="9" spans="1:51" ht="15" x14ac:dyDescent="0.2">
      <c r="A9" s="65" t="s">
        <v>328</v>
      </c>
      <c r="B9" s="65"/>
      <c r="C9" s="65"/>
      <c r="D9" s="65"/>
      <c r="E9" s="205" t="s">
        <v>53</v>
      </c>
      <c r="F9" s="205" t="s">
        <v>53</v>
      </c>
      <c r="G9" s="238" t="s">
        <v>120</v>
      </c>
      <c r="H9" s="238" t="s">
        <v>118</v>
      </c>
      <c r="I9" s="238" t="s">
        <v>27</v>
      </c>
      <c r="J9" s="238" t="s">
        <v>120</v>
      </c>
      <c r="K9" s="238" t="s">
        <v>118</v>
      </c>
      <c r="L9" s="205" t="s">
        <v>109</v>
      </c>
      <c r="M9" s="205" t="s">
        <v>118</v>
      </c>
      <c r="N9" s="43"/>
      <c r="O9" s="43"/>
      <c r="P9" s="43"/>
      <c r="Q9" s="179"/>
      <c r="R9" s="73"/>
      <c r="S9" s="20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Y9" s="20"/>
    </row>
    <row r="10" spans="1:51" ht="15" x14ac:dyDescent="0.2">
      <c r="A10" s="65" t="s">
        <v>328</v>
      </c>
      <c r="B10" s="65"/>
      <c r="C10" s="65"/>
      <c r="D10" s="65"/>
      <c r="E10" s="239" t="s">
        <v>13</v>
      </c>
      <c r="F10" s="239" t="s">
        <v>13</v>
      </c>
      <c r="G10" s="238" t="s">
        <v>58</v>
      </c>
      <c r="H10" s="238" t="s">
        <v>58</v>
      </c>
      <c r="I10" s="238" t="s">
        <v>119</v>
      </c>
      <c r="J10" s="238" t="s">
        <v>27</v>
      </c>
      <c r="K10" s="238" t="s">
        <v>109</v>
      </c>
      <c r="L10" s="205" t="s">
        <v>29</v>
      </c>
      <c r="M10" s="205" t="s">
        <v>53</v>
      </c>
      <c r="N10" s="43"/>
      <c r="O10" s="43"/>
      <c r="P10" s="43"/>
      <c r="Q10" s="179"/>
      <c r="R10" s="73"/>
      <c r="S10" s="20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Y10" s="20"/>
    </row>
    <row r="11" spans="1:51" ht="15" x14ac:dyDescent="0.2">
      <c r="A11" s="66" t="s">
        <v>128</v>
      </c>
      <c r="B11" s="223"/>
      <c r="C11" s="223"/>
      <c r="D11" s="223"/>
      <c r="E11" s="223"/>
      <c r="F11" s="223"/>
      <c r="G11" s="41"/>
      <c r="H11" s="41"/>
      <c r="I11" s="47" t="s">
        <v>115</v>
      </c>
      <c r="J11" s="47" t="s">
        <v>115</v>
      </c>
      <c r="K11" s="47" t="s">
        <v>115</v>
      </c>
      <c r="L11" s="47" t="s">
        <v>115</v>
      </c>
      <c r="M11" s="47" t="s">
        <v>115</v>
      </c>
      <c r="N11" s="240" t="s">
        <v>115</v>
      </c>
      <c r="O11" s="240" t="s">
        <v>115</v>
      </c>
      <c r="P11" s="221"/>
      <c r="Q11" s="180"/>
      <c r="R11" s="7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14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Y11" s="20"/>
    </row>
    <row r="12" spans="1:51" ht="15" x14ac:dyDescent="0.2">
      <c r="A12" s="66" t="s">
        <v>209</v>
      </c>
      <c r="B12" s="223"/>
      <c r="C12" s="223"/>
      <c r="D12" s="223"/>
      <c r="E12" s="223"/>
      <c r="F12" s="223"/>
      <c r="G12" s="241" t="s">
        <v>53</v>
      </c>
      <c r="H12" s="241" t="s">
        <v>53</v>
      </c>
      <c r="I12" s="47" t="s">
        <v>53</v>
      </c>
      <c r="J12" s="47" t="s">
        <v>53</v>
      </c>
      <c r="K12" s="47" t="s">
        <v>58</v>
      </c>
      <c r="L12" s="47" t="s">
        <v>58</v>
      </c>
      <c r="M12" s="47" t="s">
        <v>58</v>
      </c>
      <c r="N12" s="48" t="s">
        <v>58</v>
      </c>
      <c r="O12" s="48" t="s">
        <v>58</v>
      </c>
      <c r="P12" s="220"/>
      <c r="Q12" s="180"/>
      <c r="R12" s="73"/>
      <c r="S12" s="20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Y12" s="20"/>
    </row>
    <row r="13" spans="1:51" ht="15" x14ac:dyDescent="0.2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Y13" s="20"/>
    </row>
  </sheetData>
  <sheetProtection sheet="1" objects="1" scenarios="1"/>
  <phoneticPr fontId="0" type="noConversion"/>
  <printOptions horizontalCentered="1" gridLines="1"/>
  <pageMargins left="0.5" right="0.25" top="1" bottom="1" header="0.5" footer="0.5"/>
  <pageSetup scale="8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31"/>
  <sheetViews>
    <sheetView zoomScaleNormal="100" workbookViewId="0">
      <pane ySplit="5" topLeftCell="A16" activePane="bottomLeft" state="frozen"/>
      <selection pane="bottomLeft" activeCell="A5" sqref="A5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21" bestFit="1" customWidth="1"/>
  </cols>
  <sheetData>
    <row r="1" spans="1:43" ht="15.75" x14ac:dyDescent="0.25">
      <c r="A1" s="72" t="s">
        <v>318</v>
      </c>
      <c r="B1" s="73"/>
      <c r="C1" s="72"/>
      <c r="D1" s="72"/>
      <c r="E1" s="72"/>
      <c r="F1" s="72"/>
      <c r="G1" s="72"/>
      <c r="H1" s="72" t="s">
        <v>267</v>
      </c>
      <c r="I1" s="71" t="str">
        <f>Issue</f>
        <v>2024 Show Season V1 7/22/2024</v>
      </c>
      <c r="J1" s="71"/>
      <c r="K1" s="71"/>
      <c r="L1" s="71"/>
      <c r="M1" s="73"/>
    </row>
    <row r="2" spans="1:43" ht="15.75" x14ac:dyDescent="0.25">
      <c r="A2" s="72" t="s">
        <v>319</v>
      </c>
      <c r="B2" s="75"/>
      <c r="C2" s="71"/>
      <c r="D2" s="71"/>
      <c r="E2" s="71"/>
      <c r="F2" s="71"/>
      <c r="G2" s="71"/>
      <c r="H2" s="71"/>
      <c r="I2" s="71"/>
      <c r="J2" s="71"/>
      <c r="K2" s="71"/>
      <c r="L2" s="71"/>
      <c r="M2" s="7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8.75" x14ac:dyDescent="0.3">
      <c r="A3" s="79" t="s">
        <v>349</v>
      </c>
      <c r="B3" s="71"/>
      <c r="C3" s="71"/>
      <c r="D3" s="71"/>
      <c r="E3" s="173" t="s">
        <v>167</v>
      </c>
      <c r="F3" s="77"/>
      <c r="G3" s="77"/>
      <c r="H3" s="71"/>
      <c r="I3" s="71"/>
      <c r="J3" s="71"/>
      <c r="K3" s="71"/>
      <c r="L3" s="71"/>
      <c r="M3" s="73"/>
      <c r="N3" s="20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3" ht="15.75" x14ac:dyDescent="0.25">
      <c r="A4" s="74"/>
      <c r="B4" s="71"/>
      <c r="C4" s="71"/>
      <c r="D4" s="71"/>
      <c r="E4" s="71"/>
      <c r="F4" s="71"/>
      <c r="G4" s="71"/>
      <c r="H4" s="71"/>
      <c r="I4" s="71"/>
      <c r="J4" s="71"/>
      <c r="K4" s="71"/>
      <c r="L4" s="82"/>
      <c r="M4" s="73"/>
      <c r="N4" s="20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</row>
    <row r="5" spans="1:43" ht="16.5" thickBot="1" x14ac:dyDescent="0.3">
      <c r="A5" s="62" t="str">
        <f>A3</f>
        <v>Saturday 9/30/2023</v>
      </c>
      <c r="B5" s="68" t="s">
        <v>130</v>
      </c>
      <c r="C5" s="68" t="s">
        <v>131</v>
      </c>
      <c r="D5" s="68" t="s">
        <v>132</v>
      </c>
      <c r="E5" s="63" t="s">
        <v>133</v>
      </c>
      <c r="F5" s="63" t="s">
        <v>134</v>
      </c>
      <c r="G5" s="63" t="s">
        <v>135</v>
      </c>
      <c r="H5" s="63" t="s">
        <v>136</v>
      </c>
      <c r="I5" s="63" t="s">
        <v>137</v>
      </c>
      <c r="J5" s="63" t="s">
        <v>138</v>
      </c>
      <c r="K5" s="63" t="s">
        <v>139</v>
      </c>
      <c r="L5" s="68" t="s">
        <v>150</v>
      </c>
      <c r="M5" s="73"/>
      <c r="N5" s="20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</row>
    <row r="6" spans="1:43" ht="15" x14ac:dyDescent="0.2">
      <c r="A6" s="64" t="s">
        <v>213</v>
      </c>
      <c r="B6" s="48" t="s">
        <v>114</v>
      </c>
      <c r="C6" s="48" t="s">
        <v>58</v>
      </c>
      <c r="D6" s="20" t="s">
        <v>53</v>
      </c>
      <c r="E6" s="43"/>
      <c r="F6" s="43"/>
      <c r="G6" s="43"/>
      <c r="H6" s="43"/>
      <c r="I6" s="43"/>
      <c r="J6" s="43"/>
      <c r="K6" s="43"/>
      <c r="L6" s="44"/>
      <c r="M6" s="73"/>
      <c r="N6" s="20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spans="1:43" ht="15" x14ac:dyDescent="0.2">
      <c r="A7" s="65" t="s">
        <v>213</v>
      </c>
      <c r="B7" s="48" t="s">
        <v>8</v>
      </c>
      <c r="C7" s="48" t="s">
        <v>8</v>
      </c>
      <c r="D7" s="20" t="s">
        <v>53</v>
      </c>
      <c r="E7" s="43"/>
      <c r="F7" s="43"/>
      <c r="G7" s="43"/>
      <c r="H7" s="43"/>
      <c r="I7" s="43"/>
      <c r="J7" s="43"/>
      <c r="K7" s="43"/>
      <c r="L7" s="44"/>
      <c r="M7" s="73"/>
      <c r="N7" s="20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</row>
    <row r="8" spans="1:43" ht="15" x14ac:dyDescent="0.2">
      <c r="A8" s="66" t="s">
        <v>222</v>
      </c>
      <c r="B8" s="47" t="s">
        <v>125</v>
      </c>
      <c r="C8" s="47" t="s">
        <v>120</v>
      </c>
      <c r="D8" s="241" t="s">
        <v>19</v>
      </c>
      <c r="E8" s="45"/>
      <c r="F8" s="41"/>
      <c r="G8" s="41"/>
      <c r="H8" s="41"/>
      <c r="I8" s="41"/>
      <c r="J8" s="41"/>
      <c r="K8" s="41"/>
      <c r="L8" s="42"/>
      <c r="M8" s="73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">
      <c r="A9" s="65" t="s">
        <v>224</v>
      </c>
      <c r="B9" s="48" t="s">
        <v>118</v>
      </c>
      <c r="C9" s="48" t="s">
        <v>118</v>
      </c>
      <c r="D9" s="20" t="s">
        <v>58</v>
      </c>
      <c r="E9" s="46"/>
      <c r="F9" s="43"/>
      <c r="G9" s="43"/>
      <c r="H9" s="43"/>
      <c r="I9" s="43"/>
      <c r="J9" s="43"/>
      <c r="K9" s="43"/>
      <c r="L9" s="44"/>
      <c r="M9" s="73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">
      <c r="A10" s="66" t="s">
        <v>309</v>
      </c>
      <c r="B10" s="41"/>
      <c r="C10" s="41"/>
      <c r="D10" s="41"/>
      <c r="E10" s="47" t="s">
        <v>29</v>
      </c>
      <c r="F10" s="242" t="s">
        <v>120</v>
      </c>
      <c r="G10" s="47" t="s">
        <v>120</v>
      </c>
      <c r="H10" s="47" t="s">
        <v>53</v>
      </c>
      <c r="I10" s="47" t="s">
        <v>53</v>
      </c>
      <c r="J10" s="47" t="s">
        <v>115</v>
      </c>
      <c r="K10" s="47" t="s">
        <v>53</v>
      </c>
      <c r="L10" s="42"/>
      <c r="M10" s="73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">
      <c r="A11" s="66" t="s">
        <v>140</v>
      </c>
      <c r="B11" s="47" t="s">
        <v>115</v>
      </c>
      <c r="C11" s="47" t="s">
        <v>115</v>
      </c>
      <c r="D11" s="238" t="s">
        <v>115</v>
      </c>
      <c r="E11" s="243" t="s">
        <v>13</v>
      </c>
      <c r="F11" s="47" t="s">
        <v>306</v>
      </c>
      <c r="G11" s="47" t="s">
        <v>306</v>
      </c>
      <c r="H11" s="47" t="s">
        <v>119</v>
      </c>
      <c r="I11" s="47" t="s">
        <v>109</v>
      </c>
      <c r="J11" s="47" t="s">
        <v>8</v>
      </c>
      <c r="K11" s="244" t="s">
        <v>189</v>
      </c>
      <c r="L11" s="42"/>
      <c r="M11" s="73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">
      <c r="A12" s="66" t="s">
        <v>214</v>
      </c>
      <c r="B12" s="41"/>
      <c r="C12" s="41"/>
      <c r="D12" s="238" t="s">
        <v>116</v>
      </c>
      <c r="E12" s="42"/>
      <c r="F12" s="47" t="s">
        <v>116</v>
      </c>
      <c r="G12" s="42"/>
      <c r="H12" s="47" t="s">
        <v>116</v>
      </c>
      <c r="I12" s="42"/>
      <c r="J12" s="47" t="s">
        <v>116</v>
      </c>
      <c r="K12" s="42"/>
      <c r="L12" s="42"/>
      <c r="M12" s="73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">
      <c r="A13" s="66" t="s">
        <v>211</v>
      </c>
      <c r="B13" s="243" t="s">
        <v>13</v>
      </c>
      <c r="C13" s="243" t="s">
        <v>13</v>
      </c>
      <c r="D13" s="243" t="s">
        <v>13</v>
      </c>
      <c r="E13" s="47" t="s">
        <v>120</v>
      </c>
      <c r="F13" s="47" t="s">
        <v>125</v>
      </c>
      <c r="G13" s="47" t="s">
        <v>125</v>
      </c>
      <c r="H13" s="47" t="s">
        <v>114</v>
      </c>
      <c r="I13" s="47" t="s">
        <v>120</v>
      </c>
      <c r="J13" s="47" t="s">
        <v>119</v>
      </c>
      <c r="K13" s="47" t="s">
        <v>114</v>
      </c>
      <c r="L13" s="42"/>
      <c r="M13" s="73"/>
    </row>
    <row r="14" spans="1:43" ht="15" x14ac:dyDescent="0.2">
      <c r="A14" s="66" t="s">
        <v>310</v>
      </c>
      <c r="B14" s="41"/>
      <c r="C14" s="41"/>
      <c r="D14" s="41"/>
      <c r="E14" s="47" t="s">
        <v>114</v>
      </c>
      <c r="F14" s="47" t="s">
        <v>114</v>
      </c>
      <c r="G14" s="47" t="s">
        <v>50</v>
      </c>
      <c r="H14" s="47" t="s">
        <v>29</v>
      </c>
      <c r="I14" s="47" t="s">
        <v>19</v>
      </c>
      <c r="J14" s="47" t="s">
        <v>125</v>
      </c>
      <c r="K14" s="47" t="s">
        <v>118</v>
      </c>
      <c r="L14" s="42"/>
      <c r="M14" s="73"/>
    </row>
    <row r="15" spans="1:43" ht="15" x14ac:dyDescent="0.2">
      <c r="A15" s="65" t="s">
        <v>310</v>
      </c>
      <c r="B15" s="43"/>
      <c r="C15" s="43"/>
      <c r="D15" s="43"/>
      <c r="E15" s="48" t="s">
        <v>115</v>
      </c>
      <c r="F15" s="48" t="s">
        <v>115</v>
      </c>
      <c r="G15" s="48" t="s">
        <v>114</v>
      </c>
      <c r="H15" s="48" t="s">
        <v>19</v>
      </c>
      <c r="I15" s="48" t="s">
        <v>125</v>
      </c>
      <c r="J15" s="48" t="s">
        <v>29</v>
      </c>
      <c r="K15" s="48" t="s">
        <v>115</v>
      </c>
      <c r="L15" s="44"/>
      <c r="M15" s="73"/>
    </row>
    <row r="16" spans="1:43" ht="15" x14ac:dyDescent="0.2">
      <c r="A16" s="65" t="s">
        <v>310</v>
      </c>
      <c r="B16" s="43"/>
      <c r="C16" s="43"/>
      <c r="D16" s="43"/>
      <c r="E16" s="48" t="s">
        <v>58</v>
      </c>
      <c r="F16" s="48" t="s">
        <v>53</v>
      </c>
      <c r="G16" s="48" t="s">
        <v>53</v>
      </c>
      <c r="H16" s="48" t="s">
        <v>58</v>
      </c>
      <c r="I16" s="43"/>
      <c r="J16" s="43"/>
      <c r="K16" s="43"/>
      <c r="L16" s="44"/>
      <c r="M16" s="73"/>
    </row>
    <row r="17" spans="1:13" ht="15" x14ac:dyDescent="0.2">
      <c r="A17" s="65" t="s">
        <v>310</v>
      </c>
      <c r="B17" s="43"/>
      <c r="C17" s="43"/>
      <c r="D17" s="43"/>
      <c r="E17" s="48" t="s">
        <v>118</v>
      </c>
      <c r="F17" s="48" t="s">
        <v>118</v>
      </c>
      <c r="G17" s="48" t="s">
        <v>115</v>
      </c>
      <c r="H17" s="48" t="s">
        <v>115</v>
      </c>
      <c r="I17" s="43"/>
      <c r="J17" s="43"/>
      <c r="K17" s="43"/>
      <c r="L17" s="44"/>
      <c r="M17" s="73"/>
    </row>
    <row r="18" spans="1:13" ht="15" x14ac:dyDescent="0.2">
      <c r="A18" s="66" t="s">
        <v>312</v>
      </c>
      <c r="B18" s="43"/>
      <c r="C18" s="43"/>
      <c r="D18" s="43"/>
      <c r="E18" s="48" t="s">
        <v>125</v>
      </c>
      <c r="F18" s="48" t="s">
        <v>109</v>
      </c>
      <c r="G18" s="48" t="s">
        <v>48</v>
      </c>
      <c r="H18" s="48" t="s">
        <v>125</v>
      </c>
      <c r="I18" s="48" t="s">
        <v>114</v>
      </c>
      <c r="J18" s="245" t="s">
        <v>13</v>
      </c>
      <c r="K18" s="245" t="s">
        <v>13</v>
      </c>
      <c r="L18" s="44"/>
      <c r="M18" s="73"/>
    </row>
    <row r="19" spans="1:13" ht="15" x14ac:dyDescent="0.2">
      <c r="A19" s="66" t="s">
        <v>312</v>
      </c>
      <c r="B19" s="43"/>
      <c r="C19" s="43"/>
      <c r="D19" s="43"/>
      <c r="E19" s="245" t="s">
        <v>13</v>
      </c>
      <c r="F19" s="48" t="s">
        <v>58</v>
      </c>
      <c r="G19" s="48" t="s">
        <v>50</v>
      </c>
      <c r="H19" s="48" t="s">
        <v>114</v>
      </c>
      <c r="I19" s="245" t="s">
        <v>13</v>
      </c>
      <c r="J19" s="48" t="s">
        <v>114</v>
      </c>
      <c r="K19" s="48" t="s">
        <v>58</v>
      </c>
      <c r="L19" s="44"/>
      <c r="M19" s="73"/>
    </row>
    <row r="20" spans="1:13" ht="15" x14ac:dyDescent="0.2">
      <c r="A20" s="66" t="s">
        <v>312</v>
      </c>
      <c r="B20" s="43"/>
      <c r="C20" s="43"/>
      <c r="D20" s="43"/>
      <c r="E20" s="48" t="s">
        <v>50</v>
      </c>
      <c r="F20" s="48" t="s">
        <v>48</v>
      </c>
      <c r="G20" s="48" t="s">
        <v>125</v>
      </c>
      <c r="H20" s="245" t="s">
        <v>13</v>
      </c>
      <c r="I20" s="43"/>
      <c r="J20" s="43"/>
      <c r="K20" s="43"/>
      <c r="L20" s="44"/>
      <c r="M20" s="73"/>
    </row>
    <row r="21" spans="1:13" ht="15" x14ac:dyDescent="0.2">
      <c r="A21" s="66" t="s">
        <v>312</v>
      </c>
      <c r="B21" s="43"/>
      <c r="C21" s="43"/>
      <c r="D21" s="43"/>
      <c r="E21" s="48" t="s">
        <v>53</v>
      </c>
      <c r="F21" s="48" t="s">
        <v>58</v>
      </c>
      <c r="G21" s="48" t="s">
        <v>53</v>
      </c>
      <c r="H21" s="48" t="s">
        <v>53</v>
      </c>
      <c r="I21" s="43"/>
      <c r="J21" s="43"/>
      <c r="K21" s="43"/>
      <c r="L21" s="44"/>
      <c r="M21" s="73"/>
    </row>
    <row r="22" spans="1:13" ht="15" x14ac:dyDescent="0.2">
      <c r="A22" s="66" t="s">
        <v>216</v>
      </c>
      <c r="B22" s="41"/>
      <c r="C22" s="41"/>
      <c r="D22" s="41"/>
      <c r="E22" s="47" t="s">
        <v>125</v>
      </c>
      <c r="F22" s="47" t="s">
        <v>8</v>
      </c>
      <c r="G22" s="47" t="s">
        <v>58</v>
      </c>
      <c r="H22" s="47" t="s">
        <v>297</v>
      </c>
      <c r="I22" s="47" t="s">
        <v>115</v>
      </c>
      <c r="J22" s="47" t="s">
        <v>48</v>
      </c>
      <c r="K22" s="47" t="s">
        <v>114</v>
      </c>
      <c r="L22" s="42"/>
      <c r="M22" s="73"/>
    </row>
    <row r="23" spans="1:13" ht="15" x14ac:dyDescent="0.2">
      <c r="A23" s="66" t="s">
        <v>232</v>
      </c>
      <c r="B23" s="41"/>
      <c r="C23" s="41"/>
      <c r="D23" s="41"/>
      <c r="E23" s="47" t="s">
        <v>297</v>
      </c>
      <c r="F23" s="47" t="s">
        <v>125</v>
      </c>
      <c r="G23" s="243" t="s">
        <v>13</v>
      </c>
      <c r="H23" s="47" t="s">
        <v>125</v>
      </c>
      <c r="I23" s="47" t="s">
        <v>118</v>
      </c>
      <c r="J23" s="47" t="s">
        <v>118</v>
      </c>
      <c r="K23" s="47" t="s">
        <v>125</v>
      </c>
      <c r="L23" s="42"/>
      <c r="M23" s="73"/>
    </row>
    <row r="24" spans="1:13" ht="15" x14ac:dyDescent="0.2">
      <c r="A24" s="66" t="s">
        <v>233</v>
      </c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2"/>
      <c r="M24" s="73"/>
    </row>
    <row r="25" spans="1:13" ht="15" x14ac:dyDescent="0.2">
      <c r="A25" s="66" t="s">
        <v>221</v>
      </c>
      <c r="B25" s="41"/>
      <c r="C25" s="41"/>
      <c r="D25" s="41"/>
      <c r="E25" s="47" t="s">
        <v>189</v>
      </c>
      <c r="F25" s="47" t="s">
        <v>50</v>
      </c>
      <c r="G25" s="47" t="s">
        <v>118</v>
      </c>
      <c r="H25" s="47" t="s">
        <v>118</v>
      </c>
      <c r="I25" s="47" t="s">
        <v>119</v>
      </c>
      <c r="J25" s="47" t="s">
        <v>58</v>
      </c>
      <c r="K25" s="47" t="s">
        <v>120</v>
      </c>
      <c r="L25" s="42"/>
      <c r="M25" s="73"/>
    </row>
    <row r="26" spans="1:13" ht="15" x14ac:dyDescent="0.2">
      <c r="A26" s="66" t="s">
        <v>344</v>
      </c>
      <c r="B26" s="41"/>
      <c r="C26" s="41"/>
      <c r="D26" s="41"/>
      <c r="E26" s="205" t="s">
        <v>48</v>
      </c>
      <c r="F26" s="205" t="s">
        <v>119</v>
      </c>
      <c r="G26" s="205" t="s">
        <v>58</v>
      </c>
      <c r="H26" s="205" t="s">
        <v>8</v>
      </c>
      <c r="I26" s="205" t="s">
        <v>120</v>
      </c>
      <c r="J26" s="205" t="s">
        <v>29</v>
      </c>
      <c r="K26" s="205" t="s">
        <v>53</v>
      </c>
      <c r="L26" s="42"/>
      <c r="M26" s="73"/>
    </row>
    <row r="27" spans="1:13" ht="15" x14ac:dyDescent="0.2">
      <c r="A27" s="66" t="s">
        <v>218</v>
      </c>
      <c r="B27" s="47" t="s">
        <v>119</v>
      </c>
      <c r="C27" s="47" t="s">
        <v>119</v>
      </c>
      <c r="D27" s="47" t="s">
        <v>114</v>
      </c>
      <c r="E27" s="41"/>
      <c r="F27" s="41"/>
      <c r="G27" s="41"/>
      <c r="H27" s="41"/>
      <c r="I27" s="41"/>
      <c r="J27" s="41"/>
      <c r="K27" s="41"/>
      <c r="L27" s="42"/>
      <c r="M27" s="73"/>
    </row>
    <row r="28" spans="1:13" ht="15" x14ac:dyDescent="0.2">
      <c r="A28" s="65" t="s">
        <v>218</v>
      </c>
      <c r="B28" s="43"/>
      <c r="C28" s="46"/>
      <c r="D28" s="46"/>
      <c r="E28" s="43"/>
      <c r="F28" s="43"/>
      <c r="G28" s="43"/>
      <c r="H28" s="43"/>
      <c r="I28" s="43"/>
      <c r="J28" s="43"/>
      <c r="K28" s="43"/>
      <c r="L28" s="44"/>
      <c r="M28" s="73"/>
    </row>
    <row r="29" spans="1:13" ht="15" x14ac:dyDescent="0.2">
      <c r="A29" s="65" t="s">
        <v>102</v>
      </c>
      <c r="B29" s="43"/>
      <c r="C29" s="46"/>
      <c r="D29" s="46"/>
      <c r="E29" s="43"/>
      <c r="F29" s="43"/>
      <c r="G29" s="43"/>
      <c r="H29" s="43"/>
      <c r="I29" s="43"/>
      <c r="J29" s="43"/>
      <c r="K29" s="43"/>
      <c r="L29" s="205" t="s">
        <v>50</v>
      </c>
      <c r="M29" s="73"/>
    </row>
    <row r="30" spans="1:13" ht="15" x14ac:dyDescent="0.2">
      <c r="A30" s="65" t="s">
        <v>102</v>
      </c>
      <c r="B30" s="43"/>
      <c r="C30" s="46"/>
      <c r="D30" s="46"/>
      <c r="E30" s="43"/>
      <c r="F30" s="43"/>
      <c r="G30" s="43"/>
      <c r="H30" s="43"/>
      <c r="I30" s="43"/>
      <c r="J30" s="43"/>
      <c r="K30" s="43"/>
      <c r="L30" s="205" t="s">
        <v>50</v>
      </c>
      <c r="M30" s="73"/>
    </row>
    <row r="31" spans="1:13" x14ac:dyDescent="0.2">
      <c r="A31" s="73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</row>
  </sheetData>
  <sheetProtection sheet="1" objects="1" scenarios="1"/>
  <phoneticPr fontId="0" type="noConversion"/>
  <printOptions gridLines="1"/>
  <pageMargins left="0.5" right="0.25" top="0.5" bottom="0.5" header="0" footer="0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31" max="16383" man="1"/>
  </rowBreaks>
  <colBreaks count="1" manualBreakCount="1">
    <brk id="12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3"/>
  <sheetViews>
    <sheetView zoomScaleNormal="100" workbookViewId="0">
      <pane ySplit="5" topLeftCell="A6" activePane="bottomLeft" state="frozen"/>
      <selection pane="bottomLeft" activeCell="H17" sqref="H17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</cols>
  <sheetData>
    <row r="1" spans="1:43" ht="15.75" x14ac:dyDescent="0.25">
      <c r="A1" s="72" t="s">
        <v>318</v>
      </c>
      <c r="B1" s="72"/>
      <c r="C1" s="72"/>
      <c r="D1" s="72"/>
      <c r="E1" s="72"/>
      <c r="F1" s="72"/>
      <c r="G1" s="73"/>
      <c r="H1" s="74" t="s">
        <v>267</v>
      </c>
      <c r="I1" s="71" t="str">
        <f>Issue</f>
        <v>2024 Show Season V1 7/22/2024</v>
      </c>
      <c r="J1" s="71"/>
      <c r="K1" s="71"/>
      <c r="L1" s="71"/>
      <c r="M1" s="73"/>
    </row>
    <row r="2" spans="1:43" ht="15.75" x14ac:dyDescent="0.25">
      <c r="A2" s="72" t="s">
        <v>319</v>
      </c>
      <c r="B2" s="72"/>
      <c r="C2" s="72"/>
      <c r="D2" s="71"/>
      <c r="E2" s="71"/>
      <c r="F2" s="71"/>
      <c r="G2" s="73"/>
      <c r="H2" s="73"/>
      <c r="I2" s="73"/>
      <c r="J2" s="73"/>
      <c r="K2" s="73"/>
      <c r="L2" s="73"/>
      <c r="M2" s="73"/>
    </row>
    <row r="3" spans="1:43" ht="18.75" x14ac:dyDescent="0.3">
      <c r="A3" s="79" t="s">
        <v>350</v>
      </c>
      <c r="B3" s="226"/>
      <c r="C3" s="226"/>
      <c r="D3" s="71"/>
      <c r="E3" s="173" t="s">
        <v>168</v>
      </c>
      <c r="F3" s="77"/>
      <c r="G3" s="73"/>
      <c r="H3" s="73"/>
      <c r="I3" s="73"/>
      <c r="J3" s="73"/>
      <c r="K3" s="73"/>
      <c r="L3" s="73"/>
      <c r="M3" s="73"/>
    </row>
    <row r="4" spans="1:43" ht="15.75" x14ac:dyDescent="0.25">
      <c r="A4" s="74"/>
      <c r="B4" s="74"/>
      <c r="C4" s="74"/>
      <c r="D4" s="71"/>
      <c r="E4" s="71"/>
      <c r="F4" s="71"/>
      <c r="G4" s="73"/>
      <c r="H4" s="73"/>
      <c r="I4" s="73"/>
      <c r="J4" s="73"/>
      <c r="K4" s="73"/>
      <c r="L4" s="73"/>
      <c r="M4" s="73"/>
    </row>
    <row r="5" spans="1:43" ht="16.5" thickBot="1" x14ac:dyDescent="0.3">
      <c r="A5" s="62" t="str">
        <f>A3</f>
        <v>Sunday 10/1/2023</v>
      </c>
      <c r="B5" s="225" t="s">
        <v>130</v>
      </c>
      <c r="C5" s="225" t="s">
        <v>131</v>
      </c>
      <c r="D5" s="63" t="s">
        <v>132</v>
      </c>
      <c r="E5" s="63" t="s">
        <v>133</v>
      </c>
      <c r="F5" s="63" t="s">
        <v>134</v>
      </c>
      <c r="G5" s="63" t="s">
        <v>135</v>
      </c>
      <c r="H5" s="63" t="s">
        <v>136</v>
      </c>
      <c r="I5" s="63" t="s">
        <v>137</v>
      </c>
      <c r="J5" s="63" t="s">
        <v>138</v>
      </c>
      <c r="K5" s="63" t="s">
        <v>139</v>
      </c>
      <c r="L5" s="63" t="s">
        <v>150</v>
      </c>
      <c r="M5" s="73"/>
    </row>
    <row r="6" spans="1:43" ht="15" x14ac:dyDescent="0.2">
      <c r="A6" s="64" t="s">
        <v>223</v>
      </c>
      <c r="B6" s="71"/>
      <c r="C6" s="71"/>
      <c r="D6" s="48" t="s">
        <v>58</v>
      </c>
      <c r="E6" s="128"/>
      <c r="F6" s="128"/>
      <c r="G6" s="128"/>
      <c r="H6" s="128"/>
      <c r="I6" s="128"/>
      <c r="J6" s="128"/>
      <c r="K6" s="128"/>
      <c r="L6" s="129"/>
      <c r="M6" s="73"/>
    </row>
    <row r="7" spans="1:43" ht="15" x14ac:dyDescent="0.2">
      <c r="A7" s="65" t="s">
        <v>225</v>
      </c>
      <c r="B7" s="71"/>
      <c r="C7" s="71"/>
      <c r="D7" s="48" t="s">
        <v>50</v>
      </c>
      <c r="E7" s="128"/>
      <c r="F7" s="128"/>
      <c r="G7" s="128"/>
      <c r="H7" s="128"/>
      <c r="I7" s="128"/>
      <c r="J7" s="128"/>
      <c r="K7" s="128"/>
      <c r="L7" s="129"/>
      <c r="M7" s="7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4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5" x14ac:dyDescent="0.2">
      <c r="A8" s="66" t="s">
        <v>317</v>
      </c>
      <c r="B8" s="223"/>
      <c r="C8" s="223"/>
      <c r="D8" s="130"/>
      <c r="E8" s="47" t="s">
        <v>114</v>
      </c>
      <c r="F8" s="47" t="s">
        <v>114</v>
      </c>
      <c r="G8" s="47" t="s">
        <v>29</v>
      </c>
      <c r="H8" s="47" t="s">
        <v>29</v>
      </c>
      <c r="I8" s="47" t="s">
        <v>50</v>
      </c>
      <c r="J8" s="47" t="s">
        <v>50</v>
      </c>
      <c r="K8" s="130"/>
      <c r="L8" s="131"/>
      <c r="M8" s="73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">
      <c r="A9" s="66" t="s">
        <v>151</v>
      </c>
      <c r="B9" s="223"/>
      <c r="C9" s="223"/>
      <c r="D9" s="47" t="s">
        <v>8</v>
      </c>
      <c r="E9" s="47" t="s">
        <v>109</v>
      </c>
      <c r="F9" s="47" t="s">
        <v>120</v>
      </c>
      <c r="G9" s="47" t="s">
        <v>50</v>
      </c>
      <c r="H9" s="47" t="s">
        <v>19</v>
      </c>
      <c r="I9" s="242" t="s">
        <v>119</v>
      </c>
      <c r="J9" s="242" t="s">
        <v>53</v>
      </c>
      <c r="K9" s="130"/>
      <c r="L9" s="131"/>
      <c r="M9" s="73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">
      <c r="A10" s="65" t="s">
        <v>215</v>
      </c>
      <c r="B10" s="71"/>
      <c r="C10" s="71"/>
      <c r="D10" s="48" t="s">
        <v>116</v>
      </c>
      <c r="E10" s="131"/>
      <c r="F10" s="48" t="s">
        <v>116</v>
      </c>
      <c r="G10" s="129"/>
      <c r="H10" s="48" t="s">
        <v>116</v>
      </c>
      <c r="I10" s="129"/>
      <c r="J10" s="129"/>
      <c r="K10" s="128"/>
      <c r="L10" s="129"/>
      <c r="M10" s="73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">
      <c r="A11" s="66" t="s">
        <v>212</v>
      </c>
      <c r="B11" s="223"/>
      <c r="C11" s="223"/>
      <c r="D11" s="47" t="s">
        <v>306</v>
      </c>
      <c r="E11" s="242" t="s">
        <v>120</v>
      </c>
      <c r="F11" s="242" t="s">
        <v>118</v>
      </c>
      <c r="G11" s="242" t="s">
        <v>29</v>
      </c>
      <c r="H11" s="47" t="s">
        <v>58</v>
      </c>
      <c r="I11" s="242" t="s">
        <v>53</v>
      </c>
      <c r="J11" s="47" t="s">
        <v>125</v>
      </c>
      <c r="K11" s="130"/>
      <c r="L11" s="131"/>
      <c r="M11" s="73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">
      <c r="A12" s="66" t="s">
        <v>311</v>
      </c>
      <c r="B12" s="223"/>
      <c r="C12" s="223"/>
      <c r="D12" s="130"/>
      <c r="E12" s="242" t="s">
        <v>125</v>
      </c>
      <c r="F12" s="47" t="s">
        <v>19</v>
      </c>
      <c r="G12" s="47" t="s">
        <v>120</v>
      </c>
      <c r="H12" s="242" t="s">
        <v>19</v>
      </c>
      <c r="I12" s="47" t="s">
        <v>120</v>
      </c>
      <c r="J12" s="130"/>
      <c r="K12" s="130"/>
      <c r="L12" s="131"/>
      <c r="M12" s="73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">
      <c r="A13" s="66" t="s">
        <v>311</v>
      </c>
      <c r="B13" s="71"/>
      <c r="C13" s="71"/>
      <c r="D13" s="128"/>
      <c r="E13" s="246" t="s">
        <v>115</v>
      </c>
      <c r="F13" s="246" t="s">
        <v>48</v>
      </c>
      <c r="G13" s="48" t="s">
        <v>125</v>
      </c>
      <c r="H13" s="48" t="s">
        <v>125</v>
      </c>
      <c r="I13" s="246" t="s">
        <v>109</v>
      </c>
      <c r="J13" s="128"/>
      <c r="K13" s="128"/>
      <c r="L13" s="129"/>
      <c r="M13" s="73"/>
      <c r="N13" s="20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</row>
    <row r="14" spans="1:43" ht="15" x14ac:dyDescent="0.2">
      <c r="A14" s="66" t="s">
        <v>311</v>
      </c>
      <c r="B14" s="71"/>
      <c r="C14" s="71"/>
      <c r="D14" s="128"/>
      <c r="E14" s="128"/>
      <c r="F14" s="128"/>
      <c r="G14" s="246" t="s">
        <v>8</v>
      </c>
      <c r="H14" s="48" t="s">
        <v>306</v>
      </c>
      <c r="I14" s="128"/>
      <c r="J14" s="128"/>
      <c r="K14" s="128"/>
      <c r="L14" s="129"/>
      <c r="M14" s="73"/>
      <c r="N14" s="20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</row>
    <row r="15" spans="1:43" ht="15" x14ac:dyDescent="0.2">
      <c r="A15" s="66" t="s">
        <v>311</v>
      </c>
      <c r="B15" s="71"/>
      <c r="C15" s="71"/>
      <c r="D15" s="128"/>
      <c r="E15" s="128"/>
      <c r="F15" s="128"/>
      <c r="G15" s="48" t="s">
        <v>50</v>
      </c>
      <c r="H15" s="246" t="s">
        <v>118</v>
      </c>
      <c r="I15" s="128"/>
      <c r="J15" s="128"/>
      <c r="K15" s="128"/>
      <c r="L15" s="129"/>
      <c r="M15" s="73"/>
      <c r="N15" s="20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</row>
    <row r="16" spans="1:43" ht="15" x14ac:dyDescent="0.2">
      <c r="A16" s="66" t="s">
        <v>313</v>
      </c>
      <c r="B16" s="71"/>
      <c r="C16" s="71"/>
      <c r="D16" s="128"/>
      <c r="E16" s="48" t="s">
        <v>50</v>
      </c>
      <c r="F16" s="48" t="s">
        <v>125</v>
      </c>
      <c r="G16" s="48" t="s">
        <v>58</v>
      </c>
      <c r="H16" s="48" t="s">
        <v>120</v>
      </c>
      <c r="I16" s="48" t="s">
        <v>118</v>
      </c>
      <c r="J16" s="128"/>
      <c r="K16" s="128"/>
      <c r="L16" s="129"/>
      <c r="M16" s="73"/>
      <c r="N16" s="20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spans="1:42" ht="15" x14ac:dyDescent="0.2">
      <c r="A17" s="66" t="s">
        <v>313</v>
      </c>
      <c r="B17" s="71"/>
      <c r="C17" s="71"/>
      <c r="D17" s="128"/>
      <c r="E17" s="245" t="s">
        <v>13</v>
      </c>
      <c r="F17" s="48" t="s">
        <v>58</v>
      </c>
      <c r="G17" s="48" t="s">
        <v>297</v>
      </c>
      <c r="H17" s="245" t="s">
        <v>13</v>
      </c>
      <c r="I17" s="48" t="s">
        <v>50</v>
      </c>
      <c r="J17" s="128"/>
      <c r="K17" s="128"/>
      <c r="L17" s="129"/>
      <c r="M17" s="73"/>
      <c r="N17" s="20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</row>
    <row r="18" spans="1:42" ht="15" x14ac:dyDescent="0.2">
      <c r="A18" s="66" t="s">
        <v>313</v>
      </c>
      <c r="B18" s="71"/>
      <c r="C18" s="71"/>
      <c r="D18" s="128"/>
      <c r="E18" s="128"/>
      <c r="F18" s="128"/>
      <c r="G18" s="48" t="s">
        <v>114</v>
      </c>
      <c r="H18" s="48" t="s">
        <v>114</v>
      </c>
      <c r="I18" s="128"/>
      <c r="J18" s="128"/>
      <c r="K18" s="128"/>
      <c r="L18" s="129"/>
      <c r="M18" s="73"/>
      <c r="N18" s="20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</row>
    <row r="19" spans="1:42" ht="15" x14ac:dyDescent="0.2">
      <c r="A19" s="66" t="s">
        <v>313</v>
      </c>
      <c r="B19" s="71"/>
      <c r="C19" s="71"/>
      <c r="D19" s="128"/>
      <c r="E19" s="128"/>
      <c r="F19" s="128"/>
      <c r="G19" s="245" t="s">
        <v>13</v>
      </c>
      <c r="H19" s="245" t="s">
        <v>13</v>
      </c>
      <c r="I19" s="128"/>
      <c r="J19" s="128"/>
      <c r="K19" s="128"/>
      <c r="L19" s="129"/>
      <c r="M19" s="73"/>
      <c r="N19" s="20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</row>
    <row r="20" spans="1:42" ht="15" x14ac:dyDescent="0.2">
      <c r="A20" s="66" t="s">
        <v>217</v>
      </c>
      <c r="B20" s="223"/>
      <c r="C20" s="223"/>
      <c r="D20" s="130"/>
      <c r="E20" s="47" t="s">
        <v>120</v>
      </c>
      <c r="F20" s="47" t="s">
        <v>50</v>
      </c>
      <c r="G20" s="242" t="s">
        <v>118</v>
      </c>
      <c r="H20" s="47" t="s">
        <v>119</v>
      </c>
      <c r="I20" s="47" t="s">
        <v>125</v>
      </c>
      <c r="J20" s="47" t="s">
        <v>58</v>
      </c>
      <c r="K20" s="130"/>
      <c r="L20" s="131"/>
      <c r="M20" s="73"/>
      <c r="N20" s="20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</row>
    <row r="21" spans="1:42" ht="15" x14ac:dyDescent="0.2">
      <c r="A21" s="66" t="s">
        <v>234</v>
      </c>
      <c r="B21" s="223"/>
      <c r="C21" s="223"/>
      <c r="D21" s="130"/>
      <c r="E21" s="242" t="s">
        <v>53</v>
      </c>
      <c r="F21" s="47" t="s">
        <v>109</v>
      </c>
      <c r="G21" s="242" t="s">
        <v>19</v>
      </c>
      <c r="H21" s="242" t="s">
        <v>8</v>
      </c>
      <c r="I21" s="243" t="s">
        <v>13</v>
      </c>
      <c r="J21" s="130"/>
      <c r="K21" s="130"/>
      <c r="L21" s="131"/>
      <c r="M21" s="73"/>
      <c r="N21" s="20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</row>
    <row r="22" spans="1:42" ht="15" x14ac:dyDescent="0.2">
      <c r="A22" s="66" t="s">
        <v>235</v>
      </c>
      <c r="B22" s="223"/>
      <c r="C22" s="223"/>
      <c r="D22" s="130"/>
      <c r="E22" s="130"/>
      <c r="F22" s="130"/>
      <c r="G22" s="130"/>
      <c r="H22" s="130"/>
      <c r="I22" s="130"/>
      <c r="J22" s="130"/>
      <c r="K22" s="130"/>
      <c r="L22" s="131"/>
      <c r="M22" s="73"/>
      <c r="N22" s="20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</row>
    <row r="23" spans="1:42" ht="15" x14ac:dyDescent="0.2">
      <c r="A23" s="66" t="s">
        <v>220</v>
      </c>
      <c r="B23" s="223"/>
      <c r="C23" s="223"/>
      <c r="D23" s="130"/>
      <c r="E23" s="47" t="s">
        <v>118</v>
      </c>
      <c r="F23" s="247" t="s">
        <v>13</v>
      </c>
      <c r="G23" s="47" t="s">
        <v>306</v>
      </c>
      <c r="H23" s="242" t="s">
        <v>58</v>
      </c>
      <c r="I23" s="47" t="s">
        <v>189</v>
      </c>
      <c r="J23" s="47" t="s">
        <v>118</v>
      </c>
      <c r="K23" s="130"/>
      <c r="L23" s="131"/>
      <c r="M23" s="73"/>
      <c r="N23" s="20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</row>
    <row r="24" spans="1:42" ht="15" x14ac:dyDescent="0.2">
      <c r="A24" s="66" t="s">
        <v>345</v>
      </c>
      <c r="B24" s="223"/>
      <c r="C24" s="223"/>
      <c r="D24" s="130"/>
      <c r="E24" s="205" t="s">
        <v>58</v>
      </c>
      <c r="F24" s="139" t="s">
        <v>119</v>
      </c>
      <c r="G24" s="139" t="s">
        <v>58</v>
      </c>
      <c r="H24" s="139" t="s">
        <v>297</v>
      </c>
      <c r="I24" s="139" t="s">
        <v>120</v>
      </c>
      <c r="J24" s="139" t="s">
        <v>297</v>
      </c>
      <c r="K24" s="130"/>
      <c r="L24" s="131"/>
      <c r="M24" s="73"/>
      <c r="N24" s="20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</row>
    <row r="25" spans="1:42" ht="15" x14ac:dyDescent="0.2">
      <c r="A25" s="66" t="s">
        <v>219</v>
      </c>
      <c r="B25" s="223"/>
      <c r="C25" s="223"/>
      <c r="D25" s="47" t="s">
        <v>125</v>
      </c>
      <c r="E25" s="130"/>
      <c r="F25" s="130"/>
      <c r="G25" s="130"/>
      <c r="H25" s="130"/>
      <c r="I25" s="130"/>
      <c r="J25" s="130"/>
      <c r="K25" s="130"/>
      <c r="L25" s="131"/>
      <c r="M25" s="73"/>
    </row>
    <row r="26" spans="1:42" ht="15" x14ac:dyDescent="0.2">
      <c r="A26" s="66" t="s">
        <v>236</v>
      </c>
      <c r="B26" s="223"/>
      <c r="C26" s="223"/>
      <c r="D26" s="130"/>
      <c r="E26" s="130"/>
      <c r="F26" s="130"/>
      <c r="G26" s="130"/>
      <c r="H26" s="130"/>
      <c r="I26" s="130"/>
      <c r="J26" s="130"/>
      <c r="K26" s="47" t="s">
        <v>32</v>
      </c>
      <c r="L26" s="131"/>
      <c r="M26" s="73"/>
    </row>
    <row r="27" spans="1:42" ht="15" x14ac:dyDescent="0.2">
      <c r="A27" s="66" t="s">
        <v>236</v>
      </c>
      <c r="B27" s="223"/>
      <c r="C27" s="223"/>
      <c r="D27" s="130"/>
      <c r="E27" s="130"/>
      <c r="F27" s="130"/>
      <c r="G27" s="130"/>
      <c r="H27" s="130"/>
      <c r="I27" s="130"/>
      <c r="J27" s="130"/>
      <c r="K27" s="47" t="s">
        <v>32</v>
      </c>
      <c r="L27" s="131"/>
      <c r="M27" s="73"/>
    </row>
    <row r="28" spans="1:42" ht="15" x14ac:dyDescent="0.2">
      <c r="A28" s="66" t="s">
        <v>236</v>
      </c>
      <c r="B28" s="223"/>
      <c r="C28" s="223"/>
      <c r="D28" s="130"/>
      <c r="E28" s="130"/>
      <c r="F28" s="130"/>
      <c r="G28" s="130"/>
      <c r="H28" s="130"/>
      <c r="I28" s="130"/>
      <c r="J28" s="130"/>
      <c r="K28" s="47" t="s">
        <v>32</v>
      </c>
      <c r="L28" s="131"/>
      <c r="M28" s="73"/>
    </row>
    <row r="29" spans="1:42" ht="15" x14ac:dyDescent="0.2">
      <c r="A29" s="66" t="s">
        <v>236</v>
      </c>
      <c r="B29" s="223"/>
      <c r="C29" s="223"/>
      <c r="D29" s="130"/>
      <c r="E29" s="130"/>
      <c r="F29" s="130"/>
      <c r="G29" s="130"/>
      <c r="H29" s="130"/>
      <c r="I29" s="130"/>
      <c r="J29" s="130"/>
      <c r="K29" s="47" t="s">
        <v>32</v>
      </c>
      <c r="L29" s="131"/>
      <c r="M29" s="73"/>
    </row>
    <row r="30" spans="1:42" ht="15" x14ac:dyDescent="0.2">
      <c r="A30" s="66" t="s">
        <v>236</v>
      </c>
      <c r="B30" s="223"/>
      <c r="C30" s="223"/>
      <c r="D30" s="130"/>
      <c r="E30" s="130"/>
      <c r="F30" s="130"/>
      <c r="G30" s="130"/>
      <c r="H30" s="130"/>
      <c r="I30" s="130"/>
      <c r="J30" s="130"/>
      <c r="K30" s="47" t="s">
        <v>32</v>
      </c>
      <c r="L30" s="131"/>
      <c r="M30" s="73"/>
    </row>
    <row r="31" spans="1:42" ht="15" x14ac:dyDescent="0.2">
      <c r="A31" s="66" t="s">
        <v>236</v>
      </c>
      <c r="B31" s="223"/>
      <c r="C31" s="223"/>
      <c r="D31" s="130"/>
      <c r="E31" s="130"/>
      <c r="F31" s="130"/>
      <c r="G31" s="130"/>
      <c r="H31" s="130"/>
      <c r="I31" s="130"/>
      <c r="J31" s="130"/>
      <c r="K31" s="47" t="s">
        <v>32</v>
      </c>
      <c r="L31" s="131"/>
      <c r="M31" s="73"/>
    </row>
    <row r="32" spans="1:42" x14ac:dyDescent="0.2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</row>
    <row r="33" spans="1:3" ht="15" x14ac:dyDescent="0.2">
      <c r="A33" s="20"/>
      <c r="B33" s="20"/>
      <c r="C33" s="20"/>
    </row>
  </sheetData>
  <sheetProtection sheet="1" objects="1" scenarios="1"/>
  <phoneticPr fontId="0" type="noConversion"/>
  <printOptions horizontalCentered="1" gridLines="1"/>
  <pageMargins left="0.5" right="0.25" top="0.5" bottom="0.5" header="0.25" footer="0.25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5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7"/>
  <sheetViews>
    <sheetView workbookViewId="0">
      <pane ySplit="5" topLeftCell="A6" activePane="bottomLeft" state="frozen"/>
      <selection pane="bottomLeft" activeCell="H17" sqref="H17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72" t="s">
        <v>155</v>
      </c>
      <c r="B1" s="72"/>
      <c r="C1" s="72"/>
      <c r="D1" s="72"/>
      <c r="E1" s="72"/>
      <c r="F1" s="72"/>
      <c r="G1" s="72"/>
      <c r="H1" s="73"/>
      <c r="I1" s="73"/>
      <c r="J1" s="73"/>
      <c r="K1" s="73"/>
      <c r="L1" s="74" t="s">
        <v>267</v>
      </c>
      <c r="M1" s="172" t="str">
        <f>Issue</f>
        <v>2024 Show Season V1 7/22/2024</v>
      </c>
      <c r="N1" s="172"/>
      <c r="O1" s="172"/>
      <c r="P1" s="172"/>
      <c r="Q1" s="73"/>
    </row>
    <row r="2" spans="1:48" ht="15.75" x14ac:dyDescent="0.25">
      <c r="A2" s="72" t="s">
        <v>153</v>
      </c>
      <c r="B2" s="72"/>
      <c r="C2" s="72"/>
      <c r="D2" s="72"/>
      <c r="E2" s="72"/>
      <c r="F2" s="72"/>
      <c r="G2" s="72"/>
      <c r="H2" s="73"/>
      <c r="I2" s="73"/>
      <c r="J2" s="73"/>
      <c r="K2" s="73"/>
      <c r="L2" s="73"/>
      <c r="M2" s="73"/>
      <c r="N2" s="73"/>
      <c r="O2" s="73"/>
      <c r="P2" s="73"/>
      <c r="Q2" s="7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14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1:48" ht="18.75" x14ac:dyDescent="0.3">
      <c r="A3" s="83" t="s">
        <v>351</v>
      </c>
      <c r="B3" s="222"/>
      <c r="C3" s="222"/>
      <c r="D3" s="222"/>
      <c r="E3" s="222"/>
      <c r="F3" s="222"/>
      <c r="G3" s="72"/>
      <c r="H3" s="73"/>
      <c r="I3" s="73"/>
      <c r="J3" s="173" t="s">
        <v>166</v>
      </c>
      <c r="K3" s="77"/>
      <c r="L3" s="73"/>
      <c r="M3" s="73"/>
      <c r="N3" s="73"/>
      <c r="O3" s="73"/>
      <c r="P3" s="73"/>
      <c r="Q3" s="73"/>
      <c r="T3" s="20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</row>
    <row r="4" spans="1:48" ht="15.75" x14ac:dyDescent="0.25">
      <c r="A4" s="74"/>
      <c r="B4" s="74"/>
      <c r="C4" s="74"/>
      <c r="D4" s="74"/>
      <c r="E4" s="74"/>
      <c r="F4" s="74"/>
      <c r="G4" s="71"/>
      <c r="H4" s="71"/>
      <c r="I4" s="71"/>
      <c r="J4" s="71"/>
      <c r="K4" s="71"/>
      <c r="L4" s="71"/>
      <c r="M4" s="71"/>
      <c r="N4" s="71"/>
      <c r="O4" s="71"/>
      <c r="P4" s="71"/>
      <c r="Q4" s="73"/>
      <c r="T4" s="20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</row>
    <row r="5" spans="1:48" ht="16.5" thickBot="1" x14ac:dyDescent="0.3">
      <c r="A5" s="62" t="str">
        <f>A3</f>
        <v>Friday 01/19/2024</v>
      </c>
      <c r="B5" s="225" t="s">
        <v>130</v>
      </c>
      <c r="C5" s="225" t="s">
        <v>131</v>
      </c>
      <c r="D5" s="225" t="s">
        <v>132</v>
      </c>
      <c r="E5" s="225" t="s">
        <v>133</v>
      </c>
      <c r="F5" s="225" t="s">
        <v>134</v>
      </c>
      <c r="G5" s="63" t="s">
        <v>135</v>
      </c>
      <c r="H5" s="63" t="s">
        <v>136</v>
      </c>
      <c r="I5" s="63" t="s">
        <v>137</v>
      </c>
      <c r="J5" s="63" t="s">
        <v>138</v>
      </c>
      <c r="K5" s="63" t="s">
        <v>139</v>
      </c>
      <c r="L5" s="63" t="s">
        <v>150</v>
      </c>
      <c r="M5" s="63" t="s">
        <v>175</v>
      </c>
      <c r="N5" s="63" t="s">
        <v>130</v>
      </c>
      <c r="O5" s="63" t="s">
        <v>131</v>
      </c>
      <c r="P5" s="63" t="s">
        <v>132</v>
      </c>
      <c r="Q5" s="73"/>
      <c r="T5" s="20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</row>
    <row r="6" spans="1:48" ht="15" x14ac:dyDescent="0.2">
      <c r="A6" s="64" t="s">
        <v>203</v>
      </c>
      <c r="B6" s="71"/>
      <c r="C6" s="71"/>
      <c r="D6" s="71"/>
      <c r="E6" s="71"/>
      <c r="F6" s="71"/>
      <c r="G6" s="49"/>
      <c r="H6" s="49"/>
      <c r="I6" s="49"/>
      <c r="J6" s="49"/>
      <c r="K6" s="49"/>
      <c r="L6" s="49"/>
      <c r="M6" s="49"/>
      <c r="N6" s="49"/>
      <c r="O6" s="49"/>
      <c r="P6" s="50"/>
      <c r="Q6" s="73"/>
    </row>
    <row r="7" spans="1:48" ht="15" x14ac:dyDescent="0.2">
      <c r="A7" s="65" t="s">
        <v>203</v>
      </c>
      <c r="B7" s="48" t="s">
        <v>50</v>
      </c>
      <c r="C7" s="48" t="s">
        <v>50</v>
      </c>
      <c r="D7" s="48" t="s">
        <v>50</v>
      </c>
      <c r="E7" s="48" t="s">
        <v>50</v>
      </c>
      <c r="F7" s="48" t="s">
        <v>50</v>
      </c>
      <c r="G7" s="48" t="s">
        <v>50</v>
      </c>
      <c r="H7" s="48" t="s">
        <v>50</v>
      </c>
      <c r="I7" s="48" t="s">
        <v>50</v>
      </c>
      <c r="J7" s="48" t="s">
        <v>50</v>
      </c>
      <c r="K7" s="48" t="s">
        <v>50</v>
      </c>
      <c r="L7" s="49"/>
      <c r="M7" s="49"/>
      <c r="N7" s="49"/>
      <c r="O7" s="49"/>
      <c r="P7" s="50"/>
      <c r="Q7" s="73"/>
    </row>
    <row r="8" spans="1:48" ht="15" x14ac:dyDescent="0.2">
      <c r="A8" s="65" t="s">
        <v>328</v>
      </c>
      <c r="B8" s="71"/>
      <c r="C8" s="71"/>
      <c r="D8" s="205" t="s">
        <v>8</v>
      </c>
      <c r="E8" s="20" t="s">
        <v>53</v>
      </c>
      <c r="F8" s="20" t="s">
        <v>53</v>
      </c>
      <c r="G8" s="238" t="s">
        <v>118</v>
      </c>
      <c r="H8" s="238" t="s">
        <v>118</v>
      </c>
      <c r="I8" s="238" t="s">
        <v>19</v>
      </c>
      <c r="J8" s="238" t="s">
        <v>120</v>
      </c>
      <c r="K8" s="238" t="s">
        <v>118</v>
      </c>
      <c r="L8" s="205" t="s">
        <v>8</v>
      </c>
      <c r="M8" s="205"/>
      <c r="N8" s="49"/>
      <c r="O8" s="49"/>
      <c r="P8" s="50"/>
      <c r="Q8" s="73"/>
    </row>
    <row r="9" spans="1:48" ht="15" x14ac:dyDescent="0.2">
      <c r="A9" s="65" t="s">
        <v>328</v>
      </c>
      <c r="B9" s="71"/>
      <c r="C9" s="71"/>
      <c r="D9" s="71"/>
      <c r="E9" s="250" t="s">
        <v>13</v>
      </c>
      <c r="F9" s="250" t="s">
        <v>13</v>
      </c>
      <c r="G9" s="48" t="s">
        <v>58</v>
      </c>
      <c r="H9" s="48" t="s">
        <v>58</v>
      </c>
      <c r="I9" s="48" t="s">
        <v>114</v>
      </c>
      <c r="J9" s="48" t="s">
        <v>119</v>
      </c>
      <c r="K9" s="48" t="s">
        <v>109</v>
      </c>
      <c r="L9" s="20" t="s">
        <v>29</v>
      </c>
      <c r="M9" s="20" t="s">
        <v>58</v>
      </c>
      <c r="N9" s="49"/>
      <c r="O9" s="49"/>
      <c r="P9" s="50"/>
      <c r="Q9" s="73"/>
    </row>
    <row r="10" spans="1:48" ht="15" x14ac:dyDescent="0.2">
      <c r="A10" s="66" t="s">
        <v>128</v>
      </c>
      <c r="B10" s="223"/>
      <c r="C10" s="223"/>
      <c r="D10" s="223"/>
      <c r="E10" s="223"/>
      <c r="F10" s="223"/>
      <c r="G10" s="52"/>
      <c r="H10" s="52"/>
      <c r="I10" s="47" t="s">
        <v>115</v>
      </c>
      <c r="J10" s="47" t="s">
        <v>115</v>
      </c>
      <c r="K10" s="47" t="s">
        <v>115</v>
      </c>
      <c r="L10" s="47" t="s">
        <v>115</v>
      </c>
      <c r="M10" s="54" t="s">
        <v>115</v>
      </c>
      <c r="N10" s="20" t="s">
        <v>115</v>
      </c>
      <c r="O10" s="20" t="s">
        <v>115</v>
      </c>
      <c r="P10" s="50"/>
      <c r="Q10" s="73"/>
    </row>
    <row r="11" spans="1:48" ht="15" x14ac:dyDescent="0.2">
      <c r="A11" s="66" t="s">
        <v>209</v>
      </c>
      <c r="B11" s="223"/>
      <c r="C11" s="223"/>
      <c r="D11" s="223"/>
      <c r="E11" s="223"/>
      <c r="F11" s="223"/>
      <c r="G11" s="241" t="s">
        <v>53</v>
      </c>
      <c r="H11" s="241" t="s">
        <v>53</v>
      </c>
      <c r="I11" s="47" t="s">
        <v>53</v>
      </c>
      <c r="J11" s="47" t="s">
        <v>53</v>
      </c>
      <c r="K11" s="47" t="s">
        <v>58</v>
      </c>
      <c r="L11" s="47" t="s">
        <v>58</v>
      </c>
      <c r="M11" s="54" t="s">
        <v>58</v>
      </c>
      <c r="N11" s="20" t="s">
        <v>58</v>
      </c>
      <c r="O11" s="20" t="s">
        <v>58</v>
      </c>
      <c r="P11" s="50"/>
      <c r="Q11" s="73"/>
    </row>
    <row r="12" spans="1:48" ht="15" x14ac:dyDescent="0.2">
      <c r="A12" s="69" t="s">
        <v>330</v>
      </c>
      <c r="B12" s="69"/>
      <c r="C12" s="69"/>
      <c r="D12" s="69"/>
      <c r="E12" s="205" t="s">
        <v>189</v>
      </c>
      <c r="F12" s="205" t="s">
        <v>189</v>
      </c>
      <c r="G12" s="48" t="s">
        <v>125</v>
      </c>
      <c r="H12" s="48" t="s">
        <v>125</v>
      </c>
      <c r="I12" s="48" t="s">
        <v>125</v>
      </c>
      <c r="J12" s="48" t="s">
        <v>125</v>
      </c>
      <c r="K12" s="48" t="s">
        <v>125</v>
      </c>
      <c r="L12" s="238" t="s">
        <v>125</v>
      </c>
      <c r="M12" s="238" t="s">
        <v>125</v>
      </c>
      <c r="N12" s="224"/>
      <c r="O12" s="224"/>
      <c r="P12" s="224"/>
      <c r="Q12" s="73"/>
    </row>
    <row r="13" spans="1:48" x14ac:dyDescent="0.2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</row>
    <row r="14" spans="1:48" ht="15" x14ac:dyDescent="0.2">
      <c r="A14" s="20"/>
      <c r="B14" s="20"/>
      <c r="C14" s="20"/>
      <c r="D14" s="20"/>
      <c r="E14" s="20"/>
      <c r="F14" s="20"/>
    </row>
    <row r="17" spans="8:8" x14ac:dyDescent="0.2">
      <c r="H17" s="21" t="s">
        <v>374</v>
      </c>
    </row>
  </sheetData>
  <phoneticPr fontId="0" type="noConversion"/>
  <printOptions horizontalCentered="1" gridLines="1"/>
  <pageMargins left="0.5" right="0.25" top="1" bottom="1" header="0.5" footer="0.5"/>
  <pageSetup scale="83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1"/>
  <sheetViews>
    <sheetView zoomScaleNormal="100" workbookViewId="0">
      <pane ySplit="5" topLeftCell="A6" activePane="bottomLeft" state="frozen"/>
      <selection pane="bottomLeft" activeCell="M32" sqref="M32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72" t="s">
        <v>156</v>
      </c>
      <c r="B1" s="72"/>
      <c r="C1" s="71"/>
      <c r="D1" s="71"/>
      <c r="E1" s="71"/>
      <c r="F1" s="71"/>
      <c r="G1" s="71"/>
      <c r="H1" s="74" t="s">
        <v>267</v>
      </c>
      <c r="I1" s="71" t="str">
        <f>Issue</f>
        <v>2024 Show Season V1 7/22/2024</v>
      </c>
      <c r="J1" s="71"/>
      <c r="K1" s="71"/>
      <c r="L1" s="73"/>
      <c r="M1" s="73"/>
    </row>
    <row r="2" spans="1:43" ht="15.75" x14ac:dyDescent="0.25">
      <c r="A2" s="72" t="s">
        <v>153</v>
      </c>
      <c r="B2" s="72"/>
      <c r="C2" s="72"/>
      <c r="D2" s="72"/>
      <c r="E2" s="72"/>
      <c r="F2" s="72"/>
      <c r="G2" s="72"/>
      <c r="H2" s="72"/>
      <c r="I2" s="71"/>
      <c r="J2" s="71"/>
      <c r="K2" s="71"/>
      <c r="L2" s="71"/>
      <c r="M2" s="7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8.75" x14ac:dyDescent="0.3">
      <c r="A3" s="84" t="s">
        <v>352</v>
      </c>
      <c r="B3" s="72"/>
      <c r="C3" s="71"/>
      <c r="D3" s="173" t="s">
        <v>167</v>
      </c>
      <c r="E3" s="71"/>
      <c r="F3" s="71"/>
      <c r="G3" s="71"/>
      <c r="H3" s="71"/>
      <c r="I3" s="71"/>
      <c r="J3" s="71"/>
      <c r="K3" s="71"/>
      <c r="L3" s="71"/>
      <c r="M3" s="73"/>
      <c r="N3" s="20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3" ht="15.75" x14ac:dyDescent="0.25">
      <c r="A4" s="81"/>
      <c r="B4" s="75"/>
      <c r="C4" s="71"/>
      <c r="D4" s="71"/>
      <c r="E4" s="78"/>
      <c r="F4" s="77"/>
      <c r="G4" s="77"/>
      <c r="H4" s="71"/>
      <c r="I4" s="71"/>
      <c r="J4" s="71"/>
      <c r="K4" s="71"/>
      <c r="L4" s="71"/>
      <c r="M4" s="73"/>
      <c r="N4" s="20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</row>
    <row r="5" spans="1:43" ht="16.5" thickBot="1" x14ac:dyDescent="0.3">
      <c r="A5" s="70" t="str">
        <f>A3</f>
        <v>Saturday 01/20/2024</v>
      </c>
      <c r="B5" s="63" t="s">
        <v>130</v>
      </c>
      <c r="C5" s="63" t="s">
        <v>131</v>
      </c>
      <c r="D5" s="63" t="s">
        <v>132</v>
      </c>
      <c r="E5" s="63" t="s">
        <v>133</v>
      </c>
      <c r="F5" s="63" t="s">
        <v>134</v>
      </c>
      <c r="G5" s="63" t="s">
        <v>135</v>
      </c>
      <c r="H5" s="63" t="s">
        <v>136</v>
      </c>
      <c r="I5" s="63" t="s">
        <v>137</v>
      </c>
      <c r="J5" s="63" t="s">
        <v>138</v>
      </c>
      <c r="K5" s="63" t="s">
        <v>139</v>
      </c>
      <c r="L5" s="63" t="s">
        <v>150</v>
      </c>
      <c r="M5" s="73"/>
      <c r="N5" s="20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</row>
    <row r="6" spans="1:43" ht="15" x14ac:dyDescent="0.2">
      <c r="A6" s="64" t="s">
        <v>213</v>
      </c>
      <c r="B6" s="48" t="s">
        <v>48</v>
      </c>
      <c r="C6" s="48" t="s">
        <v>53</v>
      </c>
      <c r="D6" s="48" t="s">
        <v>53</v>
      </c>
      <c r="E6" s="49"/>
      <c r="F6" s="49"/>
      <c r="G6" s="49"/>
      <c r="H6" s="49"/>
      <c r="I6" s="49"/>
      <c r="J6" s="49"/>
      <c r="K6" s="49"/>
      <c r="L6" s="50"/>
      <c r="M6" s="73"/>
      <c r="N6" s="20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spans="1:43" ht="15" x14ac:dyDescent="0.2">
      <c r="A7" s="65" t="s">
        <v>213</v>
      </c>
      <c r="B7" s="48" t="s">
        <v>118</v>
      </c>
      <c r="C7" s="48" t="s">
        <v>53</v>
      </c>
      <c r="D7" s="48" t="s">
        <v>53</v>
      </c>
      <c r="E7" s="49"/>
      <c r="F7" s="49"/>
      <c r="G7" s="49"/>
      <c r="H7" s="49"/>
      <c r="I7" s="49"/>
      <c r="J7" s="49"/>
      <c r="K7" s="49"/>
      <c r="L7" s="50"/>
      <c r="M7" s="73"/>
      <c r="N7" s="20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</row>
    <row r="8" spans="1:43" ht="15" x14ac:dyDescent="0.2">
      <c r="A8" s="69" t="s">
        <v>222</v>
      </c>
      <c r="B8" s="59" t="s">
        <v>114</v>
      </c>
      <c r="C8" s="248" t="s">
        <v>13</v>
      </c>
      <c r="D8" s="59" t="s">
        <v>58</v>
      </c>
      <c r="E8" s="197"/>
      <c r="F8" s="58"/>
      <c r="G8" s="58"/>
      <c r="H8" s="58"/>
      <c r="I8" s="58"/>
      <c r="J8" s="58"/>
      <c r="K8" s="58"/>
      <c r="L8" s="198"/>
      <c r="M8" s="73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">
      <c r="A9" s="65" t="s">
        <v>224</v>
      </c>
      <c r="B9" s="48" t="s">
        <v>58</v>
      </c>
      <c r="C9" s="48" t="s">
        <v>50</v>
      </c>
      <c r="D9" s="48" t="s">
        <v>120</v>
      </c>
      <c r="E9" s="57"/>
      <c r="F9" s="49"/>
      <c r="G9" s="49"/>
      <c r="H9" s="49"/>
      <c r="I9" s="49"/>
      <c r="J9" s="49"/>
      <c r="K9" s="49"/>
      <c r="L9" s="50"/>
      <c r="M9" s="73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">
      <c r="A10" s="66" t="s">
        <v>226</v>
      </c>
      <c r="B10" s="52"/>
      <c r="C10" s="52"/>
      <c r="D10" s="52"/>
      <c r="E10" s="47" t="s">
        <v>58</v>
      </c>
      <c r="F10" s="47" t="s">
        <v>58</v>
      </c>
      <c r="G10" s="47" t="s">
        <v>19</v>
      </c>
      <c r="H10" s="243" t="s">
        <v>13</v>
      </c>
      <c r="I10" s="47" t="s">
        <v>114</v>
      </c>
      <c r="J10" s="47" t="s">
        <v>109</v>
      </c>
      <c r="K10" s="47" t="s">
        <v>114</v>
      </c>
      <c r="L10" s="51"/>
      <c r="M10" s="73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">
      <c r="A11" s="66" t="s">
        <v>140</v>
      </c>
      <c r="B11" s="47" t="s">
        <v>115</v>
      </c>
      <c r="C11" s="47" t="s">
        <v>115</v>
      </c>
      <c r="D11" s="47" t="s">
        <v>115</v>
      </c>
      <c r="E11" s="47" t="s">
        <v>115</v>
      </c>
      <c r="F11" s="47" t="s">
        <v>115</v>
      </c>
      <c r="G11" s="47" t="s">
        <v>115</v>
      </c>
      <c r="H11" s="47" t="s">
        <v>119</v>
      </c>
      <c r="I11" s="47" t="s">
        <v>115</v>
      </c>
      <c r="J11" s="47" t="s">
        <v>115</v>
      </c>
      <c r="K11" s="47" t="s">
        <v>115</v>
      </c>
      <c r="L11" s="51"/>
      <c r="M11" s="73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">
      <c r="A12" s="66" t="s">
        <v>214</v>
      </c>
      <c r="B12" s="52"/>
      <c r="C12" s="52"/>
      <c r="D12" s="47" t="s">
        <v>116</v>
      </c>
      <c r="E12" s="52"/>
      <c r="F12" s="47" t="s">
        <v>116</v>
      </c>
      <c r="G12" s="52"/>
      <c r="H12" s="47" t="s">
        <v>116</v>
      </c>
      <c r="I12" s="52"/>
      <c r="J12" s="47" t="s">
        <v>116</v>
      </c>
      <c r="K12" s="52"/>
      <c r="L12" s="51"/>
      <c r="M12" s="73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">
      <c r="A13" s="66" t="s">
        <v>211</v>
      </c>
      <c r="B13" s="47" t="s">
        <v>297</v>
      </c>
      <c r="C13" s="47" t="s">
        <v>297</v>
      </c>
      <c r="D13" s="47" t="s">
        <v>114</v>
      </c>
      <c r="E13" s="47" t="s">
        <v>114</v>
      </c>
      <c r="F13" s="47" t="s">
        <v>120</v>
      </c>
      <c r="G13" s="243" t="s">
        <v>13</v>
      </c>
      <c r="H13" s="47" t="s">
        <v>114</v>
      </c>
      <c r="I13" s="243" t="s">
        <v>13</v>
      </c>
      <c r="J13" s="47" t="s">
        <v>53</v>
      </c>
      <c r="K13" s="47" t="s">
        <v>53</v>
      </c>
      <c r="L13" s="51"/>
      <c r="M13" s="73"/>
      <c r="N13" s="20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</row>
    <row r="14" spans="1:43" ht="15" x14ac:dyDescent="0.2">
      <c r="A14" s="66" t="s">
        <v>228</v>
      </c>
      <c r="B14" s="52"/>
      <c r="C14" s="52"/>
      <c r="D14" s="52"/>
      <c r="E14" s="47" t="s">
        <v>58</v>
      </c>
      <c r="F14" s="47" t="s">
        <v>58</v>
      </c>
      <c r="G14" s="47" t="s">
        <v>48</v>
      </c>
      <c r="H14" s="47" t="s">
        <v>48</v>
      </c>
      <c r="I14" s="47" t="s">
        <v>48</v>
      </c>
      <c r="J14" s="47" t="s">
        <v>58</v>
      </c>
      <c r="K14" s="47" t="s">
        <v>58</v>
      </c>
      <c r="L14" s="51"/>
      <c r="M14" s="73"/>
      <c r="N14" s="20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</row>
    <row r="15" spans="1:43" ht="15" x14ac:dyDescent="0.2">
      <c r="A15" s="65" t="s">
        <v>228</v>
      </c>
      <c r="B15" s="49"/>
      <c r="C15" s="49"/>
      <c r="D15" s="49"/>
      <c r="E15" s="48" t="s">
        <v>109</v>
      </c>
      <c r="F15" s="48" t="s">
        <v>109</v>
      </c>
      <c r="G15" s="48" t="s">
        <v>58</v>
      </c>
      <c r="H15" s="48" t="s">
        <v>8</v>
      </c>
      <c r="I15" s="48" t="s">
        <v>118</v>
      </c>
      <c r="J15" s="48" t="s">
        <v>118</v>
      </c>
      <c r="K15" s="48" t="s">
        <v>109</v>
      </c>
      <c r="L15" s="50"/>
      <c r="M15" s="73"/>
      <c r="N15" s="20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</row>
    <row r="16" spans="1:43" ht="15" x14ac:dyDescent="0.2">
      <c r="A16" s="65" t="s">
        <v>228</v>
      </c>
      <c r="B16" s="49"/>
      <c r="C16" s="49"/>
      <c r="D16" s="49"/>
      <c r="E16" s="48" t="s">
        <v>118</v>
      </c>
      <c r="F16" s="48" t="s">
        <v>120</v>
      </c>
      <c r="G16" s="48" t="s">
        <v>58</v>
      </c>
      <c r="H16" s="48" t="s">
        <v>118</v>
      </c>
      <c r="I16" s="57"/>
      <c r="J16" s="57"/>
      <c r="K16" s="49"/>
      <c r="L16" s="50"/>
      <c r="M16" s="73"/>
      <c r="N16" s="20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spans="1:14" ht="15" x14ac:dyDescent="0.2">
      <c r="A17" s="65" t="s">
        <v>228</v>
      </c>
      <c r="B17" s="49"/>
      <c r="C17" s="49"/>
      <c r="D17" s="49"/>
      <c r="E17" s="48" t="s">
        <v>125</v>
      </c>
      <c r="F17" s="48" t="s">
        <v>125</v>
      </c>
      <c r="G17" s="48" t="s">
        <v>118</v>
      </c>
      <c r="H17" s="48" t="s">
        <v>58</v>
      </c>
      <c r="I17" s="49"/>
      <c r="J17" s="49"/>
      <c r="K17" s="49"/>
      <c r="L17" s="50"/>
      <c r="M17" s="73"/>
    </row>
    <row r="18" spans="1:14" ht="15" x14ac:dyDescent="0.2">
      <c r="A18" s="66" t="s">
        <v>230</v>
      </c>
      <c r="B18" s="52"/>
      <c r="C18" s="52"/>
      <c r="D18" s="52"/>
      <c r="E18" s="243" t="s">
        <v>13</v>
      </c>
      <c r="F18" s="243" t="s">
        <v>13</v>
      </c>
      <c r="G18" s="243" t="s">
        <v>13</v>
      </c>
      <c r="H18" s="47" t="s">
        <v>29</v>
      </c>
      <c r="I18" s="243" t="s">
        <v>13</v>
      </c>
      <c r="J18" s="47" t="s">
        <v>8</v>
      </c>
      <c r="K18" s="47" t="s">
        <v>8</v>
      </c>
      <c r="L18" s="51"/>
      <c r="M18" s="73"/>
    </row>
    <row r="19" spans="1:14" ht="15" x14ac:dyDescent="0.2">
      <c r="A19" s="65" t="s">
        <v>230</v>
      </c>
      <c r="B19" s="49"/>
      <c r="C19" s="49"/>
      <c r="D19" s="49"/>
      <c r="E19" s="48" t="s">
        <v>120</v>
      </c>
      <c r="F19" s="48" t="s">
        <v>306</v>
      </c>
      <c r="G19" s="48" t="s">
        <v>306</v>
      </c>
      <c r="H19" s="48" t="s">
        <v>53</v>
      </c>
      <c r="I19" s="48" t="s">
        <v>53</v>
      </c>
      <c r="J19" s="48" t="s">
        <v>297</v>
      </c>
      <c r="K19" s="48" t="s">
        <v>297</v>
      </c>
      <c r="L19" s="50"/>
      <c r="M19" s="73"/>
      <c r="N19" s="20"/>
    </row>
    <row r="20" spans="1:14" ht="15" x14ac:dyDescent="0.2">
      <c r="A20" s="65" t="s">
        <v>230</v>
      </c>
      <c r="B20" s="49"/>
      <c r="C20" s="49"/>
      <c r="D20" s="49"/>
      <c r="E20" s="48" t="s">
        <v>50</v>
      </c>
      <c r="F20" s="48" t="s">
        <v>125</v>
      </c>
      <c r="G20" s="48" t="s">
        <v>50</v>
      </c>
      <c r="H20" s="48" t="s">
        <v>125</v>
      </c>
      <c r="I20" s="49"/>
      <c r="J20" s="49"/>
      <c r="K20" s="49"/>
      <c r="L20" s="50"/>
      <c r="M20" s="73"/>
    </row>
    <row r="21" spans="1:14" ht="15" x14ac:dyDescent="0.2">
      <c r="A21" s="65" t="s">
        <v>230</v>
      </c>
      <c r="B21" s="49"/>
      <c r="C21" s="49"/>
      <c r="D21" s="49"/>
      <c r="E21" s="48" t="s">
        <v>114</v>
      </c>
      <c r="F21" s="48" t="s">
        <v>114</v>
      </c>
      <c r="G21" s="48" t="s">
        <v>114</v>
      </c>
      <c r="H21" s="48" t="s">
        <v>114</v>
      </c>
      <c r="I21" s="49"/>
      <c r="J21" s="49"/>
      <c r="K21" s="49"/>
      <c r="L21" s="50"/>
      <c r="M21" s="73"/>
    </row>
    <row r="22" spans="1:14" ht="15" x14ac:dyDescent="0.2">
      <c r="A22" s="66" t="s">
        <v>216</v>
      </c>
      <c r="B22" s="52"/>
      <c r="C22" s="52"/>
      <c r="D22" s="52"/>
      <c r="E22" s="243" t="s">
        <v>13</v>
      </c>
      <c r="F22" s="243" t="s">
        <v>13</v>
      </c>
      <c r="G22" s="47" t="s">
        <v>120</v>
      </c>
      <c r="H22" s="47" t="s">
        <v>27</v>
      </c>
      <c r="I22" s="47" t="s">
        <v>27</v>
      </c>
      <c r="J22" s="47" t="s">
        <v>114</v>
      </c>
      <c r="K22" s="47" t="s">
        <v>297</v>
      </c>
      <c r="L22" s="51"/>
      <c r="M22" s="73"/>
    </row>
    <row r="23" spans="1:14" ht="15" x14ac:dyDescent="0.2">
      <c r="A23" s="66" t="s">
        <v>232</v>
      </c>
      <c r="B23" s="52"/>
      <c r="C23" s="52"/>
      <c r="D23" s="52"/>
      <c r="E23" s="47" t="s">
        <v>306</v>
      </c>
      <c r="F23" s="47" t="s">
        <v>118</v>
      </c>
      <c r="G23" s="47" t="s">
        <v>189</v>
      </c>
      <c r="H23" s="47" t="s">
        <v>109</v>
      </c>
      <c r="I23" s="47" t="s">
        <v>19</v>
      </c>
      <c r="J23" s="47" t="s">
        <v>19</v>
      </c>
      <c r="K23" s="249" t="s">
        <v>118</v>
      </c>
      <c r="L23" s="51"/>
      <c r="M23" s="73"/>
    </row>
    <row r="24" spans="1:14" ht="15" x14ac:dyDescent="0.2">
      <c r="A24" s="66" t="s">
        <v>233</v>
      </c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1"/>
      <c r="M24" s="73"/>
    </row>
    <row r="25" spans="1:14" ht="15" x14ac:dyDescent="0.2">
      <c r="A25" s="66" t="s">
        <v>221</v>
      </c>
      <c r="B25" s="52"/>
      <c r="C25" s="52"/>
      <c r="D25" s="52"/>
      <c r="E25" s="47" t="s">
        <v>297</v>
      </c>
      <c r="F25" s="47" t="s">
        <v>297</v>
      </c>
      <c r="G25" s="47" t="s">
        <v>119</v>
      </c>
      <c r="H25" s="47" t="s">
        <v>58</v>
      </c>
      <c r="I25" s="47" t="s">
        <v>58</v>
      </c>
      <c r="J25" s="47" t="s">
        <v>58</v>
      </c>
      <c r="K25" s="47" t="s">
        <v>125</v>
      </c>
      <c r="L25" s="51"/>
      <c r="M25" s="73"/>
    </row>
    <row r="26" spans="1:14" ht="15" x14ac:dyDescent="0.2">
      <c r="A26" s="66" t="s">
        <v>218</v>
      </c>
      <c r="B26" s="47" t="s">
        <v>119</v>
      </c>
      <c r="C26" s="47" t="s">
        <v>119</v>
      </c>
      <c r="D26" s="47" t="s">
        <v>109</v>
      </c>
      <c r="E26" s="52"/>
      <c r="F26" s="52"/>
      <c r="G26" s="52"/>
      <c r="H26" s="52"/>
      <c r="I26" s="52"/>
      <c r="J26" s="52"/>
      <c r="K26" s="52"/>
      <c r="L26" s="51"/>
      <c r="M26" s="73"/>
    </row>
    <row r="27" spans="1:14" ht="15" x14ac:dyDescent="0.2">
      <c r="A27" s="66" t="s">
        <v>102</v>
      </c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4" t="s">
        <v>48</v>
      </c>
      <c r="M27" s="73"/>
    </row>
    <row r="28" spans="1:14" ht="15" x14ac:dyDescent="0.2">
      <c r="A28" s="67" t="s">
        <v>102</v>
      </c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56" t="s">
        <v>48</v>
      </c>
      <c r="M28" s="73"/>
    </row>
    <row r="29" spans="1:14" ht="15" x14ac:dyDescent="0.2">
      <c r="A29" s="71" t="s">
        <v>344</v>
      </c>
      <c r="B29" s="49"/>
      <c r="C29" s="49"/>
      <c r="D29" s="49"/>
      <c r="E29" s="205" t="s">
        <v>19</v>
      </c>
      <c r="F29" s="205" t="s">
        <v>19</v>
      </c>
      <c r="G29" s="205" t="s">
        <v>50</v>
      </c>
      <c r="H29" s="205" t="s">
        <v>120</v>
      </c>
      <c r="I29" s="205" t="s">
        <v>8</v>
      </c>
      <c r="J29" s="205" t="s">
        <v>50</v>
      </c>
      <c r="K29" s="205" t="s">
        <v>50</v>
      </c>
      <c r="L29" s="52"/>
      <c r="M29" s="73"/>
    </row>
    <row r="30" spans="1:14" x14ac:dyDescent="0.2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</row>
    <row r="31" spans="1:14" ht="15" x14ac:dyDescent="0.2">
      <c r="A31" s="20"/>
    </row>
  </sheetData>
  <sheetProtection sheet="1" objects="1" scenarios="1"/>
  <phoneticPr fontId="0" type="noConversion"/>
  <printOptions horizontalCentered="1" gridLines="1"/>
  <pageMargins left="0.5" right="0.25" top="1" bottom="1" header="0.5" footer="0.5"/>
  <pageSetup scale="9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5"/>
  <sheetViews>
    <sheetView zoomScaleNormal="100" workbookViewId="0">
      <pane ySplit="5" topLeftCell="A6" activePane="bottomLeft" state="frozen"/>
      <selection pane="bottomLeft" activeCell="F21" sqref="F21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72" t="s">
        <v>157</v>
      </c>
      <c r="B1" s="72"/>
      <c r="C1" s="72"/>
      <c r="D1" s="72"/>
      <c r="E1" s="72"/>
      <c r="F1" s="72"/>
      <c r="G1" s="72" t="s">
        <v>267</v>
      </c>
      <c r="H1" s="75" t="str">
        <f>Issue</f>
        <v>2024 Show Season V1 7/22/2024</v>
      </c>
      <c r="I1" s="71"/>
      <c r="J1" s="71"/>
      <c r="K1" s="71"/>
      <c r="L1" s="73"/>
    </row>
    <row r="2" spans="1:42" ht="15.75" x14ac:dyDescent="0.25">
      <c r="A2" s="80" t="s">
        <v>158</v>
      </c>
      <c r="B2" s="80"/>
      <c r="C2" s="80"/>
      <c r="D2" s="72"/>
      <c r="E2" s="71"/>
      <c r="F2" s="71"/>
      <c r="G2" s="71"/>
      <c r="H2" s="71"/>
      <c r="I2" s="71"/>
      <c r="J2" s="71"/>
      <c r="K2" s="71"/>
      <c r="L2" s="7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14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</row>
    <row r="3" spans="1:42" ht="18.75" x14ac:dyDescent="0.3">
      <c r="A3" s="79" t="s">
        <v>353</v>
      </c>
      <c r="B3" s="226"/>
      <c r="C3" s="226"/>
      <c r="D3" s="72"/>
      <c r="E3" s="73"/>
      <c r="F3" s="173" t="s">
        <v>168</v>
      </c>
      <c r="G3" s="71"/>
      <c r="H3" s="71"/>
      <c r="I3" s="71"/>
      <c r="J3" s="71"/>
      <c r="K3" s="71"/>
      <c r="L3" s="73"/>
      <c r="M3" s="20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</row>
    <row r="4" spans="1:42" ht="15.75" x14ac:dyDescent="0.25">
      <c r="A4" s="72"/>
      <c r="B4" s="72"/>
      <c r="C4" s="72"/>
      <c r="D4" s="71"/>
      <c r="E4" s="78"/>
      <c r="F4" s="77"/>
      <c r="G4" s="77"/>
      <c r="H4" s="71"/>
      <c r="I4" s="71"/>
      <c r="J4" s="71"/>
      <c r="K4" s="71"/>
      <c r="L4" s="73"/>
      <c r="M4" s="20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</row>
    <row r="5" spans="1:42" ht="15.75" x14ac:dyDescent="0.25">
      <c r="A5" s="72" t="str">
        <f>A3</f>
        <v>Sunday 01/21/2024</v>
      </c>
      <c r="B5" s="80" t="s">
        <v>130</v>
      </c>
      <c r="C5" s="80" t="s">
        <v>131</v>
      </c>
      <c r="D5" s="199" t="s">
        <v>132</v>
      </c>
      <c r="E5" s="199" t="s">
        <v>133</v>
      </c>
      <c r="F5" s="199" t="s">
        <v>134</v>
      </c>
      <c r="G5" s="199" t="s">
        <v>135</v>
      </c>
      <c r="H5" s="199" t="s">
        <v>136</v>
      </c>
      <c r="I5" s="199" t="s">
        <v>137</v>
      </c>
      <c r="J5" s="199" t="s">
        <v>138</v>
      </c>
      <c r="K5" s="199" t="s">
        <v>139</v>
      </c>
      <c r="L5" s="71"/>
      <c r="M5" s="20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</row>
    <row r="6" spans="1:42" ht="15" x14ac:dyDescent="0.2">
      <c r="A6" s="69" t="s">
        <v>223</v>
      </c>
      <c r="B6" s="233"/>
      <c r="C6" s="233"/>
      <c r="D6" s="59" t="s">
        <v>50</v>
      </c>
      <c r="E6" s="197"/>
      <c r="F6" s="58"/>
      <c r="G6" s="58"/>
      <c r="H6" s="58"/>
      <c r="I6" s="58"/>
      <c r="J6" s="58"/>
      <c r="K6" s="198"/>
      <c r="L6" s="82"/>
      <c r="M6" s="20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</row>
    <row r="7" spans="1:42" ht="15" x14ac:dyDescent="0.2">
      <c r="A7" s="65" t="s">
        <v>225</v>
      </c>
      <c r="B7" s="71"/>
      <c r="C7" s="71"/>
      <c r="D7" s="48" t="s">
        <v>118</v>
      </c>
      <c r="E7" s="57"/>
      <c r="F7" s="49"/>
      <c r="G7" s="49"/>
      <c r="H7" s="49"/>
      <c r="I7" s="49"/>
      <c r="J7" s="49"/>
      <c r="K7" s="50"/>
      <c r="L7" s="73"/>
      <c r="M7" s="20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</row>
    <row r="8" spans="1:42" ht="15" x14ac:dyDescent="0.2">
      <c r="A8" s="66" t="s">
        <v>227</v>
      </c>
      <c r="B8" s="223"/>
      <c r="C8" s="223"/>
      <c r="D8" s="52"/>
      <c r="E8" s="47" t="s">
        <v>29</v>
      </c>
      <c r="F8" s="47" t="s">
        <v>58</v>
      </c>
      <c r="G8" s="47" t="s">
        <v>58</v>
      </c>
      <c r="H8" s="47" t="s">
        <v>29</v>
      </c>
      <c r="I8" s="47" t="s">
        <v>118</v>
      </c>
      <c r="J8" s="47" t="s">
        <v>114</v>
      </c>
      <c r="K8" s="51"/>
      <c r="L8" s="73"/>
      <c r="M8" s="20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</row>
    <row r="9" spans="1:42" ht="15" x14ac:dyDescent="0.2">
      <c r="A9" s="66" t="s">
        <v>151</v>
      </c>
      <c r="B9" s="223"/>
      <c r="C9" s="223"/>
      <c r="D9" s="47" t="s">
        <v>8</v>
      </c>
      <c r="E9" s="47" t="s">
        <v>109</v>
      </c>
      <c r="F9" s="47" t="s">
        <v>50</v>
      </c>
      <c r="G9" s="47" t="s">
        <v>50</v>
      </c>
      <c r="H9" s="47" t="s">
        <v>19</v>
      </c>
      <c r="I9" s="47" t="s">
        <v>114</v>
      </c>
      <c r="J9" s="47" t="s">
        <v>53</v>
      </c>
      <c r="K9" s="51"/>
      <c r="L9" s="73"/>
      <c r="M9" s="20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</row>
    <row r="10" spans="1:42" ht="15" x14ac:dyDescent="0.2">
      <c r="A10" s="66" t="s">
        <v>215</v>
      </c>
      <c r="B10" s="223"/>
      <c r="C10" s="223"/>
      <c r="D10" s="47" t="s">
        <v>116</v>
      </c>
      <c r="E10" s="51"/>
      <c r="F10" s="47" t="s">
        <v>116</v>
      </c>
      <c r="G10" s="51"/>
      <c r="H10" s="47" t="s">
        <v>116</v>
      </c>
      <c r="I10" s="51"/>
      <c r="J10" s="51"/>
      <c r="K10" s="51"/>
      <c r="L10" s="73"/>
      <c r="M10" s="20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</row>
    <row r="11" spans="1:42" ht="15" x14ac:dyDescent="0.2">
      <c r="A11" s="66" t="s">
        <v>212</v>
      </c>
      <c r="B11" s="223"/>
      <c r="C11" s="223"/>
      <c r="D11" s="47" t="s">
        <v>306</v>
      </c>
      <c r="E11" s="47" t="s">
        <v>120</v>
      </c>
      <c r="F11" s="47" t="s">
        <v>118</v>
      </c>
      <c r="G11" s="47" t="s">
        <v>32</v>
      </c>
      <c r="H11" s="47" t="s">
        <v>114</v>
      </c>
      <c r="I11" s="47" t="s">
        <v>53</v>
      </c>
      <c r="J11" s="47" t="s">
        <v>125</v>
      </c>
      <c r="K11" s="51"/>
      <c r="L11" s="73"/>
      <c r="M11" s="20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</row>
    <row r="12" spans="1:42" ht="15" x14ac:dyDescent="0.2">
      <c r="A12" s="66" t="s">
        <v>229</v>
      </c>
      <c r="B12" s="223"/>
      <c r="C12" s="223"/>
      <c r="D12" s="52"/>
      <c r="E12" s="47" t="s">
        <v>13</v>
      </c>
      <c r="F12" s="47" t="s">
        <v>19</v>
      </c>
      <c r="G12" s="47" t="s">
        <v>19</v>
      </c>
      <c r="H12" s="47" t="s">
        <v>19</v>
      </c>
      <c r="I12" s="47" t="s">
        <v>120</v>
      </c>
      <c r="J12" s="51"/>
      <c r="K12" s="51"/>
      <c r="L12" s="73"/>
      <c r="M12" s="20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</row>
    <row r="13" spans="1:42" ht="15" x14ac:dyDescent="0.2">
      <c r="A13" s="65" t="s">
        <v>229</v>
      </c>
      <c r="B13" s="71"/>
      <c r="C13" s="71"/>
      <c r="D13" s="49"/>
      <c r="E13" s="48" t="s">
        <v>114</v>
      </c>
      <c r="F13" s="48" t="s">
        <v>114</v>
      </c>
      <c r="G13" s="48" t="s">
        <v>114</v>
      </c>
      <c r="H13" s="48" t="s">
        <v>114</v>
      </c>
      <c r="I13" s="48" t="s">
        <v>109</v>
      </c>
      <c r="J13" s="50"/>
      <c r="K13" s="50"/>
      <c r="L13" s="73"/>
      <c r="M13" s="20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</row>
    <row r="14" spans="1:42" ht="15" x14ac:dyDescent="0.2">
      <c r="A14" s="65" t="s">
        <v>229</v>
      </c>
      <c r="B14" s="71"/>
      <c r="C14" s="71"/>
      <c r="D14" s="49"/>
      <c r="E14" s="49"/>
      <c r="F14" s="49"/>
      <c r="G14" s="48" t="s">
        <v>8</v>
      </c>
      <c r="H14" s="48" t="s">
        <v>306</v>
      </c>
      <c r="I14" s="49"/>
      <c r="J14" s="49"/>
      <c r="K14" s="50"/>
      <c r="L14" s="73"/>
      <c r="M14" s="20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</row>
    <row r="15" spans="1:42" ht="15" x14ac:dyDescent="0.2">
      <c r="A15" s="65" t="s">
        <v>229</v>
      </c>
      <c r="B15" s="71"/>
      <c r="C15" s="71"/>
      <c r="D15" s="49"/>
      <c r="E15" s="49"/>
      <c r="F15" s="49"/>
      <c r="G15" s="48" t="s">
        <v>189</v>
      </c>
      <c r="H15" s="48" t="s">
        <v>118</v>
      </c>
      <c r="I15" s="49"/>
      <c r="J15" s="49"/>
      <c r="K15" s="50"/>
      <c r="L15" s="73"/>
      <c r="M15" s="20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</row>
    <row r="16" spans="1:42" ht="15" x14ac:dyDescent="0.2">
      <c r="A16" s="66" t="s">
        <v>231</v>
      </c>
      <c r="B16" s="223"/>
      <c r="C16" s="223"/>
      <c r="D16" s="52"/>
      <c r="E16" s="47" t="s">
        <v>120</v>
      </c>
      <c r="F16" s="47" t="s">
        <v>120</v>
      </c>
      <c r="G16" s="47" t="s">
        <v>120</v>
      </c>
      <c r="H16" s="47" t="s">
        <v>58</v>
      </c>
      <c r="I16" s="47" t="s">
        <v>58</v>
      </c>
      <c r="J16" s="51"/>
      <c r="K16" s="51"/>
      <c r="L16" s="73"/>
    </row>
    <row r="17" spans="1:14" ht="15" x14ac:dyDescent="0.2">
      <c r="A17" s="65" t="s">
        <v>231</v>
      </c>
      <c r="B17" s="71"/>
      <c r="C17" s="71"/>
      <c r="D17" s="49"/>
      <c r="E17" s="48" t="s">
        <v>125</v>
      </c>
      <c r="F17" s="48" t="s">
        <v>125</v>
      </c>
      <c r="G17" s="48" t="s">
        <v>58</v>
      </c>
      <c r="H17" s="48" t="s">
        <v>125</v>
      </c>
      <c r="I17" s="48" t="s">
        <v>8</v>
      </c>
      <c r="J17" s="50"/>
      <c r="K17" s="50"/>
      <c r="L17" s="73"/>
      <c r="N17" s="23"/>
    </row>
    <row r="18" spans="1:14" ht="15" x14ac:dyDescent="0.2">
      <c r="A18" s="65" t="s">
        <v>231</v>
      </c>
      <c r="B18" s="71"/>
      <c r="C18" s="71"/>
      <c r="D18" s="49"/>
      <c r="E18" s="49"/>
      <c r="F18" s="49"/>
      <c r="G18" s="48" t="s">
        <v>50</v>
      </c>
      <c r="H18" s="48" t="s">
        <v>50</v>
      </c>
      <c r="I18" s="49"/>
      <c r="J18" s="49"/>
      <c r="K18" s="50"/>
      <c r="L18" s="73"/>
    </row>
    <row r="19" spans="1:14" ht="15" x14ac:dyDescent="0.2">
      <c r="A19" s="65" t="s">
        <v>231</v>
      </c>
      <c r="B19" s="71"/>
      <c r="C19" s="71"/>
      <c r="D19" s="49"/>
      <c r="E19" s="49"/>
      <c r="F19" s="49"/>
      <c r="G19" s="48" t="s">
        <v>125</v>
      </c>
      <c r="H19" s="48" t="s">
        <v>297</v>
      </c>
      <c r="I19" s="49"/>
      <c r="J19" s="49"/>
      <c r="K19" s="50"/>
      <c r="L19" s="73"/>
    </row>
    <row r="20" spans="1:14" ht="15" x14ac:dyDescent="0.2">
      <c r="A20" s="66" t="s">
        <v>217</v>
      </c>
      <c r="B20" s="223"/>
      <c r="C20" s="223"/>
      <c r="D20" s="52"/>
      <c r="E20" s="47" t="s">
        <v>48</v>
      </c>
      <c r="F20" s="47" t="s">
        <v>8</v>
      </c>
      <c r="G20" s="47" t="s">
        <v>118</v>
      </c>
      <c r="H20" s="47" t="s">
        <v>119</v>
      </c>
      <c r="I20" s="47" t="s">
        <v>125</v>
      </c>
      <c r="J20" s="47" t="s">
        <v>306</v>
      </c>
      <c r="K20" s="51"/>
      <c r="L20" s="73"/>
    </row>
    <row r="21" spans="1:14" ht="15" x14ac:dyDescent="0.2">
      <c r="A21" s="66" t="s">
        <v>234</v>
      </c>
      <c r="B21" s="223"/>
      <c r="C21" s="223"/>
      <c r="D21" s="52"/>
      <c r="E21" s="47" t="s">
        <v>306</v>
      </c>
      <c r="F21" s="47" t="s">
        <v>109</v>
      </c>
      <c r="G21" s="47" t="s">
        <v>19</v>
      </c>
      <c r="H21" s="47" t="s">
        <v>8</v>
      </c>
      <c r="I21" s="47" t="s">
        <v>114</v>
      </c>
      <c r="J21" s="51"/>
      <c r="K21" s="51"/>
      <c r="L21" s="71"/>
    </row>
    <row r="22" spans="1:14" ht="15" x14ac:dyDescent="0.2">
      <c r="A22" s="66" t="s">
        <v>235</v>
      </c>
      <c r="B22" s="223"/>
      <c r="C22" s="223"/>
      <c r="D22" s="52"/>
      <c r="E22" s="52"/>
      <c r="F22" s="52"/>
      <c r="G22" s="52"/>
      <c r="H22" s="52"/>
      <c r="I22" s="52"/>
      <c r="J22" s="52"/>
      <c r="K22" s="51"/>
      <c r="L22" s="73"/>
    </row>
    <row r="23" spans="1:14" ht="15" x14ac:dyDescent="0.2">
      <c r="A23" s="66" t="s">
        <v>220</v>
      </c>
      <c r="B23" s="223"/>
      <c r="C23" s="223"/>
      <c r="D23" s="52"/>
      <c r="E23" s="47" t="s">
        <v>118</v>
      </c>
      <c r="F23" s="47" t="s">
        <v>13</v>
      </c>
      <c r="G23" s="47" t="s">
        <v>306</v>
      </c>
      <c r="H23" s="47" t="s">
        <v>58</v>
      </c>
      <c r="I23" s="47" t="s">
        <v>58</v>
      </c>
      <c r="J23" s="47" t="s">
        <v>118</v>
      </c>
      <c r="K23" s="51"/>
      <c r="L23" s="73"/>
    </row>
    <row r="24" spans="1:14" ht="15" x14ac:dyDescent="0.2">
      <c r="A24" s="66" t="s">
        <v>345</v>
      </c>
      <c r="B24" s="223"/>
      <c r="C24" s="223"/>
      <c r="D24" s="52"/>
      <c r="E24" s="47" t="s">
        <v>114</v>
      </c>
      <c r="F24" s="47" t="s">
        <v>114</v>
      </c>
      <c r="G24" s="47" t="s">
        <v>297</v>
      </c>
      <c r="H24" s="47" t="s">
        <v>13</v>
      </c>
      <c r="I24" s="47" t="s">
        <v>118</v>
      </c>
      <c r="J24" s="47" t="s">
        <v>118</v>
      </c>
      <c r="K24" s="51"/>
      <c r="L24" s="73"/>
    </row>
    <row r="25" spans="1:14" ht="15" x14ac:dyDescent="0.2">
      <c r="A25" s="66" t="s">
        <v>219</v>
      </c>
      <c r="B25" s="223"/>
      <c r="C25" s="223"/>
      <c r="D25" s="47" t="s">
        <v>120</v>
      </c>
      <c r="E25" s="52"/>
      <c r="F25" s="52"/>
      <c r="G25" s="52"/>
      <c r="H25" s="52"/>
      <c r="I25" s="52"/>
      <c r="J25" s="52"/>
      <c r="K25" s="51"/>
      <c r="L25" s="73"/>
    </row>
    <row r="26" spans="1:14" ht="15" x14ac:dyDescent="0.2">
      <c r="A26" s="66" t="s">
        <v>236</v>
      </c>
      <c r="B26" s="223"/>
      <c r="C26" s="223"/>
      <c r="D26" s="52"/>
      <c r="E26" s="52"/>
      <c r="F26" s="52"/>
      <c r="G26" s="52"/>
      <c r="H26" s="52"/>
      <c r="I26" s="52"/>
      <c r="J26" s="52"/>
      <c r="K26" s="54" t="s">
        <v>32</v>
      </c>
      <c r="L26" s="73"/>
    </row>
    <row r="27" spans="1:14" ht="15" x14ac:dyDescent="0.2">
      <c r="A27" s="65" t="s">
        <v>236</v>
      </c>
      <c r="B27" s="71"/>
      <c r="C27" s="71"/>
      <c r="D27" s="49"/>
      <c r="E27" s="49"/>
      <c r="F27" s="49"/>
      <c r="G27" s="49"/>
      <c r="H27" s="49"/>
      <c r="I27" s="49"/>
      <c r="J27" s="49"/>
      <c r="K27" s="55" t="s">
        <v>32</v>
      </c>
      <c r="L27" s="73"/>
    </row>
    <row r="28" spans="1:14" ht="15" x14ac:dyDescent="0.2">
      <c r="A28" s="65" t="s">
        <v>236</v>
      </c>
      <c r="B28" s="71"/>
      <c r="C28" s="71"/>
      <c r="D28" s="57"/>
      <c r="E28" s="57"/>
      <c r="F28" s="57"/>
      <c r="G28" s="57"/>
      <c r="H28" s="57"/>
      <c r="I28" s="57"/>
      <c r="J28" s="57"/>
      <c r="K28" s="55" t="s">
        <v>32</v>
      </c>
      <c r="L28" s="73"/>
    </row>
    <row r="29" spans="1:14" ht="15" x14ac:dyDescent="0.2">
      <c r="A29" s="65" t="s">
        <v>236</v>
      </c>
      <c r="B29" s="71"/>
      <c r="C29" s="71"/>
      <c r="D29" s="57"/>
      <c r="E29" s="57"/>
      <c r="F29" s="57"/>
      <c r="G29" s="57"/>
      <c r="H29" s="57"/>
      <c r="I29" s="57"/>
      <c r="J29" s="57"/>
      <c r="K29" s="55" t="s">
        <v>32</v>
      </c>
      <c r="L29" s="73"/>
    </row>
    <row r="30" spans="1:14" ht="15" x14ac:dyDescent="0.2">
      <c r="A30" s="65" t="s">
        <v>236</v>
      </c>
      <c r="B30" s="71"/>
      <c r="C30" s="71"/>
      <c r="D30" s="57"/>
      <c r="E30" s="57"/>
      <c r="F30" s="57"/>
      <c r="G30" s="57"/>
      <c r="H30" s="57"/>
      <c r="I30" s="57"/>
      <c r="J30" s="57"/>
      <c r="K30" s="55" t="s">
        <v>32</v>
      </c>
      <c r="L30" s="73"/>
    </row>
    <row r="31" spans="1:14" ht="15" x14ac:dyDescent="0.2">
      <c r="A31" s="67" t="s">
        <v>236</v>
      </c>
      <c r="B31" s="227"/>
      <c r="C31" s="227"/>
      <c r="D31" s="53"/>
      <c r="E31" s="53"/>
      <c r="F31" s="53"/>
      <c r="G31" s="53"/>
      <c r="H31" s="53"/>
      <c r="I31" s="53"/>
      <c r="J31" s="53"/>
      <c r="K31" s="56" t="s">
        <v>32</v>
      </c>
      <c r="L31" s="73"/>
    </row>
    <row r="32" spans="1:14" x14ac:dyDescent="0.2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</row>
    <row r="33" spans="1:12" ht="15" x14ac:dyDescent="0.2">
      <c r="A33" s="20"/>
      <c r="B33" s="20"/>
      <c r="C33" s="20"/>
    </row>
    <row r="35" spans="1:12" ht="15" x14ac:dyDescent="0.2">
      <c r="L35" s="20"/>
    </row>
  </sheetData>
  <sheetProtection sheet="1" objects="1" scenarios="1"/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showGridLines="0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21" t="s">
        <v>347</v>
      </c>
    </row>
    <row r="2" spans="1:26" ht="15.75" x14ac:dyDescent="0.25">
      <c r="A2" s="31" t="s">
        <v>177</v>
      </c>
      <c r="B2" s="25"/>
      <c r="C2" s="90" t="s">
        <v>13</v>
      </c>
      <c r="D2" s="26"/>
    </row>
    <row r="3" spans="1:26" x14ac:dyDescent="0.2">
      <c r="A3" s="31" t="s">
        <v>152</v>
      </c>
      <c r="B3" s="25"/>
      <c r="C3" s="61" t="e">
        <f>VLOOKUP(ClubSumSymbol,ClubList,2,FALSE)</f>
        <v>#N/A</v>
      </c>
      <c r="D3" s="26"/>
    </row>
    <row r="4" spans="1:26" x14ac:dyDescent="0.2">
      <c r="A4" t="s">
        <v>286</v>
      </c>
      <c r="C4" s="3" t="e">
        <f>VLOOKUP(ClubSumSymbol,ClubList,7,FALSE)</f>
        <v>#N/A</v>
      </c>
    </row>
    <row r="5" spans="1:26" x14ac:dyDescent="0.2">
      <c r="A5" t="s">
        <v>287</v>
      </c>
      <c r="B5" s="85" t="e">
        <f>VLOOKUP(ClubSumSymbol,ClubList,8,FALSE)</f>
        <v>#N/A</v>
      </c>
      <c r="C5" s="3"/>
    </row>
    <row r="6" spans="1:26" ht="15.75" x14ac:dyDescent="0.25">
      <c r="H6" s="92" t="s">
        <v>267</v>
      </c>
      <c r="I6" s="196" t="str">
        <f>Issue</f>
        <v>2024 Show Season V1 7/22/2024</v>
      </c>
    </row>
    <row r="7" spans="1:26" x14ac:dyDescent="0.2">
      <c r="B7" s="89" t="s">
        <v>185</v>
      </c>
      <c r="C7" s="89" t="s">
        <v>268</v>
      </c>
      <c r="D7" s="89" t="s">
        <v>186</v>
      </c>
      <c r="E7" s="89" t="s">
        <v>269</v>
      </c>
      <c r="F7" s="89" t="s">
        <v>142</v>
      </c>
    </row>
    <row r="8" spans="1:26" x14ac:dyDescent="0.2">
      <c r="A8" s="85" t="s">
        <v>184</v>
      </c>
      <c r="B8" s="86">
        <f>SUMIF(HTSPreshowTaskClubs,C2,HTSPreshowTaskHours)</f>
        <v>2</v>
      </c>
      <c r="C8" s="86">
        <f>COUNTIF(B11:Z32,"SSRM")</f>
        <v>18</v>
      </c>
      <c r="D8" s="86">
        <f>SUMIF(DATPreshowTaskClubs,C2,DATPreshowTaskHours)</f>
        <v>2</v>
      </c>
      <c r="E8" s="86">
        <f>COUNTIF(B35:Z54,"SSRM")</f>
        <v>15</v>
      </c>
      <c r="F8" s="86">
        <f>SUM(B8:E8)</f>
        <v>37</v>
      </c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</row>
    <row r="9" spans="1:26" x14ac:dyDescent="0.2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</row>
    <row r="10" spans="1:26" x14ac:dyDescent="0.2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</row>
    <row r="11" spans="1:26" x14ac:dyDescent="0.2">
      <c r="A11" s="87"/>
      <c r="B11" s="87"/>
      <c r="C11" s="87"/>
      <c r="D11" s="87"/>
      <c r="E11" s="88" t="s">
        <v>323</v>
      </c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x14ac:dyDescent="0.2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ht="13.5" thickBot="1" x14ac:dyDescent="0.25">
      <c r="A13" s="91" t="s">
        <v>265</v>
      </c>
      <c r="B13" s="91" t="s">
        <v>208</v>
      </c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x14ac:dyDescent="0.2">
      <c r="A14" s="236" t="s">
        <v>12</v>
      </c>
      <c r="B14" s="236">
        <v>2</v>
      </c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x14ac:dyDescent="0.2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13.5" thickBot="1" x14ac:dyDescent="0.25">
      <c r="A16" s="91" t="s">
        <v>348</v>
      </c>
      <c r="B16" s="91" t="s">
        <v>130</v>
      </c>
      <c r="C16" s="91" t="s">
        <v>131</v>
      </c>
      <c r="D16" s="91" t="s">
        <v>132</v>
      </c>
      <c r="E16" s="91" t="s">
        <v>133</v>
      </c>
      <c r="F16" s="91" t="s">
        <v>134</v>
      </c>
      <c r="G16" s="91" t="s">
        <v>135</v>
      </c>
      <c r="H16" s="91" t="s">
        <v>136</v>
      </c>
      <c r="I16" s="91" t="s">
        <v>137</v>
      </c>
      <c r="J16" s="91" t="s">
        <v>138</v>
      </c>
      <c r="K16" s="91" t="s">
        <v>139</v>
      </c>
      <c r="L16" s="91" t="s">
        <v>150</v>
      </c>
      <c r="M16" s="91" t="s">
        <v>175</v>
      </c>
      <c r="N16" s="91" t="s">
        <v>130</v>
      </c>
      <c r="O16" s="91" t="s">
        <v>131</v>
      </c>
      <c r="P16" s="91" t="s">
        <v>132</v>
      </c>
      <c r="Q16" s="91" t="s">
        <v>176</v>
      </c>
      <c r="R16" s="87"/>
      <c r="S16" s="87"/>
      <c r="T16" s="87"/>
      <c r="U16" s="87"/>
      <c r="V16" s="87"/>
      <c r="W16" s="87"/>
      <c r="X16" s="87"/>
      <c r="Y16" s="87"/>
      <c r="Z16" s="87"/>
    </row>
    <row r="17" spans="1:26" x14ac:dyDescent="0.2">
      <c r="A17" s="236" t="s">
        <v>328</v>
      </c>
      <c r="B17" s="236" t="s">
        <v>354</v>
      </c>
      <c r="C17" s="236" t="s">
        <v>354</v>
      </c>
      <c r="D17" s="236" t="s">
        <v>354</v>
      </c>
      <c r="E17" s="236" t="s">
        <v>13</v>
      </c>
      <c r="F17" s="236" t="s">
        <v>13</v>
      </c>
      <c r="G17" s="236" t="s">
        <v>354</v>
      </c>
      <c r="H17" s="236" t="s">
        <v>354</v>
      </c>
      <c r="I17" s="236" t="s">
        <v>354</v>
      </c>
      <c r="J17" s="236" t="s">
        <v>354</v>
      </c>
      <c r="K17" s="236" t="s">
        <v>354</v>
      </c>
      <c r="L17" s="236" t="s">
        <v>354</v>
      </c>
      <c r="M17" s="236" t="s">
        <v>354</v>
      </c>
      <c r="N17" s="236" t="s">
        <v>354</v>
      </c>
      <c r="O17" s="236" t="s">
        <v>354</v>
      </c>
      <c r="P17" s="236" t="s">
        <v>354</v>
      </c>
      <c r="Q17" s="236" t="s">
        <v>354</v>
      </c>
      <c r="R17" s="87"/>
      <c r="S17" s="87"/>
      <c r="T17" s="87"/>
      <c r="U17" s="87"/>
      <c r="V17" s="87"/>
      <c r="W17" s="87"/>
      <c r="X17" s="87"/>
      <c r="Y17" s="87"/>
      <c r="Z17" s="87"/>
    </row>
    <row r="18" spans="1:26" x14ac:dyDescent="0.2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13.5" thickBot="1" x14ac:dyDescent="0.25">
      <c r="A19" s="91" t="s">
        <v>349</v>
      </c>
      <c r="B19" s="91" t="s">
        <v>130</v>
      </c>
      <c r="C19" s="91" t="s">
        <v>131</v>
      </c>
      <c r="D19" s="91" t="s">
        <v>132</v>
      </c>
      <c r="E19" s="91" t="s">
        <v>133</v>
      </c>
      <c r="F19" s="91" t="s">
        <v>134</v>
      </c>
      <c r="G19" s="91" t="s">
        <v>135</v>
      </c>
      <c r="H19" s="91" t="s">
        <v>136</v>
      </c>
      <c r="I19" s="91" t="s">
        <v>137</v>
      </c>
      <c r="J19" s="91" t="s">
        <v>138</v>
      </c>
      <c r="K19" s="91" t="s">
        <v>139</v>
      </c>
      <c r="L19" s="91" t="s">
        <v>150</v>
      </c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x14ac:dyDescent="0.2">
      <c r="A20" s="236" t="s">
        <v>140</v>
      </c>
      <c r="B20" s="236" t="s">
        <v>354</v>
      </c>
      <c r="C20" s="236" t="s">
        <v>354</v>
      </c>
      <c r="D20" s="236" t="s">
        <v>354</v>
      </c>
      <c r="E20" s="236" t="s">
        <v>13</v>
      </c>
      <c r="F20" s="236" t="s">
        <v>354</v>
      </c>
      <c r="G20" s="236" t="s">
        <v>354</v>
      </c>
      <c r="H20" s="236" t="s">
        <v>354</v>
      </c>
      <c r="I20" s="236" t="s">
        <v>354</v>
      </c>
      <c r="J20" s="236" t="s">
        <v>354</v>
      </c>
      <c r="K20" s="236" t="s">
        <v>354</v>
      </c>
      <c r="L20" s="236" t="s">
        <v>354</v>
      </c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x14ac:dyDescent="0.2">
      <c r="A21" s="235" t="s">
        <v>211</v>
      </c>
      <c r="B21" s="235" t="s">
        <v>13</v>
      </c>
      <c r="C21" s="235" t="s">
        <v>13</v>
      </c>
      <c r="D21" s="235" t="s">
        <v>13</v>
      </c>
      <c r="E21" s="235" t="s">
        <v>354</v>
      </c>
      <c r="F21" s="235" t="s">
        <v>354</v>
      </c>
      <c r="G21" s="235" t="s">
        <v>354</v>
      </c>
      <c r="H21" s="235" t="s">
        <v>354</v>
      </c>
      <c r="I21" s="235" t="s">
        <v>354</v>
      </c>
      <c r="J21" s="235" t="s">
        <v>354</v>
      </c>
      <c r="K21" s="235" t="s">
        <v>354</v>
      </c>
      <c r="L21" s="235" t="s">
        <v>354</v>
      </c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x14ac:dyDescent="0.2">
      <c r="A22" s="235" t="s">
        <v>312</v>
      </c>
      <c r="B22" s="235" t="s">
        <v>354</v>
      </c>
      <c r="C22" s="235" t="s">
        <v>354</v>
      </c>
      <c r="D22" s="235" t="s">
        <v>354</v>
      </c>
      <c r="E22" s="235" t="s">
        <v>354</v>
      </c>
      <c r="F22" s="235" t="s">
        <v>354</v>
      </c>
      <c r="G22" s="235" t="s">
        <v>354</v>
      </c>
      <c r="H22" s="235" t="s">
        <v>354</v>
      </c>
      <c r="I22" s="235" t="s">
        <v>354</v>
      </c>
      <c r="J22" s="235" t="s">
        <v>13</v>
      </c>
      <c r="K22" s="235" t="s">
        <v>13</v>
      </c>
      <c r="L22" s="235" t="s">
        <v>354</v>
      </c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x14ac:dyDescent="0.2">
      <c r="A23" s="235" t="s">
        <v>312</v>
      </c>
      <c r="B23" s="235" t="s">
        <v>354</v>
      </c>
      <c r="C23" s="235" t="s">
        <v>354</v>
      </c>
      <c r="D23" s="235" t="s">
        <v>354</v>
      </c>
      <c r="E23" s="235" t="s">
        <v>13</v>
      </c>
      <c r="F23" s="235" t="s">
        <v>354</v>
      </c>
      <c r="G23" s="235" t="s">
        <v>354</v>
      </c>
      <c r="H23" s="235" t="s">
        <v>354</v>
      </c>
      <c r="I23" s="235" t="s">
        <v>13</v>
      </c>
      <c r="J23" s="235" t="s">
        <v>354</v>
      </c>
      <c r="K23" s="235" t="s">
        <v>354</v>
      </c>
      <c r="L23" s="235" t="s">
        <v>354</v>
      </c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x14ac:dyDescent="0.2">
      <c r="A24" s="235" t="s">
        <v>312</v>
      </c>
      <c r="B24" s="235" t="s">
        <v>354</v>
      </c>
      <c r="C24" s="235" t="s">
        <v>354</v>
      </c>
      <c r="D24" s="235" t="s">
        <v>354</v>
      </c>
      <c r="E24" s="235" t="s">
        <v>354</v>
      </c>
      <c r="F24" s="235" t="s">
        <v>354</v>
      </c>
      <c r="G24" s="235" t="s">
        <v>354</v>
      </c>
      <c r="H24" s="235" t="s">
        <v>13</v>
      </c>
      <c r="I24" s="235" t="s">
        <v>354</v>
      </c>
      <c r="J24" s="235" t="s">
        <v>354</v>
      </c>
      <c r="K24" s="235" t="s">
        <v>354</v>
      </c>
      <c r="L24" s="235" t="s">
        <v>354</v>
      </c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x14ac:dyDescent="0.2">
      <c r="A25" s="235" t="s">
        <v>232</v>
      </c>
      <c r="B25" s="235" t="s">
        <v>354</v>
      </c>
      <c r="C25" s="235" t="s">
        <v>354</v>
      </c>
      <c r="D25" s="235" t="s">
        <v>354</v>
      </c>
      <c r="E25" s="235" t="s">
        <v>354</v>
      </c>
      <c r="F25" s="235" t="s">
        <v>354</v>
      </c>
      <c r="G25" s="235" t="s">
        <v>13</v>
      </c>
      <c r="H25" s="235" t="s">
        <v>354</v>
      </c>
      <c r="I25" s="235" t="s">
        <v>354</v>
      </c>
      <c r="J25" s="235" t="s">
        <v>354</v>
      </c>
      <c r="K25" s="235" t="s">
        <v>354</v>
      </c>
      <c r="L25" s="235" t="s">
        <v>354</v>
      </c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x14ac:dyDescent="0.2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13.5" thickBot="1" x14ac:dyDescent="0.25">
      <c r="A27" s="91" t="s">
        <v>350</v>
      </c>
      <c r="B27" s="91" t="s">
        <v>130</v>
      </c>
      <c r="C27" s="91" t="s">
        <v>131</v>
      </c>
      <c r="D27" s="91" t="s">
        <v>132</v>
      </c>
      <c r="E27" s="91" t="s">
        <v>133</v>
      </c>
      <c r="F27" s="91" t="s">
        <v>134</v>
      </c>
      <c r="G27" s="91" t="s">
        <v>135</v>
      </c>
      <c r="H27" s="91" t="s">
        <v>136</v>
      </c>
      <c r="I27" s="91" t="s">
        <v>137</v>
      </c>
      <c r="J27" s="91" t="s">
        <v>138</v>
      </c>
      <c r="K27" s="91" t="s">
        <v>139</v>
      </c>
      <c r="L27" s="91" t="s">
        <v>150</v>
      </c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x14ac:dyDescent="0.2">
      <c r="A28" s="236" t="s">
        <v>313</v>
      </c>
      <c r="B28" s="236" t="s">
        <v>354</v>
      </c>
      <c r="C28" s="236" t="s">
        <v>354</v>
      </c>
      <c r="D28" s="236" t="s">
        <v>354</v>
      </c>
      <c r="E28" s="236" t="s">
        <v>13</v>
      </c>
      <c r="F28" s="236" t="s">
        <v>354</v>
      </c>
      <c r="G28" s="236" t="s">
        <v>354</v>
      </c>
      <c r="H28" s="236" t="s">
        <v>13</v>
      </c>
      <c r="I28" s="236" t="s">
        <v>354</v>
      </c>
      <c r="J28" s="236" t="s">
        <v>354</v>
      </c>
      <c r="K28" s="236" t="s">
        <v>354</v>
      </c>
      <c r="L28" s="236" t="s">
        <v>354</v>
      </c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x14ac:dyDescent="0.2">
      <c r="A29" s="235" t="s">
        <v>313</v>
      </c>
      <c r="B29" s="235" t="s">
        <v>354</v>
      </c>
      <c r="C29" s="235" t="s">
        <v>354</v>
      </c>
      <c r="D29" s="235" t="s">
        <v>354</v>
      </c>
      <c r="E29" s="235" t="s">
        <v>354</v>
      </c>
      <c r="F29" s="235" t="s">
        <v>354</v>
      </c>
      <c r="G29" s="235" t="s">
        <v>13</v>
      </c>
      <c r="H29" s="235" t="s">
        <v>13</v>
      </c>
      <c r="I29" s="235" t="s">
        <v>354</v>
      </c>
      <c r="J29" s="235" t="s">
        <v>354</v>
      </c>
      <c r="K29" s="235" t="s">
        <v>354</v>
      </c>
      <c r="L29" s="235" t="s">
        <v>354</v>
      </c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x14ac:dyDescent="0.2">
      <c r="A30" s="235" t="s">
        <v>234</v>
      </c>
      <c r="B30" s="235" t="s">
        <v>354</v>
      </c>
      <c r="C30" s="235" t="s">
        <v>354</v>
      </c>
      <c r="D30" s="235" t="s">
        <v>354</v>
      </c>
      <c r="E30" s="235" t="s">
        <v>354</v>
      </c>
      <c r="F30" s="235" t="s">
        <v>354</v>
      </c>
      <c r="G30" s="235" t="s">
        <v>354</v>
      </c>
      <c r="H30" s="235" t="s">
        <v>354</v>
      </c>
      <c r="I30" s="235" t="s">
        <v>13</v>
      </c>
      <c r="J30" s="235" t="s">
        <v>354</v>
      </c>
      <c r="K30" s="235" t="s">
        <v>354</v>
      </c>
      <c r="L30" s="235" t="s">
        <v>354</v>
      </c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x14ac:dyDescent="0.2">
      <c r="A31" s="235" t="s">
        <v>220</v>
      </c>
      <c r="B31" s="235" t="s">
        <v>354</v>
      </c>
      <c r="C31" s="235" t="s">
        <v>354</v>
      </c>
      <c r="D31" s="235" t="s">
        <v>354</v>
      </c>
      <c r="E31" s="235" t="s">
        <v>354</v>
      </c>
      <c r="F31" s="235" t="s">
        <v>13</v>
      </c>
      <c r="G31" s="235" t="s">
        <v>354</v>
      </c>
      <c r="H31" s="235" t="s">
        <v>354</v>
      </c>
      <c r="I31" s="235" t="s">
        <v>354</v>
      </c>
      <c r="J31" s="235" t="s">
        <v>354</v>
      </c>
      <c r="K31" s="235" t="s">
        <v>354</v>
      </c>
      <c r="L31" s="235" t="s">
        <v>354</v>
      </c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x14ac:dyDescent="0.2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x14ac:dyDescent="0.2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x14ac:dyDescent="0.2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x14ac:dyDescent="0.2">
      <c r="A35" s="87"/>
      <c r="B35" s="87"/>
      <c r="C35" s="87"/>
      <c r="D35" s="87"/>
      <c r="E35" s="88" t="s">
        <v>270</v>
      </c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x14ac:dyDescent="0.2">
      <c r="A36" s="87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13.5" thickBot="1" x14ac:dyDescent="0.25">
      <c r="A37" s="91" t="s">
        <v>265</v>
      </c>
      <c r="B37" s="91" t="s">
        <v>208</v>
      </c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x14ac:dyDescent="0.2">
      <c r="A38" s="236" t="s">
        <v>12</v>
      </c>
      <c r="B38" s="236">
        <v>2</v>
      </c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x14ac:dyDescent="0.2">
      <c r="A39" s="87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13.5" thickBot="1" x14ac:dyDescent="0.25">
      <c r="A40" s="91" t="s">
        <v>351</v>
      </c>
      <c r="B40" s="91" t="s">
        <v>130</v>
      </c>
      <c r="C40" s="91" t="s">
        <v>131</v>
      </c>
      <c r="D40" s="91" t="s">
        <v>132</v>
      </c>
      <c r="E40" s="91" t="s">
        <v>133</v>
      </c>
      <c r="F40" s="91" t="s">
        <v>134</v>
      </c>
      <c r="G40" s="91" t="s">
        <v>135</v>
      </c>
      <c r="H40" s="91" t="s">
        <v>136</v>
      </c>
      <c r="I40" s="91" t="s">
        <v>137</v>
      </c>
      <c r="J40" s="91" t="s">
        <v>138</v>
      </c>
      <c r="K40" s="91" t="s">
        <v>139</v>
      </c>
      <c r="L40" s="91" t="s">
        <v>150</v>
      </c>
      <c r="M40" s="91" t="s">
        <v>175</v>
      </c>
      <c r="N40" s="91" t="s">
        <v>130</v>
      </c>
      <c r="O40" s="91" t="s">
        <v>131</v>
      </c>
      <c r="P40" s="91" t="s">
        <v>132</v>
      </c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x14ac:dyDescent="0.2">
      <c r="A41" s="236" t="s">
        <v>328</v>
      </c>
      <c r="B41" s="236" t="s">
        <v>354</v>
      </c>
      <c r="C41" s="236" t="s">
        <v>354</v>
      </c>
      <c r="D41" s="236" t="s">
        <v>354</v>
      </c>
      <c r="E41" s="236" t="s">
        <v>13</v>
      </c>
      <c r="F41" s="236" t="s">
        <v>13</v>
      </c>
      <c r="G41" s="236" t="s">
        <v>354</v>
      </c>
      <c r="H41" s="236" t="s">
        <v>354</v>
      </c>
      <c r="I41" s="236" t="s">
        <v>354</v>
      </c>
      <c r="J41" s="236" t="s">
        <v>354</v>
      </c>
      <c r="K41" s="236" t="s">
        <v>354</v>
      </c>
      <c r="L41" s="236" t="s">
        <v>354</v>
      </c>
      <c r="M41" s="236" t="s">
        <v>354</v>
      </c>
      <c r="N41" s="236" t="s">
        <v>354</v>
      </c>
      <c r="O41" s="236" t="s">
        <v>354</v>
      </c>
      <c r="P41" s="236" t="s">
        <v>354</v>
      </c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x14ac:dyDescent="0.2">
      <c r="A42" s="87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13.5" thickBot="1" x14ac:dyDescent="0.25">
      <c r="A43" s="91" t="s">
        <v>352</v>
      </c>
      <c r="B43" s="91" t="s">
        <v>130</v>
      </c>
      <c r="C43" s="91" t="s">
        <v>131</v>
      </c>
      <c r="D43" s="91" t="s">
        <v>132</v>
      </c>
      <c r="E43" s="91" t="s">
        <v>133</v>
      </c>
      <c r="F43" s="91" t="s">
        <v>134</v>
      </c>
      <c r="G43" s="91" t="s">
        <v>135</v>
      </c>
      <c r="H43" s="91" t="s">
        <v>136</v>
      </c>
      <c r="I43" s="91" t="s">
        <v>137</v>
      </c>
      <c r="J43" s="91" t="s">
        <v>138</v>
      </c>
      <c r="K43" s="91" t="s">
        <v>139</v>
      </c>
      <c r="L43" s="91" t="s">
        <v>150</v>
      </c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x14ac:dyDescent="0.2">
      <c r="A44" s="236" t="s">
        <v>222</v>
      </c>
      <c r="B44" s="236" t="s">
        <v>354</v>
      </c>
      <c r="C44" s="236" t="s">
        <v>13</v>
      </c>
      <c r="D44" s="236" t="s">
        <v>354</v>
      </c>
      <c r="E44" s="236" t="s">
        <v>354</v>
      </c>
      <c r="F44" s="236" t="s">
        <v>354</v>
      </c>
      <c r="G44" s="236" t="s">
        <v>354</v>
      </c>
      <c r="H44" s="236" t="s">
        <v>354</v>
      </c>
      <c r="I44" s="236" t="s">
        <v>354</v>
      </c>
      <c r="J44" s="236" t="s">
        <v>354</v>
      </c>
      <c r="K44" s="236" t="s">
        <v>354</v>
      </c>
      <c r="L44" s="236" t="s">
        <v>354</v>
      </c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x14ac:dyDescent="0.2">
      <c r="A45" s="235" t="s">
        <v>226</v>
      </c>
      <c r="B45" s="235" t="s">
        <v>354</v>
      </c>
      <c r="C45" s="235" t="s">
        <v>354</v>
      </c>
      <c r="D45" s="235" t="s">
        <v>354</v>
      </c>
      <c r="E45" s="235" t="s">
        <v>354</v>
      </c>
      <c r="F45" s="235" t="s">
        <v>354</v>
      </c>
      <c r="G45" s="235" t="s">
        <v>354</v>
      </c>
      <c r="H45" s="235" t="s">
        <v>13</v>
      </c>
      <c r="I45" s="235" t="s">
        <v>354</v>
      </c>
      <c r="J45" s="235" t="s">
        <v>354</v>
      </c>
      <c r="K45" s="235" t="s">
        <v>354</v>
      </c>
      <c r="L45" s="235" t="s">
        <v>354</v>
      </c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x14ac:dyDescent="0.2">
      <c r="A46" s="235" t="s">
        <v>211</v>
      </c>
      <c r="B46" s="235" t="s">
        <v>354</v>
      </c>
      <c r="C46" s="235" t="s">
        <v>354</v>
      </c>
      <c r="D46" s="235" t="s">
        <v>354</v>
      </c>
      <c r="E46" s="235" t="s">
        <v>354</v>
      </c>
      <c r="F46" s="235" t="s">
        <v>354</v>
      </c>
      <c r="G46" s="235" t="s">
        <v>13</v>
      </c>
      <c r="H46" s="235" t="s">
        <v>354</v>
      </c>
      <c r="I46" s="235" t="s">
        <v>13</v>
      </c>
      <c r="J46" s="235" t="s">
        <v>354</v>
      </c>
      <c r="K46" s="235" t="s">
        <v>354</v>
      </c>
      <c r="L46" s="235" t="s">
        <v>354</v>
      </c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x14ac:dyDescent="0.2">
      <c r="A47" s="235" t="s">
        <v>230</v>
      </c>
      <c r="B47" s="235" t="s">
        <v>354</v>
      </c>
      <c r="C47" s="235" t="s">
        <v>354</v>
      </c>
      <c r="D47" s="235" t="s">
        <v>354</v>
      </c>
      <c r="E47" s="235" t="s">
        <v>13</v>
      </c>
      <c r="F47" s="235" t="s">
        <v>13</v>
      </c>
      <c r="G47" s="235" t="s">
        <v>13</v>
      </c>
      <c r="H47" s="235" t="s">
        <v>354</v>
      </c>
      <c r="I47" s="235" t="s">
        <v>13</v>
      </c>
      <c r="J47" s="235" t="s">
        <v>354</v>
      </c>
      <c r="K47" s="235" t="s">
        <v>354</v>
      </c>
      <c r="L47" s="235" t="s">
        <v>354</v>
      </c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x14ac:dyDescent="0.2">
      <c r="A48" s="235" t="s">
        <v>216</v>
      </c>
      <c r="B48" s="235" t="s">
        <v>354</v>
      </c>
      <c r="C48" s="235" t="s">
        <v>354</v>
      </c>
      <c r="D48" s="235" t="s">
        <v>354</v>
      </c>
      <c r="E48" s="235" t="s">
        <v>13</v>
      </c>
      <c r="F48" s="235" t="s">
        <v>13</v>
      </c>
      <c r="G48" s="235" t="s">
        <v>354</v>
      </c>
      <c r="H48" s="235" t="s">
        <v>354</v>
      </c>
      <c r="I48" s="235" t="s">
        <v>354</v>
      </c>
      <c r="J48" s="235" t="s">
        <v>354</v>
      </c>
      <c r="K48" s="235" t="s">
        <v>354</v>
      </c>
      <c r="L48" s="235" t="s">
        <v>354</v>
      </c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x14ac:dyDescent="0.2">
      <c r="A49" s="87"/>
      <c r="B49" s="87"/>
      <c r="C49" s="87"/>
      <c r="D49" s="87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13.5" thickBot="1" x14ac:dyDescent="0.25">
      <c r="A50" s="91" t="s">
        <v>353</v>
      </c>
      <c r="B50" s="91" t="s">
        <v>130</v>
      </c>
      <c r="C50" s="91" t="s">
        <v>131</v>
      </c>
      <c r="D50" s="91" t="s">
        <v>132</v>
      </c>
      <c r="E50" s="91" t="s">
        <v>133</v>
      </c>
      <c r="F50" s="91" t="s">
        <v>134</v>
      </c>
      <c r="G50" s="91" t="s">
        <v>135</v>
      </c>
      <c r="H50" s="91" t="s">
        <v>136</v>
      </c>
      <c r="I50" s="91" t="s">
        <v>137</v>
      </c>
      <c r="J50" s="91" t="s">
        <v>138</v>
      </c>
      <c r="K50" s="91" t="s">
        <v>139</v>
      </c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x14ac:dyDescent="0.2">
      <c r="A51" s="236" t="s">
        <v>229</v>
      </c>
      <c r="B51" s="236" t="s">
        <v>354</v>
      </c>
      <c r="C51" s="236" t="s">
        <v>354</v>
      </c>
      <c r="D51" s="236" t="s">
        <v>354</v>
      </c>
      <c r="E51" s="236" t="s">
        <v>13</v>
      </c>
      <c r="F51" s="236" t="s">
        <v>354</v>
      </c>
      <c r="G51" s="236" t="s">
        <v>354</v>
      </c>
      <c r="H51" s="236" t="s">
        <v>354</v>
      </c>
      <c r="I51" s="236" t="s">
        <v>354</v>
      </c>
      <c r="J51" s="236" t="s">
        <v>354</v>
      </c>
      <c r="K51" s="236" t="s">
        <v>354</v>
      </c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x14ac:dyDescent="0.2">
      <c r="A52" s="235" t="s">
        <v>220</v>
      </c>
      <c r="B52" s="235" t="s">
        <v>354</v>
      </c>
      <c r="C52" s="235" t="s">
        <v>354</v>
      </c>
      <c r="D52" s="235" t="s">
        <v>354</v>
      </c>
      <c r="E52" s="235" t="s">
        <v>354</v>
      </c>
      <c r="F52" s="235" t="s">
        <v>13</v>
      </c>
      <c r="G52" s="235" t="s">
        <v>354</v>
      </c>
      <c r="H52" s="235" t="s">
        <v>354</v>
      </c>
      <c r="I52" s="235" t="s">
        <v>354</v>
      </c>
      <c r="J52" s="235" t="s">
        <v>354</v>
      </c>
      <c r="K52" s="235" t="s">
        <v>354</v>
      </c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x14ac:dyDescent="0.2">
      <c r="A53" s="235" t="s">
        <v>345</v>
      </c>
      <c r="B53" s="235" t="s">
        <v>354</v>
      </c>
      <c r="C53" s="235" t="s">
        <v>354</v>
      </c>
      <c r="D53" s="235" t="s">
        <v>354</v>
      </c>
      <c r="E53" s="235" t="s">
        <v>354</v>
      </c>
      <c r="F53" s="235" t="s">
        <v>354</v>
      </c>
      <c r="G53" s="235" t="s">
        <v>354</v>
      </c>
      <c r="H53" s="235" t="s">
        <v>13</v>
      </c>
      <c r="I53" s="235" t="s">
        <v>354</v>
      </c>
      <c r="J53" s="235" t="s">
        <v>354</v>
      </c>
      <c r="K53" s="235" t="s">
        <v>354</v>
      </c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x14ac:dyDescent="0.2">
      <c r="A54" s="87"/>
      <c r="B54" s="87"/>
      <c r="C54" s="87"/>
      <c r="D54" s="87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x14ac:dyDescent="0.2">
      <c r="A55" s="87"/>
      <c r="B55" s="87"/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x14ac:dyDescent="0.2">
      <c r="A56" s="87"/>
      <c r="B56" s="87"/>
      <c r="C56" s="87"/>
      <c r="D56" s="87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x14ac:dyDescent="0.2">
      <c r="A69" s="87"/>
      <c r="B69" s="87"/>
      <c r="C69" s="8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x14ac:dyDescent="0.2">
      <c r="A70" s="87"/>
      <c r="B70" s="87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x14ac:dyDescent="0.2">
      <c r="A71" s="87"/>
      <c r="B71" s="87"/>
      <c r="C71" s="87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x14ac:dyDescent="0.2">
      <c r="A72" s="87"/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x14ac:dyDescent="0.2">
      <c r="A73" s="87"/>
      <c r="B73" s="87"/>
      <c r="C73" s="87"/>
      <c r="D73" s="87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x14ac:dyDescent="0.2">
      <c r="A74" s="87"/>
      <c r="B74" s="87"/>
      <c r="C74" s="87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x14ac:dyDescent="0.2">
      <c r="A75" s="87"/>
      <c r="B75" s="87"/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x14ac:dyDescent="0.2">
      <c r="A76" s="87"/>
      <c r="B76" s="87"/>
      <c r="C76" s="87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x14ac:dyDescent="0.2">
      <c r="A77" s="87"/>
      <c r="B77" s="87"/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x14ac:dyDescent="0.2">
      <c r="A78" s="87"/>
      <c r="B78" s="87"/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x14ac:dyDescent="0.2">
      <c r="A79" s="87"/>
      <c r="B79" s="87"/>
      <c r="C79" s="87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x14ac:dyDescent="0.2">
      <c r="A80" s="87"/>
      <c r="B80" s="87"/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x14ac:dyDescent="0.2">
      <c r="A81" s="87"/>
      <c r="B81" s="87"/>
      <c r="C81" s="87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x14ac:dyDescent="0.2">
      <c r="A82" s="87"/>
      <c r="B82" s="87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x14ac:dyDescent="0.2">
      <c r="A83" s="87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x14ac:dyDescent="0.2">
      <c r="A84" s="87"/>
      <c r="B84" s="87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x14ac:dyDescent="0.2">
      <c r="A85" s="87"/>
      <c r="B85" s="87"/>
      <c r="C85" s="87"/>
      <c r="D85" s="87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x14ac:dyDescent="0.2">
      <c r="A86" s="87"/>
      <c r="B86" s="87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x14ac:dyDescent="0.2">
      <c r="A87" s="87"/>
      <c r="B87" s="87"/>
      <c r="C87" s="87"/>
      <c r="D87" s="87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x14ac:dyDescent="0.2">
      <c r="A88" s="87"/>
      <c r="B88" s="87"/>
      <c r="C88" s="87"/>
      <c r="D88" s="87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x14ac:dyDescent="0.2">
      <c r="A89" s="87"/>
      <c r="B89" s="87"/>
      <c r="C89" s="87"/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x14ac:dyDescent="0.2">
      <c r="A90" s="87"/>
      <c r="B90" s="87"/>
      <c r="C90" s="87"/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x14ac:dyDescent="0.2">
      <c r="A91" s="87"/>
      <c r="B91" s="87"/>
      <c r="C91" s="87"/>
      <c r="D91" s="87"/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x14ac:dyDescent="0.2">
      <c r="A92" s="87"/>
      <c r="B92" s="87"/>
      <c r="C92" s="87"/>
      <c r="D92" s="87"/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x14ac:dyDescent="0.2">
      <c r="A93" s="87"/>
      <c r="B93" s="87"/>
      <c r="C93" s="87"/>
      <c r="D93" s="87"/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x14ac:dyDescent="0.2">
      <c r="A94" s="87"/>
      <c r="B94" s="87"/>
      <c r="C94" s="87"/>
      <c r="D94" s="87"/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x14ac:dyDescent="0.2">
      <c r="A95" s="87"/>
      <c r="B95" s="87"/>
      <c r="C95" s="87"/>
      <c r="D95" s="87"/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x14ac:dyDescent="0.2">
      <c r="A96" s="87"/>
      <c r="B96" s="87"/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x14ac:dyDescent="0.2">
      <c r="A97" s="87"/>
      <c r="B97" s="87"/>
      <c r="C97" s="87"/>
      <c r="D97" s="87"/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x14ac:dyDescent="0.2">
      <c r="A98" s="87"/>
      <c r="B98" s="87"/>
      <c r="C98" s="87"/>
      <c r="D98" s="87"/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x14ac:dyDescent="0.2">
      <c r="A99" s="87"/>
      <c r="B99" s="87"/>
      <c r="C99" s="87"/>
      <c r="D99" s="87"/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x14ac:dyDescent="0.2">
      <c r="A100" s="87"/>
      <c r="B100" s="87"/>
      <c r="C100" s="87"/>
      <c r="D100" s="87"/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x14ac:dyDescent="0.2">
      <c r="A101" s="87"/>
      <c r="B101" s="87"/>
      <c r="C101" s="87"/>
      <c r="D101" s="87"/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x14ac:dyDescent="0.2">
      <c r="A102" s="87"/>
      <c r="B102" s="87"/>
      <c r="C102" s="87"/>
      <c r="D102" s="87"/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x14ac:dyDescent="0.2">
      <c r="A103" s="87"/>
      <c r="B103" s="87"/>
      <c r="C103" s="87"/>
      <c r="D103" s="87"/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x14ac:dyDescent="0.2">
      <c r="A104" s="87"/>
      <c r="B104" s="87"/>
      <c r="C104" s="87"/>
      <c r="D104" s="87"/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x14ac:dyDescent="0.2">
      <c r="A105" s="87"/>
      <c r="B105" s="87"/>
      <c r="C105" s="87"/>
      <c r="D105" s="87"/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x14ac:dyDescent="0.2">
      <c r="A106" s="87"/>
      <c r="B106" s="87"/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x14ac:dyDescent="0.2">
      <c r="A107" s="87"/>
      <c r="B107" s="87"/>
      <c r="C107" s="87"/>
      <c r="D107" s="87"/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x14ac:dyDescent="0.2">
      <c r="A108" s="87"/>
      <c r="B108" s="87"/>
      <c r="C108" s="87"/>
      <c r="D108" s="87"/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x14ac:dyDescent="0.2">
      <c r="A109" s="87"/>
      <c r="B109" s="87"/>
      <c r="C109" s="87"/>
      <c r="D109" s="87"/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x14ac:dyDescent="0.2">
      <c r="A110" s="87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x14ac:dyDescent="0.2">
      <c r="A111" s="87"/>
      <c r="B111" s="87"/>
      <c r="C111" s="87"/>
      <c r="D111" s="87"/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x14ac:dyDescent="0.2">
      <c r="A112" s="87"/>
      <c r="B112" s="87"/>
      <c r="C112" s="87"/>
      <c r="D112" s="87"/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x14ac:dyDescent="0.2">
      <c r="A113" s="87"/>
      <c r="B113" s="87"/>
      <c r="C113" s="87"/>
      <c r="D113" s="87"/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x14ac:dyDescent="0.2">
      <c r="A114" s="87"/>
      <c r="B114" s="87"/>
      <c r="C114" s="87"/>
      <c r="D114" s="87"/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x14ac:dyDescent="0.2">
      <c r="A115" s="87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x14ac:dyDescent="0.2">
      <c r="A116" s="87"/>
      <c r="B116" s="87"/>
      <c r="C116" s="87"/>
      <c r="D116" s="87"/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x14ac:dyDescent="0.2">
      <c r="A117" s="87"/>
      <c r="B117" s="87"/>
      <c r="C117" s="87"/>
      <c r="D117" s="87"/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x14ac:dyDescent="0.2">
      <c r="A118" s="87"/>
      <c r="B118" s="87"/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x14ac:dyDescent="0.2">
      <c r="A119" s="87"/>
      <c r="B119" s="87"/>
      <c r="C119" s="87"/>
      <c r="D119" s="87"/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x14ac:dyDescent="0.2">
      <c r="A120" s="87"/>
      <c r="B120" s="87"/>
      <c r="C120" s="87"/>
      <c r="D120" s="87"/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x14ac:dyDescent="0.2">
      <c r="A121" s="87"/>
      <c r="B121" s="87"/>
      <c r="C121" s="87"/>
      <c r="D121" s="87"/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x14ac:dyDescent="0.2">
      <c r="A122" s="87"/>
      <c r="B122" s="87"/>
      <c r="C122" s="87"/>
      <c r="D122" s="87"/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x14ac:dyDescent="0.2">
      <c r="A123" s="87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x14ac:dyDescent="0.2">
      <c r="A124" s="87"/>
      <c r="B124" s="87"/>
      <c r="C124" s="87"/>
      <c r="D124" s="87"/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x14ac:dyDescent="0.2">
      <c r="A125" s="87"/>
      <c r="B125" s="87"/>
      <c r="C125" s="87"/>
      <c r="D125" s="87"/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x14ac:dyDescent="0.2">
      <c r="A126" s="87"/>
      <c r="B126" s="87"/>
      <c r="C126" s="87"/>
      <c r="D126" s="87"/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x14ac:dyDescent="0.2">
      <c r="A127" s="87"/>
      <c r="B127" s="87"/>
      <c r="C127" s="87"/>
      <c r="D127" s="87"/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x14ac:dyDescent="0.2">
      <c r="A128" s="87"/>
      <c r="B128" s="87"/>
      <c r="C128" s="87"/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x14ac:dyDescent="0.2">
      <c r="A129" s="87"/>
      <c r="B129" s="87"/>
      <c r="C129" s="87"/>
      <c r="D129" s="87"/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x14ac:dyDescent="0.2">
      <c r="A130" s="87"/>
      <c r="B130" s="87"/>
      <c r="C130" s="87"/>
      <c r="D130" s="87"/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x14ac:dyDescent="0.2">
      <c r="A131" s="87"/>
      <c r="B131" s="87"/>
      <c r="C131" s="87"/>
      <c r="D131" s="87"/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x14ac:dyDescent="0.2">
      <c r="A132" s="87"/>
      <c r="B132" s="87"/>
      <c r="C132" s="87"/>
      <c r="D132" s="87"/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x14ac:dyDescent="0.2">
      <c r="A133" s="87"/>
      <c r="B133" s="87"/>
      <c r="C133" s="87"/>
      <c r="D133" s="87"/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x14ac:dyDescent="0.2">
      <c r="A134" s="87"/>
      <c r="B134" s="87"/>
      <c r="C134" s="87"/>
      <c r="D134" s="87"/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x14ac:dyDescent="0.2">
      <c r="A135" s="87"/>
      <c r="B135" s="87"/>
      <c r="C135" s="87"/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x14ac:dyDescent="0.2">
      <c r="A136" s="87"/>
      <c r="B136" s="87"/>
      <c r="C136" s="87"/>
      <c r="D136" s="87"/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x14ac:dyDescent="0.2">
      <c r="A137" s="87"/>
      <c r="B137" s="87"/>
      <c r="C137" s="87"/>
      <c r="D137" s="87"/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x14ac:dyDescent="0.2">
      <c r="A138" s="87"/>
      <c r="B138" s="87"/>
      <c r="C138" s="87"/>
      <c r="D138" s="87"/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x14ac:dyDescent="0.2">
      <c r="A139" s="87"/>
      <c r="B139" s="87"/>
      <c r="C139" s="87"/>
      <c r="D139" s="87"/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x14ac:dyDescent="0.2">
      <c r="A140" s="87"/>
      <c r="B140" s="87"/>
      <c r="C140" s="87"/>
      <c r="D140" s="87"/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x14ac:dyDescent="0.2">
      <c r="A141" s="87"/>
      <c r="B141" s="87"/>
      <c r="C141" s="87"/>
      <c r="D141" s="87"/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x14ac:dyDescent="0.2">
      <c r="A142" s="87"/>
      <c r="B142" s="87"/>
      <c r="C142" s="87"/>
      <c r="D142" s="87"/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x14ac:dyDescent="0.2">
      <c r="A143" s="87"/>
      <c r="B143" s="87"/>
      <c r="C143" s="87"/>
      <c r="D143" s="87"/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x14ac:dyDescent="0.2">
      <c r="A144" s="87"/>
      <c r="B144" s="87"/>
      <c r="C144" s="87"/>
      <c r="D144" s="87"/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x14ac:dyDescent="0.2">
      <c r="A145" s="87"/>
      <c r="B145" s="87"/>
      <c r="C145" s="87"/>
      <c r="D145" s="87"/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x14ac:dyDescent="0.2">
      <c r="A146" s="87"/>
      <c r="B146" s="87"/>
      <c r="C146" s="87"/>
      <c r="D146" s="87"/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x14ac:dyDescent="0.2">
      <c r="A147" s="87"/>
      <c r="B147" s="87"/>
      <c r="C147" s="87"/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x14ac:dyDescent="0.2">
      <c r="A148" s="87"/>
      <c r="B148" s="87"/>
      <c r="C148" s="87"/>
      <c r="D148" s="87"/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x14ac:dyDescent="0.2">
      <c r="A149" s="87"/>
      <c r="B149" s="87"/>
      <c r="C149" s="87"/>
      <c r="D149" s="87"/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x14ac:dyDescent="0.2">
      <c r="A150" s="87"/>
      <c r="B150" s="87"/>
      <c r="C150" s="87"/>
      <c r="D150" s="87"/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x14ac:dyDescent="0.2">
      <c r="A151" s="87"/>
      <c r="B151" s="87"/>
      <c r="C151" s="87"/>
      <c r="D151" s="87"/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x14ac:dyDescent="0.2">
      <c r="A152" s="87"/>
      <c r="B152" s="87"/>
      <c r="C152" s="87"/>
      <c r="D152" s="87"/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x14ac:dyDescent="0.2">
      <c r="A153" s="87"/>
      <c r="B153" s="87"/>
      <c r="C153" s="87"/>
      <c r="D153" s="87"/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x14ac:dyDescent="0.2">
      <c r="A154" s="87"/>
      <c r="B154" s="87"/>
      <c r="C154" s="87"/>
      <c r="D154" s="87"/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x14ac:dyDescent="0.2">
      <c r="A155" s="87"/>
      <c r="B155" s="87"/>
      <c r="C155" s="87"/>
      <c r="D155" s="87"/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x14ac:dyDescent="0.2">
      <c r="A156" s="87"/>
      <c r="B156" s="87"/>
      <c r="C156" s="87"/>
      <c r="D156" s="87"/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x14ac:dyDescent="0.2">
      <c r="A157" s="87"/>
      <c r="B157" s="87"/>
      <c r="C157" s="87"/>
      <c r="D157" s="87"/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x14ac:dyDescent="0.2">
      <c r="A158" s="87"/>
      <c r="B158" s="87"/>
      <c r="C158" s="87"/>
      <c r="D158" s="87"/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x14ac:dyDescent="0.2">
      <c r="A159" s="87"/>
      <c r="B159" s="87"/>
      <c r="C159" s="87"/>
      <c r="D159" s="87"/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x14ac:dyDescent="0.2">
      <c r="A160" s="87"/>
      <c r="B160" s="87"/>
      <c r="C160" s="87"/>
      <c r="D160" s="87"/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x14ac:dyDescent="0.2">
      <c r="A161" s="87"/>
      <c r="B161" s="87"/>
      <c r="C161" s="87"/>
      <c r="D161" s="87"/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x14ac:dyDescent="0.2">
      <c r="A162" s="87"/>
      <c r="B162" s="87"/>
      <c r="C162" s="87"/>
      <c r="D162" s="87"/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x14ac:dyDescent="0.2">
      <c r="A163" s="87"/>
      <c r="B163" s="87"/>
      <c r="C163" s="87"/>
      <c r="D163" s="87"/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x14ac:dyDescent="0.2">
      <c r="A164" s="87"/>
      <c r="B164" s="87"/>
      <c r="C164" s="87"/>
      <c r="D164" s="87"/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x14ac:dyDescent="0.2">
      <c r="A165" s="87"/>
      <c r="B165" s="87"/>
      <c r="C165" s="87"/>
      <c r="D165" s="87"/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x14ac:dyDescent="0.2">
      <c r="A166" s="87"/>
      <c r="B166" s="87"/>
      <c r="C166" s="87"/>
      <c r="D166" s="87"/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x14ac:dyDescent="0.2">
      <c r="A167" s="87"/>
      <c r="B167" s="87"/>
      <c r="C167" s="87"/>
      <c r="D167" s="87"/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x14ac:dyDescent="0.2">
      <c r="A168" s="87"/>
      <c r="B168" s="87"/>
      <c r="C168" s="87"/>
      <c r="D168" s="87"/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x14ac:dyDescent="0.2">
      <c r="A169" s="87"/>
      <c r="B169" s="87"/>
      <c r="C169" s="87"/>
      <c r="D169" s="87"/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x14ac:dyDescent="0.2">
      <c r="A170" s="87"/>
      <c r="B170" s="87"/>
      <c r="C170" s="87"/>
      <c r="D170" s="87"/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x14ac:dyDescent="0.2">
      <c r="A171" s="87"/>
      <c r="B171" s="87"/>
      <c r="C171" s="87"/>
      <c r="D171" s="87"/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x14ac:dyDescent="0.2">
      <c r="A172" s="87"/>
      <c r="B172" s="87"/>
      <c r="C172" s="87"/>
      <c r="D172" s="87"/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x14ac:dyDescent="0.2">
      <c r="A173" s="87"/>
      <c r="B173" s="87"/>
      <c r="C173" s="87"/>
      <c r="D173" s="87"/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x14ac:dyDescent="0.2">
      <c r="A174" s="87"/>
      <c r="B174" s="87"/>
      <c r="C174" s="87"/>
      <c r="D174" s="87"/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x14ac:dyDescent="0.2">
      <c r="A175" s="87"/>
      <c r="B175" s="87"/>
      <c r="C175" s="87"/>
      <c r="D175" s="87"/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x14ac:dyDescent="0.2">
      <c r="A176" s="87"/>
      <c r="B176" s="87"/>
      <c r="C176" s="87"/>
      <c r="D176" s="87"/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x14ac:dyDescent="0.2">
      <c r="A177" s="87"/>
      <c r="B177" s="87"/>
      <c r="C177" s="87"/>
      <c r="D177" s="87"/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x14ac:dyDescent="0.2">
      <c r="A178" s="87"/>
      <c r="B178" s="87"/>
      <c r="C178" s="87"/>
      <c r="D178" s="87"/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x14ac:dyDescent="0.2">
      <c r="A179" s="87"/>
      <c r="B179" s="87"/>
      <c r="C179" s="87"/>
      <c r="D179" s="87"/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x14ac:dyDescent="0.2">
      <c r="A180" s="87"/>
      <c r="B180" s="87"/>
      <c r="C180" s="87"/>
      <c r="D180" s="87"/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x14ac:dyDescent="0.2">
      <c r="A181" s="87"/>
      <c r="B181" s="87"/>
      <c r="C181" s="87"/>
      <c r="D181" s="87"/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x14ac:dyDescent="0.2">
      <c r="A182" s="87"/>
      <c r="B182" s="87"/>
      <c r="C182" s="87"/>
      <c r="D182" s="87"/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x14ac:dyDescent="0.2">
      <c r="A183" s="87"/>
      <c r="B183" s="87"/>
      <c r="C183" s="87"/>
      <c r="D183" s="87"/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x14ac:dyDescent="0.2">
      <c r="A184" s="87"/>
      <c r="B184" s="87"/>
      <c r="C184" s="87"/>
      <c r="D184" s="87"/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x14ac:dyDescent="0.2">
      <c r="A185" s="87"/>
      <c r="B185" s="87"/>
      <c r="C185" s="87"/>
      <c r="D185" s="87"/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x14ac:dyDescent="0.2">
      <c r="A186" s="87"/>
      <c r="B186" s="87"/>
      <c r="C186" s="87"/>
      <c r="D186" s="87"/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x14ac:dyDescent="0.2">
      <c r="A187" s="87"/>
      <c r="B187" s="87"/>
      <c r="C187" s="87"/>
      <c r="D187" s="87"/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x14ac:dyDescent="0.2">
      <c r="A188" s="87"/>
      <c r="B188" s="87"/>
      <c r="C188" s="87"/>
      <c r="D188" s="87"/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x14ac:dyDescent="0.2">
      <c r="A189" s="87"/>
      <c r="B189" s="87"/>
      <c r="C189" s="87"/>
      <c r="D189" s="87"/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x14ac:dyDescent="0.2">
      <c r="A190" s="87"/>
      <c r="B190" s="87"/>
      <c r="C190" s="87"/>
      <c r="D190" s="87"/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x14ac:dyDescent="0.2">
      <c r="A191" s="87"/>
      <c r="B191" s="87"/>
      <c r="C191" s="87"/>
      <c r="D191" s="87"/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x14ac:dyDescent="0.2">
      <c r="A192" s="87"/>
      <c r="B192" s="87"/>
      <c r="C192" s="87"/>
      <c r="D192" s="87"/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x14ac:dyDescent="0.2">
      <c r="A193" s="87"/>
      <c r="B193" s="87"/>
      <c r="C193" s="87"/>
      <c r="D193" s="87"/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x14ac:dyDescent="0.2">
      <c r="A194" s="87"/>
      <c r="B194" s="87"/>
      <c r="C194" s="87"/>
      <c r="D194" s="87"/>
      <c r="E194" s="87"/>
      <c r="F194" s="87"/>
      <c r="G194" s="87"/>
      <c r="H194" s="87"/>
      <c r="I194" s="87"/>
      <c r="J194" s="87"/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x14ac:dyDescent="0.2">
      <c r="A195" s="87"/>
      <c r="B195" s="87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x14ac:dyDescent="0.2">
      <c r="A196" s="87"/>
      <c r="B196" s="87"/>
      <c r="C196" s="87"/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x14ac:dyDescent="0.2">
      <c r="A197" s="87"/>
      <c r="B197" s="87"/>
      <c r="C197" s="87"/>
      <c r="D197" s="87"/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x14ac:dyDescent="0.2">
      <c r="A198" s="87"/>
      <c r="B198" s="87"/>
      <c r="C198" s="87"/>
      <c r="D198" s="87"/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x14ac:dyDescent="0.2">
      <c r="A199" s="87"/>
      <c r="B199" s="87"/>
      <c r="C199" s="87"/>
      <c r="D199" s="87"/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x14ac:dyDescent="0.2">
      <c r="A200" s="87"/>
      <c r="B200" s="87"/>
      <c r="C200" s="87"/>
      <c r="D200" s="87"/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x14ac:dyDescent="0.2">
      <c r="A201" s="87"/>
      <c r="B201" s="87"/>
      <c r="C201" s="87"/>
      <c r="D201" s="87"/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x14ac:dyDescent="0.2">
      <c r="A202" s="87"/>
      <c r="B202" s="87"/>
      <c r="C202" s="87"/>
      <c r="D202" s="87"/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x14ac:dyDescent="0.2">
      <c r="A203" s="87"/>
      <c r="B203" s="87"/>
      <c r="C203" s="87"/>
      <c r="D203" s="87"/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x14ac:dyDescent="0.2">
      <c r="A204" s="87"/>
      <c r="B204" s="87"/>
      <c r="C204" s="87"/>
      <c r="D204" s="87"/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x14ac:dyDescent="0.2">
      <c r="A205" s="87"/>
      <c r="B205" s="87"/>
      <c r="C205" s="87"/>
      <c r="D205" s="87"/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x14ac:dyDescent="0.2">
      <c r="A206" s="87"/>
      <c r="B206" s="87"/>
      <c r="C206" s="87"/>
      <c r="D206" s="87"/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x14ac:dyDescent="0.2">
      <c r="A207" s="87"/>
      <c r="B207" s="87"/>
      <c r="C207" s="87"/>
      <c r="D207" s="87"/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x14ac:dyDescent="0.2">
      <c r="A208" s="87"/>
      <c r="B208" s="87"/>
      <c r="C208" s="87"/>
      <c r="D208" s="87"/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x14ac:dyDescent="0.2">
      <c r="A209" s="87"/>
      <c r="B209" s="87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x14ac:dyDescent="0.2">
      <c r="A210" s="87"/>
      <c r="B210" s="87"/>
      <c r="C210" s="87"/>
      <c r="D210" s="87"/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x14ac:dyDescent="0.2">
      <c r="A211" s="87"/>
      <c r="B211" s="87"/>
      <c r="C211" s="87"/>
      <c r="D211" s="87"/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x14ac:dyDescent="0.2">
      <c r="A212" s="87"/>
      <c r="B212" s="87"/>
      <c r="C212" s="87"/>
      <c r="D212" s="87"/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x14ac:dyDescent="0.2">
      <c r="A213" s="87"/>
      <c r="B213" s="87"/>
      <c r="C213" s="87"/>
      <c r="D213" s="87"/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x14ac:dyDescent="0.2">
      <c r="A214" s="87"/>
      <c r="B214" s="87"/>
      <c r="C214" s="87"/>
      <c r="D214" s="87"/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x14ac:dyDescent="0.2">
      <c r="A215" s="87"/>
      <c r="B215" s="87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x14ac:dyDescent="0.2">
      <c r="A216" s="87"/>
      <c r="B216" s="87"/>
      <c r="C216" s="87"/>
      <c r="D216" s="87"/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x14ac:dyDescent="0.2">
      <c r="A217" s="87"/>
      <c r="B217" s="87"/>
      <c r="C217" s="87"/>
      <c r="D217" s="87"/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x14ac:dyDescent="0.2">
      <c r="A218" s="87"/>
      <c r="B218" s="87"/>
      <c r="C218" s="87"/>
      <c r="D218" s="87"/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x14ac:dyDescent="0.2">
      <c r="A219" s="87"/>
      <c r="B219" s="87"/>
      <c r="C219" s="87"/>
      <c r="D219" s="87"/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x14ac:dyDescent="0.2">
      <c r="A220" s="87"/>
      <c r="B220" s="87"/>
      <c r="C220" s="87"/>
      <c r="D220" s="87"/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x14ac:dyDescent="0.2">
      <c r="A221" s="87"/>
      <c r="B221" s="87"/>
      <c r="C221" s="87"/>
      <c r="D221" s="87"/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x14ac:dyDescent="0.2">
      <c r="A222" s="87"/>
      <c r="B222" s="87"/>
      <c r="C222" s="87"/>
      <c r="D222" s="87"/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x14ac:dyDescent="0.2">
      <c r="A223" s="87"/>
      <c r="B223" s="87"/>
      <c r="C223" s="87"/>
      <c r="D223" s="87"/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x14ac:dyDescent="0.2">
      <c r="A224" s="87"/>
      <c r="B224" s="87"/>
      <c r="C224" s="87"/>
      <c r="D224" s="87"/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x14ac:dyDescent="0.2">
      <c r="A225" s="87"/>
      <c r="B225" s="87"/>
      <c r="C225" s="87"/>
      <c r="D225" s="87"/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x14ac:dyDescent="0.2">
      <c r="A226" s="87"/>
      <c r="B226" s="87"/>
      <c r="C226" s="87"/>
      <c r="D226" s="87"/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x14ac:dyDescent="0.2">
      <c r="A227" s="87"/>
      <c r="B227" s="87"/>
      <c r="C227" s="87"/>
      <c r="D227" s="87"/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x14ac:dyDescent="0.2">
      <c r="A228" s="87"/>
      <c r="B228" s="87"/>
      <c r="C228" s="87"/>
      <c r="D228" s="87"/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x14ac:dyDescent="0.2">
      <c r="A229" s="87"/>
      <c r="B229" s="87"/>
      <c r="C229" s="87"/>
      <c r="D229" s="87"/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x14ac:dyDescent="0.2">
      <c r="A230" s="87"/>
      <c r="B230" s="87"/>
      <c r="C230" s="87"/>
      <c r="D230" s="87"/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x14ac:dyDescent="0.2">
      <c r="A231" s="87"/>
      <c r="B231" s="87"/>
      <c r="C231" s="87"/>
      <c r="D231" s="87"/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x14ac:dyDescent="0.2">
      <c r="A232" s="87"/>
      <c r="B232" s="87"/>
      <c r="C232" s="87"/>
      <c r="D232" s="87"/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x14ac:dyDescent="0.2">
      <c r="A233" s="87"/>
      <c r="B233" s="87"/>
      <c r="C233" s="87"/>
      <c r="D233" s="87"/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x14ac:dyDescent="0.2">
      <c r="A234" s="87"/>
      <c r="B234" s="87"/>
      <c r="C234" s="87"/>
      <c r="D234" s="87"/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x14ac:dyDescent="0.2">
      <c r="A235" s="87"/>
      <c r="B235" s="87"/>
      <c r="C235" s="87"/>
      <c r="D235" s="87"/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x14ac:dyDescent="0.2">
      <c r="A236" s="87"/>
      <c r="B236" s="87"/>
      <c r="C236" s="87"/>
      <c r="D236" s="87"/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x14ac:dyDescent="0.2">
      <c r="A237" s="87"/>
      <c r="B237" s="87"/>
      <c r="C237" s="87"/>
      <c r="D237" s="87"/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x14ac:dyDescent="0.2">
      <c r="A238" s="87"/>
      <c r="B238" s="87"/>
      <c r="C238" s="87"/>
      <c r="D238" s="87"/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x14ac:dyDescent="0.2">
      <c r="A239" s="87"/>
      <c r="B239" s="87"/>
      <c r="C239" s="87"/>
      <c r="D239" s="87"/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x14ac:dyDescent="0.2">
      <c r="A240" s="87"/>
      <c r="B240" s="87"/>
      <c r="C240" s="87"/>
      <c r="D240" s="87"/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x14ac:dyDescent="0.2">
      <c r="A241" s="87"/>
      <c r="B241" s="87"/>
      <c r="C241" s="87"/>
      <c r="D241" s="87"/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x14ac:dyDescent="0.2">
      <c r="A242" s="87"/>
      <c r="B242" s="87"/>
      <c r="C242" s="87"/>
      <c r="D242" s="87"/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x14ac:dyDescent="0.2">
      <c r="A243" s="87"/>
      <c r="B243" s="87"/>
      <c r="C243" s="87"/>
      <c r="D243" s="87"/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x14ac:dyDescent="0.2">
      <c r="A244" s="87"/>
      <c r="B244" s="87"/>
      <c r="C244" s="87"/>
      <c r="D244" s="87"/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x14ac:dyDescent="0.2">
      <c r="A245" s="87"/>
      <c r="B245" s="87"/>
      <c r="C245" s="87"/>
      <c r="D245" s="87"/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x14ac:dyDescent="0.2">
      <c r="A246" s="87"/>
      <c r="B246" s="87"/>
      <c r="C246" s="87"/>
      <c r="D246" s="87"/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x14ac:dyDescent="0.2">
      <c r="A247" s="87"/>
      <c r="B247" s="87"/>
      <c r="C247" s="87"/>
      <c r="D247" s="87"/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x14ac:dyDescent="0.2">
      <c r="A248" s="87"/>
      <c r="B248" s="87"/>
      <c r="C248" s="87"/>
      <c r="D248" s="87"/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x14ac:dyDescent="0.2">
      <c r="A249" s="87"/>
      <c r="B249" s="87"/>
      <c r="C249" s="87"/>
      <c r="D249" s="87"/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x14ac:dyDescent="0.2">
      <c r="A250" s="87"/>
      <c r="B250" s="87"/>
      <c r="C250" s="87"/>
      <c r="D250" s="87"/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x14ac:dyDescent="0.2">
      <c r="A251" s="87"/>
      <c r="B251" s="87"/>
      <c r="C251" s="87"/>
      <c r="D251" s="87"/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x14ac:dyDescent="0.2">
      <c r="A252" s="87"/>
      <c r="B252" s="87"/>
      <c r="C252" s="87"/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x14ac:dyDescent="0.2">
      <c r="A253" s="87"/>
      <c r="B253" s="87"/>
      <c r="C253" s="87"/>
      <c r="D253" s="87"/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x14ac:dyDescent="0.2">
      <c r="A254" s="87"/>
      <c r="B254" s="87"/>
      <c r="C254" s="87"/>
      <c r="D254" s="87"/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x14ac:dyDescent="0.2">
      <c r="A255" s="87"/>
      <c r="B255" s="87"/>
      <c r="C255" s="87"/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x14ac:dyDescent="0.2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x14ac:dyDescent="0.2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x14ac:dyDescent="0.2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x14ac:dyDescent="0.2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x14ac:dyDescent="0.2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x14ac:dyDescent="0.2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x14ac:dyDescent="0.2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x14ac:dyDescent="0.2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x14ac:dyDescent="0.2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x14ac:dyDescent="0.2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x14ac:dyDescent="0.2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x14ac:dyDescent="0.2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x14ac:dyDescent="0.2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x14ac:dyDescent="0.2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x14ac:dyDescent="0.2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x14ac:dyDescent="0.2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x14ac:dyDescent="0.2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x14ac:dyDescent="0.2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x14ac:dyDescent="0.2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x14ac:dyDescent="0.2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x14ac:dyDescent="0.2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x14ac:dyDescent="0.2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x14ac:dyDescent="0.2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x14ac:dyDescent="0.2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x14ac:dyDescent="0.2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x14ac:dyDescent="0.2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x14ac:dyDescent="0.2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x14ac:dyDescent="0.2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x14ac:dyDescent="0.2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x14ac:dyDescent="0.2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x14ac:dyDescent="0.2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x14ac:dyDescent="0.2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x14ac:dyDescent="0.2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x14ac:dyDescent="0.2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x14ac:dyDescent="0.2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x14ac:dyDescent="0.2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x14ac:dyDescent="0.2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x14ac:dyDescent="0.2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x14ac:dyDescent="0.2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x14ac:dyDescent="0.2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x14ac:dyDescent="0.2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x14ac:dyDescent="0.2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x14ac:dyDescent="0.2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x14ac:dyDescent="0.2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x14ac:dyDescent="0.2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x14ac:dyDescent="0.2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x14ac:dyDescent="0.2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x14ac:dyDescent="0.2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x14ac:dyDescent="0.2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x14ac:dyDescent="0.2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x14ac:dyDescent="0.2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x14ac:dyDescent="0.2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x14ac:dyDescent="0.2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x14ac:dyDescent="0.2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x14ac:dyDescent="0.2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x14ac:dyDescent="0.2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x14ac:dyDescent="0.2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x14ac:dyDescent="0.2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x14ac:dyDescent="0.2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x14ac:dyDescent="0.2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x14ac:dyDescent="0.2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x14ac:dyDescent="0.2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x14ac:dyDescent="0.2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x14ac:dyDescent="0.2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x14ac:dyDescent="0.2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x14ac:dyDescent="0.2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x14ac:dyDescent="0.2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x14ac:dyDescent="0.2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x14ac:dyDescent="0.2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x14ac:dyDescent="0.2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x14ac:dyDescent="0.2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x14ac:dyDescent="0.2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x14ac:dyDescent="0.2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x14ac:dyDescent="0.2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x14ac:dyDescent="0.2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x14ac:dyDescent="0.2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x14ac:dyDescent="0.2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x14ac:dyDescent="0.2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x14ac:dyDescent="0.2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x14ac:dyDescent="0.2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x14ac:dyDescent="0.2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x14ac:dyDescent="0.2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x14ac:dyDescent="0.2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x14ac:dyDescent="0.2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x14ac:dyDescent="0.2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x14ac:dyDescent="0.2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x14ac:dyDescent="0.2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x14ac:dyDescent="0.2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x14ac:dyDescent="0.2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x14ac:dyDescent="0.2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x14ac:dyDescent="0.2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x14ac:dyDescent="0.2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x14ac:dyDescent="0.2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x14ac:dyDescent="0.2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x14ac:dyDescent="0.2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x14ac:dyDescent="0.2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x14ac:dyDescent="0.2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x14ac:dyDescent="0.2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x14ac:dyDescent="0.2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x14ac:dyDescent="0.2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x14ac:dyDescent="0.2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x14ac:dyDescent="0.2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x14ac:dyDescent="0.2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x14ac:dyDescent="0.2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x14ac:dyDescent="0.2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x14ac:dyDescent="0.2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x14ac:dyDescent="0.2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x14ac:dyDescent="0.2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x14ac:dyDescent="0.2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x14ac:dyDescent="0.2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x14ac:dyDescent="0.2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x14ac:dyDescent="0.2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x14ac:dyDescent="0.2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x14ac:dyDescent="0.2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x14ac:dyDescent="0.2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x14ac:dyDescent="0.2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x14ac:dyDescent="0.2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x14ac:dyDescent="0.2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x14ac:dyDescent="0.2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x14ac:dyDescent="0.2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x14ac:dyDescent="0.2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x14ac:dyDescent="0.2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x14ac:dyDescent="0.2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x14ac:dyDescent="0.2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x14ac:dyDescent="0.2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x14ac:dyDescent="0.2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x14ac:dyDescent="0.2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x14ac:dyDescent="0.2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x14ac:dyDescent="0.2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x14ac:dyDescent="0.2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x14ac:dyDescent="0.2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x14ac:dyDescent="0.2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x14ac:dyDescent="0.2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x14ac:dyDescent="0.2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x14ac:dyDescent="0.2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x14ac:dyDescent="0.2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x14ac:dyDescent="0.2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x14ac:dyDescent="0.2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x14ac:dyDescent="0.2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x14ac:dyDescent="0.2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x14ac:dyDescent="0.2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x14ac:dyDescent="0.2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x14ac:dyDescent="0.2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x14ac:dyDescent="0.2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x14ac:dyDescent="0.2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x14ac:dyDescent="0.2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x14ac:dyDescent="0.2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x14ac:dyDescent="0.2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x14ac:dyDescent="0.2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x14ac:dyDescent="0.2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x14ac:dyDescent="0.2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x14ac:dyDescent="0.2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x14ac:dyDescent="0.2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x14ac:dyDescent="0.2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x14ac:dyDescent="0.2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x14ac:dyDescent="0.2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x14ac:dyDescent="0.2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x14ac:dyDescent="0.2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x14ac:dyDescent="0.2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x14ac:dyDescent="0.2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x14ac:dyDescent="0.2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x14ac:dyDescent="0.2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x14ac:dyDescent="0.2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x14ac:dyDescent="0.2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x14ac:dyDescent="0.2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x14ac:dyDescent="0.2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x14ac:dyDescent="0.2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x14ac:dyDescent="0.2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x14ac:dyDescent="0.2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x14ac:dyDescent="0.2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x14ac:dyDescent="0.2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x14ac:dyDescent="0.2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x14ac:dyDescent="0.2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x14ac:dyDescent="0.2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x14ac:dyDescent="0.2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x14ac:dyDescent="0.2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x14ac:dyDescent="0.2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x14ac:dyDescent="0.2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x14ac:dyDescent="0.2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x14ac:dyDescent="0.2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x14ac:dyDescent="0.2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x14ac:dyDescent="0.2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x14ac:dyDescent="0.2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x14ac:dyDescent="0.2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x14ac:dyDescent="0.2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x14ac:dyDescent="0.2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x14ac:dyDescent="0.2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x14ac:dyDescent="0.2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x14ac:dyDescent="0.2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x14ac:dyDescent="0.2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x14ac:dyDescent="0.2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x14ac:dyDescent="0.2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x14ac:dyDescent="0.2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x14ac:dyDescent="0.2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x14ac:dyDescent="0.2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x14ac:dyDescent="0.2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x14ac:dyDescent="0.2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x14ac:dyDescent="0.2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x14ac:dyDescent="0.2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x14ac:dyDescent="0.2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x14ac:dyDescent="0.2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x14ac:dyDescent="0.2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x14ac:dyDescent="0.2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x14ac:dyDescent="0.2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x14ac:dyDescent="0.2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x14ac:dyDescent="0.2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x14ac:dyDescent="0.2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x14ac:dyDescent="0.2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x14ac:dyDescent="0.2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x14ac:dyDescent="0.2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x14ac:dyDescent="0.2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x14ac:dyDescent="0.2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x14ac:dyDescent="0.2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x14ac:dyDescent="0.2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x14ac:dyDescent="0.2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x14ac:dyDescent="0.2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x14ac:dyDescent="0.2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x14ac:dyDescent="0.2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x14ac:dyDescent="0.2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x14ac:dyDescent="0.2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x14ac:dyDescent="0.2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x14ac:dyDescent="0.2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x14ac:dyDescent="0.2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x14ac:dyDescent="0.2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x14ac:dyDescent="0.2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x14ac:dyDescent="0.2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x14ac:dyDescent="0.2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x14ac:dyDescent="0.2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x14ac:dyDescent="0.2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x14ac:dyDescent="0.2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x14ac:dyDescent="0.2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x14ac:dyDescent="0.2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x14ac:dyDescent="0.2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x14ac:dyDescent="0.2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x14ac:dyDescent="0.2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x14ac:dyDescent="0.2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x14ac:dyDescent="0.2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x14ac:dyDescent="0.2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x14ac:dyDescent="0.2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x14ac:dyDescent="0.2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x14ac:dyDescent="0.2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x14ac:dyDescent="0.2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x14ac:dyDescent="0.2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x14ac:dyDescent="0.2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x14ac:dyDescent="0.2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x14ac:dyDescent="0.2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x14ac:dyDescent="0.2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x14ac:dyDescent="0.2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x14ac:dyDescent="0.2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x14ac:dyDescent="0.2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x14ac:dyDescent="0.2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x14ac:dyDescent="0.2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x14ac:dyDescent="0.2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x14ac:dyDescent="0.2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x14ac:dyDescent="0.2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x14ac:dyDescent="0.2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x14ac:dyDescent="0.2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x14ac:dyDescent="0.2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x14ac:dyDescent="0.2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x14ac:dyDescent="0.2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x14ac:dyDescent="0.2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x14ac:dyDescent="0.2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x14ac:dyDescent="0.2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x14ac:dyDescent="0.2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x14ac:dyDescent="0.2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x14ac:dyDescent="0.2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x14ac:dyDescent="0.2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x14ac:dyDescent="0.2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x14ac:dyDescent="0.2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x14ac:dyDescent="0.2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x14ac:dyDescent="0.2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x14ac:dyDescent="0.2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x14ac:dyDescent="0.2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x14ac:dyDescent="0.2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x14ac:dyDescent="0.2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x14ac:dyDescent="0.2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x14ac:dyDescent="0.2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x14ac:dyDescent="0.2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x14ac:dyDescent="0.2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x14ac:dyDescent="0.2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x14ac:dyDescent="0.2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x14ac:dyDescent="0.2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x14ac:dyDescent="0.2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x14ac:dyDescent="0.2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x14ac:dyDescent="0.2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x14ac:dyDescent="0.2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x14ac:dyDescent="0.2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x14ac:dyDescent="0.2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x14ac:dyDescent="0.2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x14ac:dyDescent="0.2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x14ac:dyDescent="0.2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x14ac:dyDescent="0.2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x14ac:dyDescent="0.2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x14ac:dyDescent="0.2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x14ac:dyDescent="0.2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x14ac:dyDescent="0.2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x14ac:dyDescent="0.2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x14ac:dyDescent="0.2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x14ac:dyDescent="0.2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x14ac:dyDescent="0.2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x14ac:dyDescent="0.2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x14ac:dyDescent="0.2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x14ac:dyDescent="0.2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x14ac:dyDescent="0.2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x14ac:dyDescent="0.2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x14ac:dyDescent="0.2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x14ac:dyDescent="0.2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x14ac:dyDescent="0.2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x14ac:dyDescent="0.2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x14ac:dyDescent="0.2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x14ac:dyDescent="0.2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x14ac:dyDescent="0.2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x14ac:dyDescent="0.2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x14ac:dyDescent="0.2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x14ac:dyDescent="0.2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x14ac:dyDescent="0.2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x14ac:dyDescent="0.2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x14ac:dyDescent="0.2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x14ac:dyDescent="0.2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x14ac:dyDescent="0.2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x14ac:dyDescent="0.2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x14ac:dyDescent="0.2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x14ac:dyDescent="0.2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x14ac:dyDescent="0.2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x14ac:dyDescent="0.2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x14ac:dyDescent="0.2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x14ac:dyDescent="0.2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x14ac:dyDescent="0.2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x14ac:dyDescent="0.2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x14ac:dyDescent="0.2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x14ac:dyDescent="0.2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x14ac:dyDescent="0.2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x14ac:dyDescent="0.2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x14ac:dyDescent="0.2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x14ac:dyDescent="0.2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x14ac:dyDescent="0.2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x14ac:dyDescent="0.2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x14ac:dyDescent="0.2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x14ac:dyDescent="0.2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x14ac:dyDescent="0.2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x14ac:dyDescent="0.2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x14ac:dyDescent="0.2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x14ac:dyDescent="0.2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x14ac:dyDescent="0.2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x14ac:dyDescent="0.2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x14ac:dyDescent="0.2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x14ac:dyDescent="0.2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</sheetData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4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zoomScale="90" zoomScaleNormal="90" workbookViewId="0">
      <selection activeCell="C3" sqref="C3"/>
    </sheetView>
  </sheetViews>
  <sheetFormatPr defaultRowHeight="15.75" x14ac:dyDescent="0.25"/>
  <cols>
    <col min="1" max="1" width="7.42578125" style="92" customWidth="1"/>
    <col min="2" max="2" width="7.85546875" style="92" customWidth="1"/>
    <col min="3" max="3" width="35.7109375" style="95" customWidth="1"/>
    <col min="4" max="4" width="4.28515625" style="92" customWidth="1"/>
    <col min="5" max="6" width="11.42578125" style="92" customWidth="1"/>
    <col min="7" max="7" width="20" style="92" customWidth="1"/>
    <col min="8" max="8" width="11.42578125" style="92" customWidth="1"/>
    <col min="9" max="9" width="4.28515625" style="92" customWidth="1"/>
    <col min="10" max="16384" width="9.140625" style="92"/>
  </cols>
  <sheetData>
    <row r="1" spans="1:26" s="20" customFormat="1" ht="15" x14ac:dyDescent="0.2">
      <c r="A1" s="20" t="s">
        <v>267</v>
      </c>
      <c r="B1" s="20" t="str">
        <f>Issue</f>
        <v>2024 Show Season V1 7/22/2024</v>
      </c>
      <c r="C1" s="96"/>
    </row>
    <row r="2" spans="1:26" x14ac:dyDescent="0.25">
      <c r="H2" s="181"/>
      <c r="I2"/>
    </row>
    <row r="3" spans="1:26" ht="19.5" customHeight="1" x14ac:dyDescent="0.4">
      <c r="B3" s="219"/>
      <c r="C3" s="217" t="s">
        <v>326</v>
      </c>
      <c r="D3" s="218"/>
      <c r="E3" s="100" t="e">
        <f>VLOOKUP(SelShowDay,ShowDates,3,FALSE)</f>
        <v>#N/A</v>
      </c>
      <c r="F3" s="99"/>
      <c r="G3" s="99"/>
      <c r="H3" s="210" t="s">
        <v>130</v>
      </c>
      <c r="I3" s="101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77"/>
      <c r="C5" s="96" t="s">
        <v>187</v>
      </c>
      <c r="F5" s="20" t="s">
        <v>188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98">
        <v>114</v>
      </c>
      <c r="B6" s="85" t="s">
        <v>130</v>
      </c>
      <c r="C6" s="85" t="s">
        <v>131</v>
      </c>
      <c r="D6" s="85" t="s">
        <v>132</v>
      </c>
      <c r="E6" s="85" t="s">
        <v>133</v>
      </c>
      <c r="F6" s="85" t="s">
        <v>134</v>
      </c>
      <c r="G6" s="85" t="s">
        <v>135</v>
      </c>
      <c r="H6" s="85" t="s">
        <v>136</v>
      </c>
      <c r="I6" s="85" t="s">
        <v>137</v>
      </c>
      <c r="J6" s="85" t="s">
        <v>138</v>
      </c>
      <c r="K6" s="85" t="s">
        <v>139</v>
      </c>
      <c r="L6" s="85" t="s">
        <v>150</v>
      </c>
      <c r="M6" s="85" t="s">
        <v>175</v>
      </c>
      <c r="N6" s="85" t="s">
        <v>130</v>
      </c>
      <c r="O6" s="85" t="s">
        <v>131</v>
      </c>
      <c r="P6" s="85" t="s">
        <v>132</v>
      </c>
      <c r="Q6" s="85" t="s">
        <v>176</v>
      </c>
      <c r="R6" s="85"/>
      <c r="S6" s="85"/>
      <c r="T6" s="85"/>
      <c r="U6" s="85"/>
      <c r="V6" s="85"/>
      <c r="W6" s="85"/>
      <c r="X6" s="85"/>
      <c r="Y6" s="85"/>
      <c r="Z6" s="85"/>
    </row>
    <row r="7" spans="1:26" x14ac:dyDescent="0.25">
      <c r="A7" s="93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25">
      <c r="A8" s="93" t="s">
        <v>203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x14ac:dyDescent="0.25">
      <c r="A9" s="93"/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ht="16.5" thickBot="1" x14ac:dyDescent="0.3">
      <c r="A10" s="93"/>
      <c r="B10" s="93" t="s">
        <v>135</v>
      </c>
      <c r="C10" s="97" t="s">
        <v>50</v>
      </c>
      <c r="D10" s="94"/>
      <c r="E10" s="94"/>
      <c r="F10" s="94"/>
      <c r="G10" s="94"/>
      <c r="H10" s="94"/>
      <c r="I10" s="94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x14ac:dyDescent="0.25">
      <c r="A11" s="93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ht="16.5" thickBot="1" x14ac:dyDescent="0.3">
      <c r="A12" s="93"/>
      <c r="B12" s="93" t="s">
        <v>136</v>
      </c>
      <c r="C12" s="97" t="s">
        <v>50</v>
      </c>
      <c r="D12" s="94"/>
      <c r="E12" s="94"/>
      <c r="F12" s="94"/>
      <c r="G12" s="94"/>
      <c r="H12" s="94"/>
      <c r="I12" s="94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x14ac:dyDescent="0.25">
      <c r="A13" s="93"/>
      <c r="B13" s="9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ht="16.5" thickBot="1" x14ac:dyDescent="0.3">
      <c r="A14" s="93"/>
      <c r="B14" s="93" t="s">
        <v>137</v>
      </c>
      <c r="C14" s="97" t="s">
        <v>50</v>
      </c>
      <c r="D14" s="94"/>
      <c r="E14" s="94"/>
      <c r="F14" s="94"/>
      <c r="G14" s="94"/>
      <c r="H14" s="94"/>
      <c r="I14" s="94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x14ac:dyDescent="0.25">
      <c r="A15" s="93"/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ht="16.5" thickBot="1" x14ac:dyDescent="0.3">
      <c r="A16" s="93"/>
      <c r="B16" s="93" t="s">
        <v>138</v>
      </c>
      <c r="C16" s="97" t="s">
        <v>50</v>
      </c>
      <c r="D16" s="94"/>
      <c r="E16" s="94"/>
      <c r="F16" s="94"/>
      <c r="G16" s="94"/>
      <c r="H16" s="94"/>
      <c r="I16" s="94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25">
      <c r="A17" s="93"/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ht="16.5" thickBot="1" x14ac:dyDescent="0.3">
      <c r="A18" s="93"/>
      <c r="B18" s="93" t="s">
        <v>139</v>
      </c>
      <c r="C18" s="97" t="s">
        <v>50</v>
      </c>
      <c r="D18" s="94"/>
      <c r="E18" s="94"/>
      <c r="F18" s="94"/>
      <c r="G18" s="94"/>
      <c r="H18" s="94"/>
      <c r="I18" s="94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x14ac:dyDescent="0.25">
      <c r="A19" s="93"/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25">
      <c r="A20" s="93" t="s">
        <v>330</v>
      </c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x14ac:dyDescent="0.25">
      <c r="A21" s="93"/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ht="16.5" thickBot="1" x14ac:dyDescent="0.3">
      <c r="A22" s="93"/>
      <c r="B22" s="93" t="s">
        <v>133</v>
      </c>
      <c r="C22" s="97" t="s">
        <v>306</v>
      </c>
      <c r="D22" s="94"/>
      <c r="E22" s="94"/>
      <c r="F22" s="94"/>
      <c r="G22" s="94"/>
      <c r="H22" s="94"/>
      <c r="I22" s="94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x14ac:dyDescent="0.25">
      <c r="A23" s="93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ht="16.5" thickBot="1" x14ac:dyDescent="0.3">
      <c r="A24" s="93"/>
      <c r="B24" s="93" t="s">
        <v>134</v>
      </c>
      <c r="C24" s="97" t="s">
        <v>306</v>
      </c>
      <c r="D24" s="94"/>
      <c r="E24" s="94"/>
      <c r="F24" s="94"/>
      <c r="G24" s="94"/>
      <c r="H24" s="94"/>
      <c r="I24" s="94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x14ac:dyDescent="0.25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ht="16.5" thickBot="1" x14ac:dyDescent="0.3">
      <c r="A26" s="93"/>
      <c r="B26" s="93" t="s">
        <v>135</v>
      </c>
      <c r="C26" s="97" t="s">
        <v>32</v>
      </c>
      <c r="D26" s="94"/>
      <c r="E26" s="94"/>
      <c r="F26" s="94"/>
      <c r="G26" s="94"/>
      <c r="H26" s="94"/>
      <c r="I26" s="94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x14ac:dyDescent="0.25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ht="16.5" thickBot="1" x14ac:dyDescent="0.3">
      <c r="A28" s="93"/>
      <c r="B28" s="93" t="s">
        <v>136</v>
      </c>
      <c r="C28" s="97" t="s">
        <v>32</v>
      </c>
      <c r="D28" s="94"/>
      <c r="E28" s="94"/>
      <c r="F28" s="94"/>
      <c r="G28" s="94"/>
      <c r="H28" s="94"/>
      <c r="I28" s="94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x14ac:dyDescent="0.25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ht="16.5" thickBot="1" x14ac:dyDescent="0.3">
      <c r="A30" s="93"/>
      <c r="B30" s="93" t="s">
        <v>137</v>
      </c>
      <c r="C30" s="97" t="s">
        <v>32</v>
      </c>
      <c r="D30" s="94"/>
      <c r="E30" s="94"/>
      <c r="F30" s="94"/>
      <c r="G30" s="94"/>
      <c r="H30" s="94"/>
      <c r="I30" s="94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x14ac:dyDescent="0.25">
      <c r="A31" s="93"/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ht="16.5" thickBot="1" x14ac:dyDescent="0.3">
      <c r="A32" s="93"/>
      <c r="B32" s="93" t="s">
        <v>138</v>
      </c>
      <c r="C32" s="97" t="s">
        <v>32</v>
      </c>
      <c r="D32" s="94"/>
      <c r="E32" s="94"/>
      <c r="F32" s="94"/>
      <c r="G32" s="94"/>
      <c r="H32" s="94"/>
      <c r="I32" s="94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x14ac:dyDescent="0.25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ht="16.5" thickBot="1" x14ac:dyDescent="0.3">
      <c r="A34" s="93"/>
      <c r="B34" s="93" t="s">
        <v>139</v>
      </c>
      <c r="C34" s="97" t="s">
        <v>32</v>
      </c>
      <c r="D34" s="94"/>
      <c r="E34" s="94"/>
      <c r="F34" s="94"/>
      <c r="G34" s="94"/>
      <c r="H34" s="94"/>
      <c r="I34" s="94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x14ac:dyDescent="0.25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ht="16.5" thickBot="1" x14ac:dyDescent="0.3">
      <c r="A36" s="93"/>
      <c r="B36" s="93" t="s">
        <v>150</v>
      </c>
      <c r="C36" s="97" t="s">
        <v>32</v>
      </c>
      <c r="D36" s="94"/>
      <c r="E36" s="94"/>
      <c r="F36" s="94"/>
      <c r="G36" s="94"/>
      <c r="H36" s="94"/>
      <c r="I36" s="94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x14ac:dyDescent="0.25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ht="16.5" thickBot="1" x14ac:dyDescent="0.3">
      <c r="A38" s="93"/>
      <c r="B38" s="93" t="s">
        <v>175</v>
      </c>
      <c r="C38" s="97" t="s">
        <v>32</v>
      </c>
      <c r="D38" s="94"/>
      <c r="E38" s="94"/>
      <c r="F38" s="94"/>
      <c r="G38" s="94"/>
      <c r="H38" s="94"/>
      <c r="I38" s="94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25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25">
      <c r="A40" s="93" t="s">
        <v>328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x14ac:dyDescent="0.25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ht="16.5" thickBot="1" x14ac:dyDescent="0.3">
      <c r="A42" s="93"/>
      <c r="B42" s="93" t="s">
        <v>133</v>
      </c>
      <c r="C42" s="97" t="s">
        <v>53</v>
      </c>
      <c r="D42" s="94"/>
      <c r="E42" s="94"/>
      <c r="F42" s="94"/>
      <c r="G42" s="94"/>
      <c r="H42" s="94"/>
      <c r="I42" s="94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x14ac:dyDescent="0.25">
      <c r="A43" s="93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ht="16.5" thickBot="1" x14ac:dyDescent="0.3">
      <c r="A44" s="93"/>
      <c r="B44" s="93" t="s">
        <v>134</v>
      </c>
      <c r="C44" s="97" t="s">
        <v>53</v>
      </c>
      <c r="D44" s="94"/>
      <c r="E44" s="94"/>
      <c r="F44" s="94"/>
      <c r="G44" s="94"/>
      <c r="H44" s="94"/>
      <c r="I44" s="94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x14ac:dyDescent="0.25">
      <c r="A45" s="93"/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ht="16.5" thickBot="1" x14ac:dyDescent="0.3">
      <c r="A46" s="93"/>
      <c r="B46" s="93" t="s">
        <v>135</v>
      </c>
      <c r="C46" s="97" t="s">
        <v>120</v>
      </c>
      <c r="D46" s="94"/>
      <c r="E46" s="94"/>
      <c r="F46" s="94"/>
      <c r="G46" s="94"/>
      <c r="H46" s="94"/>
      <c r="I46" s="94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x14ac:dyDescent="0.25">
      <c r="A47" s="93"/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ht="16.5" thickBot="1" x14ac:dyDescent="0.3">
      <c r="A48" s="93"/>
      <c r="B48" s="93" t="s">
        <v>136</v>
      </c>
      <c r="C48" s="97" t="s">
        <v>118</v>
      </c>
      <c r="D48" s="94"/>
      <c r="E48" s="94"/>
      <c r="F48" s="94"/>
      <c r="G48" s="94"/>
      <c r="H48" s="94"/>
      <c r="I48" s="94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x14ac:dyDescent="0.25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ht="16.5" thickBot="1" x14ac:dyDescent="0.3">
      <c r="A50" s="93"/>
      <c r="B50" s="93" t="s">
        <v>137</v>
      </c>
      <c r="C50" s="97" t="s">
        <v>27</v>
      </c>
      <c r="D50" s="94"/>
      <c r="E50" s="94"/>
      <c r="F50" s="94"/>
      <c r="G50" s="94"/>
      <c r="H50" s="94"/>
      <c r="I50" s="94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x14ac:dyDescent="0.25">
      <c r="A51" s="93"/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ht="16.5" thickBot="1" x14ac:dyDescent="0.3">
      <c r="A52" s="93"/>
      <c r="B52" s="93" t="s">
        <v>138</v>
      </c>
      <c r="C52" s="97" t="s">
        <v>120</v>
      </c>
      <c r="D52" s="94"/>
      <c r="E52" s="94"/>
      <c r="F52" s="94"/>
      <c r="G52" s="94"/>
      <c r="H52" s="94"/>
      <c r="I52" s="94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x14ac:dyDescent="0.25">
      <c r="A53" s="93"/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ht="16.5" thickBot="1" x14ac:dyDescent="0.3">
      <c r="A54" s="93"/>
      <c r="B54" s="93" t="s">
        <v>139</v>
      </c>
      <c r="C54" s="97" t="s">
        <v>118</v>
      </c>
      <c r="D54" s="94"/>
      <c r="E54" s="94"/>
      <c r="F54" s="94"/>
      <c r="G54" s="94"/>
      <c r="H54" s="94"/>
      <c r="I54" s="94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25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ht="16.5" thickBot="1" x14ac:dyDescent="0.3">
      <c r="A56" s="93"/>
      <c r="B56" s="93" t="s">
        <v>150</v>
      </c>
      <c r="C56" s="97" t="s">
        <v>109</v>
      </c>
      <c r="D56" s="94"/>
      <c r="E56" s="94"/>
      <c r="F56" s="94"/>
      <c r="G56" s="94"/>
      <c r="H56" s="94"/>
      <c r="I56" s="94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25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ht="16.5" thickBot="1" x14ac:dyDescent="0.3">
      <c r="A58" s="93"/>
      <c r="B58" s="93" t="s">
        <v>175</v>
      </c>
      <c r="C58" s="97" t="s">
        <v>118</v>
      </c>
      <c r="D58" s="94"/>
      <c r="E58" s="94"/>
      <c r="F58" s="94"/>
      <c r="G58" s="94"/>
      <c r="H58" s="94"/>
      <c r="I58" s="94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25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ht="16.5" thickBot="1" x14ac:dyDescent="0.3">
      <c r="A60" s="93"/>
      <c r="B60" s="93" t="s">
        <v>133</v>
      </c>
      <c r="C60" s="97" t="s">
        <v>13</v>
      </c>
      <c r="D60" s="94"/>
      <c r="E60" s="94"/>
      <c r="F60" s="94"/>
      <c r="G60" s="94"/>
      <c r="H60" s="94"/>
      <c r="I60" s="94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25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ht="16.5" thickBot="1" x14ac:dyDescent="0.3">
      <c r="A62" s="93"/>
      <c r="B62" s="93" t="s">
        <v>134</v>
      </c>
      <c r="C62" s="97" t="s">
        <v>13</v>
      </c>
      <c r="D62" s="94"/>
      <c r="E62" s="94"/>
      <c r="F62" s="94"/>
      <c r="G62" s="94"/>
      <c r="H62" s="94"/>
      <c r="I62" s="94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25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ht="16.5" thickBot="1" x14ac:dyDescent="0.3">
      <c r="A64" s="93"/>
      <c r="B64" s="93" t="s">
        <v>135</v>
      </c>
      <c r="C64" s="97" t="s">
        <v>58</v>
      </c>
      <c r="D64" s="94"/>
      <c r="E64" s="94"/>
      <c r="F64" s="94"/>
      <c r="G64" s="94"/>
      <c r="H64" s="94"/>
      <c r="I64" s="94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25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ht="16.5" thickBot="1" x14ac:dyDescent="0.3">
      <c r="A66" s="93"/>
      <c r="B66" s="93" t="s">
        <v>136</v>
      </c>
      <c r="C66" s="97" t="s">
        <v>58</v>
      </c>
      <c r="D66" s="94"/>
      <c r="E66" s="94"/>
      <c r="F66" s="94"/>
      <c r="G66" s="94"/>
      <c r="H66" s="94"/>
      <c r="I66" s="94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25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ht="16.5" thickBot="1" x14ac:dyDescent="0.3">
      <c r="A68" s="93"/>
      <c r="B68" s="93" t="s">
        <v>137</v>
      </c>
      <c r="C68" s="97" t="s">
        <v>119</v>
      </c>
      <c r="D68" s="94"/>
      <c r="E68" s="94"/>
      <c r="F68" s="94"/>
      <c r="G68" s="94"/>
      <c r="H68" s="94"/>
      <c r="I68" s="94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25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ht="16.5" thickBot="1" x14ac:dyDescent="0.3">
      <c r="A70" s="93"/>
      <c r="B70" s="93" t="s">
        <v>138</v>
      </c>
      <c r="C70" s="97" t="s">
        <v>27</v>
      </c>
      <c r="D70" s="94"/>
      <c r="E70" s="94"/>
      <c r="F70" s="94"/>
      <c r="G70" s="94"/>
      <c r="H70" s="94"/>
      <c r="I70" s="94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25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ht="16.5" thickBot="1" x14ac:dyDescent="0.3">
      <c r="A72" s="93"/>
      <c r="B72" s="93" t="s">
        <v>139</v>
      </c>
      <c r="C72" s="97" t="s">
        <v>109</v>
      </c>
      <c r="D72" s="94"/>
      <c r="E72" s="94"/>
      <c r="F72" s="94"/>
      <c r="G72" s="94"/>
      <c r="H72" s="94"/>
      <c r="I72" s="94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25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ht="16.5" thickBot="1" x14ac:dyDescent="0.3">
      <c r="A74" s="93"/>
      <c r="B74" s="93" t="s">
        <v>150</v>
      </c>
      <c r="C74" s="97" t="s">
        <v>29</v>
      </c>
      <c r="D74" s="94"/>
      <c r="E74" s="94"/>
      <c r="F74" s="94"/>
      <c r="G74" s="94"/>
      <c r="H74" s="94"/>
      <c r="I74" s="94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25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ht="16.5" thickBot="1" x14ac:dyDescent="0.3">
      <c r="A76" s="93"/>
      <c r="B76" s="93" t="s">
        <v>175</v>
      </c>
      <c r="C76" s="97" t="s">
        <v>109</v>
      </c>
      <c r="D76" s="94"/>
      <c r="E76" s="94"/>
      <c r="F76" s="94"/>
      <c r="G76" s="94"/>
      <c r="H76" s="94"/>
      <c r="I76" s="94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25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25">
      <c r="A78" s="93" t="s">
        <v>128</v>
      </c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25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ht="16.5" thickBot="1" x14ac:dyDescent="0.3">
      <c r="A80" s="93"/>
      <c r="B80" s="93" t="s">
        <v>137</v>
      </c>
      <c r="C80" s="97" t="s">
        <v>115</v>
      </c>
      <c r="D80" s="94"/>
      <c r="E80" s="94"/>
      <c r="F80" s="94"/>
      <c r="G80" s="94"/>
      <c r="H80" s="94"/>
      <c r="I80" s="94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25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ht="16.5" thickBot="1" x14ac:dyDescent="0.3">
      <c r="A82" s="93"/>
      <c r="B82" s="93" t="s">
        <v>138</v>
      </c>
      <c r="C82" s="97" t="s">
        <v>115</v>
      </c>
      <c r="D82" s="94"/>
      <c r="E82" s="94"/>
      <c r="F82" s="94"/>
      <c r="G82" s="94"/>
      <c r="H82" s="94"/>
      <c r="I82" s="94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25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ht="16.5" thickBot="1" x14ac:dyDescent="0.3">
      <c r="A84" s="93"/>
      <c r="B84" s="93" t="s">
        <v>139</v>
      </c>
      <c r="C84" s="97" t="s">
        <v>115</v>
      </c>
      <c r="D84" s="94"/>
      <c r="E84" s="94"/>
      <c r="F84" s="94"/>
      <c r="G84" s="94"/>
      <c r="H84" s="94"/>
      <c r="I84" s="94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25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ht="16.5" thickBot="1" x14ac:dyDescent="0.3">
      <c r="A86" s="93"/>
      <c r="B86" s="93" t="s">
        <v>150</v>
      </c>
      <c r="C86" s="97" t="s">
        <v>115</v>
      </c>
      <c r="D86" s="94"/>
      <c r="E86" s="94"/>
      <c r="F86" s="94"/>
      <c r="G86" s="94"/>
      <c r="H86" s="94"/>
      <c r="I86" s="94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25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ht="16.5" thickBot="1" x14ac:dyDescent="0.3">
      <c r="A88" s="93"/>
      <c r="B88" s="93" t="s">
        <v>175</v>
      </c>
      <c r="C88" s="97" t="s">
        <v>115</v>
      </c>
      <c r="D88" s="94"/>
      <c r="E88" s="94"/>
      <c r="F88" s="94"/>
      <c r="G88" s="94"/>
      <c r="H88" s="94"/>
      <c r="I88" s="94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25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ht="16.5" thickBot="1" x14ac:dyDescent="0.3">
      <c r="A90" s="93"/>
      <c r="B90" s="93" t="s">
        <v>130</v>
      </c>
      <c r="C90" s="97" t="s">
        <v>115</v>
      </c>
      <c r="D90" s="94"/>
      <c r="E90" s="94"/>
      <c r="F90" s="94"/>
      <c r="G90" s="94"/>
      <c r="H90" s="94"/>
      <c r="I90" s="94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25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ht="16.5" thickBot="1" x14ac:dyDescent="0.3">
      <c r="A92" s="93"/>
      <c r="B92" s="93" t="s">
        <v>131</v>
      </c>
      <c r="C92" s="97" t="s">
        <v>115</v>
      </c>
      <c r="D92" s="94"/>
      <c r="E92" s="94"/>
      <c r="F92" s="94"/>
      <c r="G92" s="94"/>
      <c r="H92" s="94"/>
      <c r="I92" s="94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25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25">
      <c r="A94" s="93" t="s">
        <v>209</v>
      </c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25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ht="16.5" thickBot="1" x14ac:dyDescent="0.3">
      <c r="A96" s="93"/>
      <c r="B96" s="93" t="s">
        <v>135</v>
      </c>
      <c r="C96" s="97" t="s">
        <v>53</v>
      </c>
      <c r="D96" s="94"/>
      <c r="E96" s="94"/>
      <c r="F96" s="94"/>
      <c r="G96" s="94"/>
      <c r="H96" s="94"/>
      <c r="I96" s="94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25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ht="16.5" thickBot="1" x14ac:dyDescent="0.3">
      <c r="A98" s="93"/>
      <c r="B98" s="93" t="s">
        <v>136</v>
      </c>
      <c r="C98" s="97" t="s">
        <v>53</v>
      </c>
      <c r="D98" s="94"/>
      <c r="E98" s="94"/>
      <c r="F98" s="94"/>
      <c r="G98" s="94"/>
      <c r="H98" s="94"/>
      <c r="I98" s="94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25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ht="16.5" thickBot="1" x14ac:dyDescent="0.3">
      <c r="A100" s="93"/>
      <c r="B100" s="93" t="s">
        <v>137</v>
      </c>
      <c r="C100" s="97" t="s">
        <v>53</v>
      </c>
      <c r="D100" s="94"/>
      <c r="E100" s="94"/>
      <c r="F100" s="94"/>
      <c r="G100" s="94"/>
      <c r="H100" s="94"/>
      <c r="I100" s="94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25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ht="16.5" thickBot="1" x14ac:dyDescent="0.3">
      <c r="A102" s="93"/>
      <c r="B102" s="93" t="s">
        <v>138</v>
      </c>
      <c r="C102" s="97" t="s">
        <v>53</v>
      </c>
      <c r="D102" s="94"/>
      <c r="E102" s="94"/>
      <c r="F102" s="94"/>
      <c r="G102" s="94"/>
      <c r="H102" s="94"/>
      <c r="I102" s="94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25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ht="16.5" thickBot="1" x14ac:dyDescent="0.3">
      <c r="A104" s="93"/>
      <c r="B104" s="93" t="s">
        <v>139</v>
      </c>
      <c r="C104" s="97" t="s">
        <v>58</v>
      </c>
      <c r="D104" s="94"/>
      <c r="E104" s="94"/>
      <c r="F104" s="94"/>
      <c r="G104" s="94"/>
      <c r="H104" s="94"/>
      <c r="I104" s="94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25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ht="16.5" thickBot="1" x14ac:dyDescent="0.3">
      <c r="A106" s="93"/>
      <c r="B106" s="93" t="s">
        <v>150</v>
      </c>
      <c r="C106" s="97" t="s">
        <v>58</v>
      </c>
      <c r="D106" s="94"/>
      <c r="E106" s="94"/>
      <c r="F106" s="94"/>
      <c r="G106" s="94"/>
      <c r="H106" s="94"/>
      <c r="I106" s="94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25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ht="16.5" thickBot="1" x14ac:dyDescent="0.3">
      <c r="A108" s="93"/>
      <c r="B108" s="93" t="s">
        <v>175</v>
      </c>
      <c r="C108" s="97" t="s">
        <v>58</v>
      </c>
      <c r="D108" s="94"/>
      <c r="E108" s="94"/>
      <c r="F108" s="94"/>
      <c r="G108" s="94"/>
      <c r="H108" s="94"/>
      <c r="I108" s="94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25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ht="16.5" thickBot="1" x14ac:dyDescent="0.3">
      <c r="A110" s="93"/>
      <c r="B110" s="93" t="s">
        <v>130</v>
      </c>
      <c r="C110" s="97" t="s">
        <v>58</v>
      </c>
      <c r="D110" s="94"/>
      <c r="E110" s="94"/>
      <c r="F110" s="94"/>
      <c r="G110" s="94"/>
      <c r="H110" s="94"/>
      <c r="I110" s="94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25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ht="16.5" thickBot="1" x14ac:dyDescent="0.3">
      <c r="A112" s="93"/>
      <c r="B112" s="93" t="s">
        <v>131</v>
      </c>
      <c r="C112" s="97" t="s">
        <v>58</v>
      </c>
      <c r="D112" s="94"/>
      <c r="E112" s="94"/>
      <c r="F112" s="94"/>
      <c r="G112" s="94"/>
      <c r="H112" s="94"/>
      <c r="I112" s="94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25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25">
      <c r="A114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25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25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25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25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25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25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25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25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25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25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25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25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25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25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25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25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25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25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25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25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25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25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25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25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25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25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25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25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25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25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25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25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25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25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25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25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25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25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25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25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25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25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25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25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25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25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25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25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25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25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25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25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25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25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25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25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25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25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25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25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25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25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25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25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25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25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25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25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25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25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25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25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25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25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25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25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25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25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25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25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25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25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25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25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25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25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25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25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25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25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25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25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25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25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25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25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25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25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25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25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25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25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25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25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25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25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25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25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25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25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25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25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25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25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25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25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25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25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25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25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25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25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25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25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25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25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25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25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25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25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25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25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25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25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25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25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25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25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25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25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25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25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25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25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25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25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25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25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25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25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25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25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25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25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25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25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25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25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25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25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25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25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25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25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25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25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25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25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25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25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25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25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25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25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25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25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25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25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25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25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25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25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25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25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25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25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25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25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25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25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25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25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25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25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25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25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25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25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25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25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25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25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25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25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25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25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25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25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25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25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25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25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25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25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25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25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25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25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25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25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25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25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25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25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25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25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25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25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25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25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25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25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25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25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25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25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25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25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25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25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25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25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25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25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25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25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25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25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25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25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25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25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25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25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25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25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25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25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25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25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25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25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25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25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25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25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25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25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25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25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25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25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25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25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25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25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25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25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25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25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25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25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25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25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25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25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25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25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25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25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25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25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25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25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25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25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25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25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25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25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25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25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25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25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25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25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25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25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25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25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25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25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25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25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25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25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25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25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25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25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25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25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25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25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25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25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25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25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25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25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25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25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25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25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25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25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25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25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25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25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25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25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25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25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25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25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25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25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25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25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25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25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25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25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25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25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25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25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25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25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25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25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25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25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25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25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25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25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25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25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25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25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25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25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25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25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25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25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25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25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25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25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25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25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25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25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25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25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25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25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25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25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25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25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25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25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25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25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25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25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25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25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25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25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25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25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25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25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25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25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25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25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25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25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25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25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25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25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25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25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25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25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25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25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25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25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25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25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25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25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25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25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25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25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25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25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25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25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25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25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25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25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25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25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25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25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25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25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25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25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25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25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25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25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25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25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25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25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25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25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25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25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25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25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25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25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25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25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25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25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25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25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25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25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25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25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25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25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25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25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25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25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25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25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25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25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  <row r="601" spans="1:26" x14ac:dyDescent="0.25">
      <c r="A601" s="93"/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  <c r="X601" s="93"/>
      <c r="Y601" s="93"/>
      <c r="Z601" s="93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00000000-0002-0000-0900-000002000000}">
      <formula1>B6:Q6</formula1>
    </dataValidation>
  </dataValidations>
  <pageMargins left="0.75" right="0.75" top="1" bottom="1" header="0.5" footer="0.5"/>
  <pageSetup scale="7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4" workbookViewId="0">
      <selection activeCell="E52" sqref="D52:E53"/>
    </sheetView>
  </sheetViews>
  <sheetFormatPr defaultRowHeight="15.75" x14ac:dyDescent="0.25"/>
  <cols>
    <col min="1" max="3" width="9.140625" style="92"/>
    <col min="4" max="4" width="18.28515625" style="92" customWidth="1"/>
    <col min="5" max="6" width="9.140625" style="92"/>
    <col min="7" max="7" width="18.28515625" style="92" customWidth="1"/>
    <col min="8" max="16384" width="9.140625" style="92"/>
  </cols>
  <sheetData>
    <row r="1" spans="1:26" ht="26.25" x14ac:dyDescent="0.4">
      <c r="B1" s="99" t="s">
        <v>325</v>
      </c>
      <c r="C1" s="99"/>
      <c r="D1" s="99"/>
      <c r="E1" s="99" t="s">
        <v>154</v>
      </c>
      <c r="F1" s="99"/>
      <c r="G1" s="99"/>
      <c r="H1" s="99" t="s">
        <v>198</v>
      </c>
    </row>
    <row r="3" spans="1:26" ht="20.25" x14ac:dyDescent="0.3">
      <c r="F3" s="104" t="str">
        <f>Season</f>
        <v>2022/2023</v>
      </c>
    </row>
    <row r="4" spans="1:26" x14ac:dyDescent="0.25">
      <c r="C4" s="92" t="s">
        <v>187</v>
      </c>
    </row>
    <row r="5" spans="1:26" x14ac:dyDescent="0.25">
      <c r="A5" s="93" t="s">
        <v>196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25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5" thickBot="1" x14ac:dyDescent="0.3">
      <c r="A7" s="93"/>
      <c r="B7" s="93" t="s">
        <v>150</v>
      </c>
      <c r="C7" s="93" t="s">
        <v>115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25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5" thickBot="1" x14ac:dyDescent="0.3">
      <c r="A9" s="93"/>
      <c r="B9" s="93" t="s">
        <v>175</v>
      </c>
      <c r="C9" s="93" t="s">
        <v>115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25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5" thickBot="1" x14ac:dyDescent="0.3">
      <c r="A11" s="93"/>
      <c r="B11" s="93" t="s">
        <v>130</v>
      </c>
      <c r="C11" s="93" t="s">
        <v>115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25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5" thickBot="1" x14ac:dyDescent="0.3">
      <c r="A13" s="93"/>
      <c r="B13" s="93" t="s">
        <v>131</v>
      </c>
      <c r="C13" s="93" t="s">
        <v>115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25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5" thickBot="1" x14ac:dyDescent="0.3">
      <c r="A15" s="93"/>
      <c r="B15" s="93" t="s">
        <v>132</v>
      </c>
      <c r="C15" s="93" t="s">
        <v>115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25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25">
      <c r="A17" s="93" t="s">
        <v>197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25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5" thickBot="1" x14ac:dyDescent="0.3">
      <c r="A19" s="93"/>
      <c r="B19" s="93" t="s">
        <v>130</v>
      </c>
      <c r="C19" s="93" t="s">
        <v>115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25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5" thickBot="1" x14ac:dyDescent="0.3">
      <c r="A21" s="93"/>
      <c r="B21" s="93" t="s">
        <v>131</v>
      </c>
      <c r="C21" s="93" t="s">
        <v>115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25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5" thickBot="1" x14ac:dyDescent="0.3">
      <c r="A23" s="93"/>
      <c r="B23" s="93" t="s">
        <v>132</v>
      </c>
      <c r="C23" s="93" t="s">
        <v>115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5" thickBot="1" x14ac:dyDescent="0.3">
      <c r="A25" s="93"/>
      <c r="B25" s="93" t="s">
        <v>133</v>
      </c>
      <c r="C25" s="93" t="s">
        <v>13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25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5" thickBot="1" x14ac:dyDescent="0.3">
      <c r="A27" s="93"/>
      <c r="B27" s="93" t="s">
        <v>134</v>
      </c>
      <c r="C27" s="93" t="s">
        <v>306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25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5" thickBot="1" x14ac:dyDescent="0.3">
      <c r="A29" s="93"/>
      <c r="B29" s="93" t="s">
        <v>135</v>
      </c>
      <c r="C29" s="93" t="s">
        <v>306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25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5" thickBot="1" x14ac:dyDescent="0.3">
      <c r="A31" s="93"/>
      <c r="B31" s="93" t="s">
        <v>136</v>
      </c>
      <c r="C31" s="93" t="s">
        <v>119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5" thickBot="1" x14ac:dyDescent="0.3">
      <c r="A33" s="93"/>
      <c r="B33" s="93" t="s">
        <v>137</v>
      </c>
      <c r="C33" s="93" t="s">
        <v>109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5" thickBot="1" x14ac:dyDescent="0.3">
      <c r="A35" s="93"/>
      <c r="B35" s="93" t="s">
        <v>138</v>
      </c>
      <c r="C35" s="93" t="s">
        <v>8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5" thickBot="1" x14ac:dyDescent="0.3">
      <c r="A37" s="93"/>
      <c r="B37" s="93" t="s">
        <v>139</v>
      </c>
      <c r="C37" s="93" t="s">
        <v>189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25">
      <c r="A39" s="93" t="s">
        <v>199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5" thickBot="1" x14ac:dyDescent="0.3">
      <c r="A41" s="93"/>
      <c r="B41" s="93" t="s">
        <v>132</v>
      </c>
      <c r="C41" s="93" t="s">
        <v>13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5" thickBot="1" x14ac:dyDescent="0.3">
      <c r="A43" s="93"/>
      <c r="B43" s="93" t="s">
        <v>133</v>
      </c>
      <c r="C43" s="93" t="s">
        <v>304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5" thickBot="1" x14ac:dyDescent="0.3">
      <c r="A45" s="93"/>
      <c r="B45" s="93" t="s">
        <v>134</v>
      </c>
      <c r="C45" s="93" t="s">
        <v>8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5" thickBot="1" x14ac:dyDescent="0.3">
      <c r="A47" s="93"/>
      <c r="B47" s="93" t="s">
        <v>135</v>
      </c>
      <c r="C47" s="93" t="s">
        <v>304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5" thickBot="1" x14ac:dyDescent="0.3">
      <c r="A49" s="93"/>
      <c r="B49" s="93" t="s">
        <v>136</v>
      </c>
      <c r="C49" s="93" t="s">
        <v>125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5" thickBot="1" x14ac:dyDescent="0.3">
      <c r="A51" s="93"/>
      <c r="B51" s="93" t="s">
        <v>137</v>
      </c>
      <c r="C51" s="93" t="s">
        <v>90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25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5" thickBot="1" x14ac:dyDescent="0.3">
      <c r="A53" s="93"/>
      <c r="B53" s="93" t="s">
        <v>138</v>
      </c>
      <c r="C53" s="93" t="s">
        <v>8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25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25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25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25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25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25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25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25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25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25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25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25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25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25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25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25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25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25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25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25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25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25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25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25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25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25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25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25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25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25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25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25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25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25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25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25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25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25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25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25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25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25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25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25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25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25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25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25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25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25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25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25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25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25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25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25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25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25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25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25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25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25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25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25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25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25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25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25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25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25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25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25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25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25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25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25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25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25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25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25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25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25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25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25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25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25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25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25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25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25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25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25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25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25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25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25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25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25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25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25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25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25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25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25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25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25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25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25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25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25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25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25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25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25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25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25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25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25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25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25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25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25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25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25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25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25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25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25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25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25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25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25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25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25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25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25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25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25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25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25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25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25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25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25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25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25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25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25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25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25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25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25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25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25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25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25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25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25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25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25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25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25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25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25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25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25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25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25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25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25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25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25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25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25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25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25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25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25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25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25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25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25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25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25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25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25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25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25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25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25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25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25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25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25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25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25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25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25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25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25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25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25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25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25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25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25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25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25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25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25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25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25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25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25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25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25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25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25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25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25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25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25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25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25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25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25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25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25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25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25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25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25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25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25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25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25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25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25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25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25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25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25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25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25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25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25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25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25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25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25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25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25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25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25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25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25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25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25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25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25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25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25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25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25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25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25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25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25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25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25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25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25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25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25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25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25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25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25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25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25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25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25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25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25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25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25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25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25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25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25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25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25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25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25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25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25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25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25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25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25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25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25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25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25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25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25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25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25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25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25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25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25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25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25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25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25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25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25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25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25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25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25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25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25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25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25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25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25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25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25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25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25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25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25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25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25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25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25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25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25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25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25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25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25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25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25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25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25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25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25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25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25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25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25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25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25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25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25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25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25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25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25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25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25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25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25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25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25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25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25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25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25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25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25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25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25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25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25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25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25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25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25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25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25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25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25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25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25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25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25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25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25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25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25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25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25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25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25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25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25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25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25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25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25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25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25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25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25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25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25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25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25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25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25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25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25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25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25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25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25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25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25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25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25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25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25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25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25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25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25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25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25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25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25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25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25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25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25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25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25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25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25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25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25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25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25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25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25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25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25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25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25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25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25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25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25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25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25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25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25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25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25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25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25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25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25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25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25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25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25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25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25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25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25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25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25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25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25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25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25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25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25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25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25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25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25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25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25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25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25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25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25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25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25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25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25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25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25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25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25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25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25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25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25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25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25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25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25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25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25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25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25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25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25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25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25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25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25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25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25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25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25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25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25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25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25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25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25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25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25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25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25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25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25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25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25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25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25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25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25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25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25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25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25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25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25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25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>
      <selection activeCell="A47" sqref="A47"/>
    </sheetView>
  </sheetViews>
  <sheetFormatPr defaultRowHeight="15.75" x14ac:dyDescent="0.25"/>
  <cols>
    <col min="1" max="3" width="9.140625" style="92"/>
    <col min="4" max="4" width="16" style="92" customWidth="1"/>
    <col min="5" max="5" width="13.7109375" style="92" customWidth="1"/>
    <col min="6" max="6" width="9.140625" style="92"/>
    <col min="7" max="7" width="27.42578125" style="92" customWidth="1"/>
    <col min="8" max="16384" width="9.140625" style="92"/>
  </cols>
  <sheetData>
    <row r="1" spans="1:26" ht="26.25" x14ac:dyDescent="0.4">
      <c r="B1" s="99" t="s">
        <v>325</v>
      </c>
      <c r="C1" s="99"/>
      <c r="D1" s="99"/>
      <c r="E1" s="99" t="s">
        <v>200</v>
      </c>
      <c r="F1" s="99"/>
      <c r="G1" s="99"/>
      <c r="H1" s="99" t="s">
        <v>198</v>
      </c>
    </row>
    <row r="3" spans="1:26" ht="20.25" x14ac:dyDescent="0.3">
      <c r="F3" s="104" t="str">
        <f>Season</f>
        <v>2022/2023</v>
      </c>
    </row>
    <row r="4" spans="1:26" x14ac:dyDescent="0.25">
      <c r="C4" s="92" t="s">
        <v>187</v>
      </c>
    </row>
    <row r="5" spans="1:26" x14ac:dyDescent="0.25">
      <c r="A5" s="93" t="s">
        <v>196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25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5" thickBot="1" x14ac:dyDescent="0.3">
      <c r="A7" s="93"/>
      <c r="B7" s="93" t="s">
        <v>150</v>
      </c>
      <c r="C7" s="93" t="s">
        <v>58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25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5" thickBot="1" x14ac:dyDescent="0.3">
      <c r="A9" s="93"/>
      <c r="B9" s="93" t="s">
        <v>175</v>
      </c>
      <c r="C9" s="93" t="s">
        <v>58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25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5" thickBot="1" x14ac:dyDescent="0.3">
      <c r="A11" s="93"/>
      <c r="B11" s="93" t="s">
        <v>130</v>
      </c>
      <c r="C11" s="93" t="s">
        <v>58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25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5" thickBot="1" x14ac:dyDescent="0.3">
      <c r="A13" s="93"/>
      <c r="B13" s="93" t="s">
        <v>131</v>
      </c>
      <c r="C13" s="93" t="s">
        <v>58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25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5" thickBot="1" x14ac:dyDescent="0.3">
      <c r="A15" s="93"/>
      <c r="B15" s="93" t="s">
        <v>132</v>
      </c>
      <c r="C15" s="93" t="s">
        <v>58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25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25">
      <c r="A17" s="93" t="s">
        <v>197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25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5" thickBot="1" x14ac:dyDescent="0.3">
      <c r="A19" s="93"/>
      <c r="B19" s="93" t="s">
        <v>130</v>
      </c>
      <c r="C19" s="93" t="s">
        <v>13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25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5" thickBot="1" x14ac:dyDescent="0.3">
      <c r="A21" s="93"/>
      <c r="B21" s="93" t="s">
        <v>131</v>
      </c>
      <c r="C21" s="93" t="s">
        <v>13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25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5" thickBot="1" x14ac:dyDescent="0.3">
      <c r="A23" s="93"/>
      <c r="B23" s="93" t="s">
        <v>132</v>
      </c>
      <c r="C23" s="93" t="s">
        <v>13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5" thickBot="1" x14ac:dyDescent="0.3">
      <c r="A25" s="93"/>
      <c r="B25" s="93" t="s">
        <v>133</v>
      </c>
      <c r="C25" s="93" t="s">
        <v>120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25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5" thickBot="1" x14ac:dyDescent="0.3">
      <c r="A27" s="93"/>
      <c r="B27" s="93" t="s">
        <v>134</v>
      </c>
      <c r="C27" s="93" t="s">
        <v>125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25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5" thickBot="1" x14ac:dyDescent="0.3">
      <c r="A29" s="93"/>
      <c r="B29" s="93" t="s">
        <v>135</v>
      </c>
      <c r="C29" s="93" t="s">
        <v>125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25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5" thickBot="1" x14ac:dyDescent="0.3">
      <c r="A31" s="93"/>
      <c r="B31" s="93" t="s">
        <v>136</v>
      </c>
      <c r="C31" s="93" t="s">
        <v>114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5" thickBot="1" x14ac:dyDescent="0.3">
      <c r="A33" s="93"/>
      <c r="B33" s="93" t="s">
        <v>137</v>
      </c>
      <c r="C33" s="93" t="s">
        <v>48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5" thickBot="1" x14ac:dyDescent="0.3">
      <c r="A35" s="93"/>
      <c r="B35" s="93" t="s">
        <v>138</v>
      </c>
      <c r="C35" s="93" t="s">
        <v>119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5" thickBot="1" x14ac:dyDescent="0.3">
      <c r="A37" s="93"/>
      <c r="B37" s="93" t="s">
        <v>139</v>
      </c>
      <c r="C37" s="93" t="s">
        <v>114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25">
      <c r="A39" s="93" t="s">
        <v>199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5" thickBot="1" x14ac:dyDescent="0.3">
      <c r="A41" s="93"/>
      <c r="B41" s="93" t="s">
        <v>132</v>
      </c>
      <c r="C41" s="93" t="s">
        <v>306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5" thickBot="1" x14ac:dyDescent="0.3">
      <c r="A43" s="93"/>
      <c r="B43" s="93" t="s">
        <v>133</v>
      </c>
      <c r="C43" s="93" t="s">
        <v>120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5" thickBot="1" x14ac:dyDescent="0.3">
      <c r="A45" s="93"/>
      <c r="B45" s="93" t="s">
        <v>134</v>
      </c>
      <c r="C45" s="93" t="s">
        <v>13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5" thickBot="1" x14ac:dyDescent="0.3">
      <c r="A47" s="93"/>
      <c r="B47" s="93" t="s">
        <v>135</v>
      </c>
      <c r="C47" s="93" t="s">
        <v>13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5" thickBot="1" x14ac:dyDescent="0.3">
      <c r="A49" s="93"/>
      <c r="B49" s="93" t="s">
        <v>136</v>
      </c>
      <c r="C49" s="93" t="s">
        <v>189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5" thickBot="1" x14ac:dyDescent="0.3">
      <c r="A51" s="93"/>
      <c r="B51" s="93" t="s">
        <v>137</v>
      </c>
      <c r="C51" s="93" t="s">
        <v>114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25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5" thickBot="1" x14ac:dyDescent="0.3">
      <c r="A53" s="93"/>
      <c r="B53" s="93" t="s">
        <v>138</v>
      </c>
      <c r="C53" s="93" t="s">
        <v>32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25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25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25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25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25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25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25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25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25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25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25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25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25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25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25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25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25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25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25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25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25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25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25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25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25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25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25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25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25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25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25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25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25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25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25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25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25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25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25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25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25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25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25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25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25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25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25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25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25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25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25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25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25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25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25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25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25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25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25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25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25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25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25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25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25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25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25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25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25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25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25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25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25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25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25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25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25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25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25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25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25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25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25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25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25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25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25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25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25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25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25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25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25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25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25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25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25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25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25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25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25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25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25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25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25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25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25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25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25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25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25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25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25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25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25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25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25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25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25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25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25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25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25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25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25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25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25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25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25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25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25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25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25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25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25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25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25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25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25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25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25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25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25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25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25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25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25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25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25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25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25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25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25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25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25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25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25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25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25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25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25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25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25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25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25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25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25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25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25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25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25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25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25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25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25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25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25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25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25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25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25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25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25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25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25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25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25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25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25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25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25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25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25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25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25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25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25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25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25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25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25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25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25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25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25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25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25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25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25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25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25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25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25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25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25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25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25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25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25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25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25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25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25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25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25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25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25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25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25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25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25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25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25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25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25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25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25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25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25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25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25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25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25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25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25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25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25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25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25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25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25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25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25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25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25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25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25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25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25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25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25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25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25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25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25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25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25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25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25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25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25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25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25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25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25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25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25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25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25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25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25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25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25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25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25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25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25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25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25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25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25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25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25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25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25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25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25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25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25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25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25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25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25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25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25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25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25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25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25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25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25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25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25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25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25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25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25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25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25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25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25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25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25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25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25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25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25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25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25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25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25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25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25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25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25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25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25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25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25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25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25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25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25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25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25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25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25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25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25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25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25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25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25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25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25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25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25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25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25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25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25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25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25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25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25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25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25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25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25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25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25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25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25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25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25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25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25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25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25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25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25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25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25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25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25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25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25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25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25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25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25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25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25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25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25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25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25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25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25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25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25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25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25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25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25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25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25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25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25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25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25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25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25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25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25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25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25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25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25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25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25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25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25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25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25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25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25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25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25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25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25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25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25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25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25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25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25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25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25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25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25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25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25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25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25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25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25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25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25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25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25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25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25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25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25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25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25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25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25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25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25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25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25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25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25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25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25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25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25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25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25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25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25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25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25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25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25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25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25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25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25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25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25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25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25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25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25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25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25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25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25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25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25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25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25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25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25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25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25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25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25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25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25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25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25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25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25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25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25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25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25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25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25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25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25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25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25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25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25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25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25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25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25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25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25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25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25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25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25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25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25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25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25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25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25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25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25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25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25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25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25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25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25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25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25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25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25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RowHeight="15.75" x14ac:dyDescent="0.25"/>
  <cols>
    <col min="1" max="3" width="9.140625" style="92"/>
    <col min="4" max="4" width="18.28515625" style="92" customWidth="1"/>
    <col min="5" max="6" width="9.140625" style="92"/>
    <col min="7" max="7" width="18.28515625" style="92" customWidth="1"/>
    <col min="8" max="16384" width="9.140625" style="92"/>
  </cols>
  <sheetData>
    <row r="1" spans="1:26" ht="26.25" x14ac:dyDescent="0.4">
      <c r="B1" s="99" t="s">
        <v>201</v>
      </c>
      <c r="C1" s="99"/>
      <c r="D1" s="99"/>
      <c r="E1" s="99" t="s">
        <v>154</v>
      </c>
      <c r="F1" s="99"/>
      <c r="G1" s="99"/>
      <c r="H1" s="99" t="s">
        <v>198</v>
      </c>
    </row>
    <row r="3" spans="1:26" ht="20.25" x14ac:dyDescent="0.3">
      <c r="F3" s="104" t="str">
        <f>Season</f>
        <v>2022/2023</v>
      </c>
    </row>
    <row r="4" spans="1:26" x14ac:dyDescent="0.25">
      <c r="C4" s="92" t="s">
        <v>187</v>
      </c>
    </row>
    <row r="5" spans="1:26" x14ac:dyDescent="0.25">
      <c r="A5" s="93" t="s">
        <v>196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25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5" thickBot="1" x14ac:dyDescent="0.3">
      <c r="A7" s="93"/>
      <c r="B7" s="93" t="s">
        <v>150</v>
      </c>
      <c r="C7" s="93" t="s">
        <v>115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25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5" thickBot="1" x14ac:dyDescent="0.3">
      <c r="A9" s="93"/>
      <c r="B9" s="93" t="s">
        <v>175</v>
      </c>
      <c r="C9" s="93" t="s">
        <v>115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25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5" thickBot="1" x14ac:dyDescent="0.3">
      <c r="A11" s="93"/>
      <c r="B11" s="93" t="s">
        <v>130</v>
      </c>
      <c r="C11" s="93" t="s">
        <v>115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25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5" thickBot="1" x14ac:dyDescent="0.3">
      <c r="A13" s="93"/>
      <c r="B13" s="93" t="s">
        <v>131</v>
      </c>
      <c r="C13" s="93" t="s">
        <v>115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25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5" thickBot="1" x14ac:dyDescent="0.3">
      <c r="A15" s="93"/>
      <c r="B15" s="93" t="s">
        <v>132</v>
      </c>
      <c r="C15" s="93" t="s">
        <v>115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25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25">
      <c r="A17" s="93" t="s">
        <v>197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25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5" thickBot="1" x14ac:dyDescent="0.3">
      <c r="A19" s="93"/>
      <c r="B19" s="93" t="s">
        <v>130</v>
      </c>
      <c r="C19" s="93" t="s">
        <v>115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25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5" thickBot="1" x14ac:dyDescent="0.3">
      <c r="A21" s="93"/>
      <c r="B21" s="93" t="s">
        <v>131</v>
      </c>
      <c r="C21" s="93" t="s">
        <v>115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25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5" thickBot="1" x14ac:dyDescent="0.3">
      <c r="A23" s="93"/>
      <c r="B23" s="93" t="s">
        <v>132</v>
      </c>
      <c r="C23" s="93" t="s">
        <v>115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5" thickBot="1" x14ac:dyDescent="0.3">
      <c r="A25" s="93"/>
      <c r="B25" s="93" t="s">
        <v>133</v>
      </c>
      <c r="C25" s="93" t="s">
        <v>115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25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5" thickBot="1" x14ac:dyDescent="0.3">
      <c r="A27" s="93"/>
      <c r="B27" s="93" t="s">
        <v>134</v>
      </c>
      <c r="C27" s="93" t="s">
        <v>115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25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5" thickBot="1" x14ac:dyDescent="0.3">
      <c r="A29" s="93"/>
      <c r="B29" s="93" t="s">
        <v>135</v>
      </c>
      <c r="C29" s="93" t="s">
        <v>115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25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5" thickBot="1" x14ac:dyDescent="0.3">
      <c r="A31" s="93"/>
      <c r="B31" s="93" t="s">
        <v>136</v>
      </c>
      <c r="C31" s="93" t="s">
        <v>119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5" thickBot="1" x14ac:dyDescent="0.3">
      <c r="A33" s="93"/>
      <c r="B33" s="93" t="s">
        <v>137</v>
      </c>
      <c r="C33" s="93" t="s">
        <v>115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5" thickBot="1" x14ac:dyDescent="0.3">
      <c r="A35" s="93"/>
      <c r="B35" s="93" t="s">
        <v>138</v>
      </c>
      <c r="C35" s="93" t="s">
        <v>115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5" thickBot="1" x14ac:dyDescent="0.3">
      <c r="A37" s="93"/>
      <c r="B37" s="93" t="s">
        <v>139</v>
      </c>
      <c r="C37" s="93" t="s">
        <v>115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25">
      <c r="A39" s="93" t="s">
        <v>199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5" thickBot="1" x14ac:dyDescent="0.3">
      <c r="A41" s="93"/>
      <c r="B41" s="93" t="s">
        <v>132</v>
      </c>
      <c r="C41" s="93" t="s">
        <v>8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5" thickBot="1" x14ac:dyDescent="0.3">
      <c r="A43" s="93"/>
      <c r="B43" s="93" t="s">
        <v>133</v>
      </c>
      <c r="C43" s="93" t="s">
        <v>109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5" thickBot="1" x14ac:dyDescent="0.3">
      <c r="A45" s="93"/>
      <c r="B45" s="93" t="s">
        <v>134</v>
      </c>
      <c r="C45" s="93" t="s">
        <v>304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5" thickBot="1" x14ac:dyDescent="0.3">
      <c r="A47" s="93"/>
      <c r="B47" s="93" t="s">
        <v>135</v>
      </c>
      <c r="C47" s="93" t="s">
        <v>48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5" thickBot="1" x14ac:dyDescent="0.3">
      <c r="A49" s="93"/>
      <c r="B49" s="93" t="s">
        <v>136</v>
      </c>
      <c r="C49" s="93" t="s">
        <v>19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5" thickBot="1" x14ac:dyDescent="0.3">
      <c r="A51" s="93"/>
      <c r="B51" s="93" t="s">
        <v>137</v>
      </c>
      <c r="C51" s="93" t="s">
        <v>114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25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5" thickBot="1" x14ac:dyDescent="0.3">
      <c r="A53" s="93"/>
      <c r="B53" s="93" t="s">
        <v>138</v>
      </c>
      <c r="C53" s="93" t="s">
        <v>48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25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25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25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25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25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25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25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25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25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25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25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25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25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25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25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25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25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25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25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25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25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25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25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25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25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25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25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25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25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25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25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25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25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25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25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25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25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25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25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25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25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25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25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25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25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25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25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25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25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25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25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25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25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25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25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25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25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25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25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25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25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25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25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25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25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25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25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25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25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25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25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25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25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25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25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25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25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25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25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25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25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25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25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25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25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25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25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25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25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25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25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25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25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25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25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25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25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25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25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25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25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25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25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25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25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25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25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25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25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25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25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25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25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25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25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25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25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25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25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25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25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25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25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25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25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25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25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25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25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25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25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25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25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25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25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25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25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25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25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25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25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25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25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25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25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25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25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25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25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25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25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25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25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25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25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25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25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25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25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25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25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25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25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25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25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25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25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25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25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25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25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25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25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25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25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25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25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25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25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25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25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25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25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25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25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25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25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25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25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25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25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25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25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25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25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25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25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25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25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25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25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25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25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25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25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25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25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25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25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25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25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25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25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25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25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25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25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25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25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25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25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25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25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25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25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25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25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25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25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25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25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25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25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25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25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25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25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25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25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25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25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25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25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25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25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25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25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25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25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25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25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25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25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25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25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25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25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25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25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25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25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25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25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25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25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25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25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25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25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25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25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25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25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25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25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25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25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25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25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25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25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25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25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25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25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25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25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25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25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25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25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25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25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25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25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25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25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25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25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25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25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25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25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25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25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25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25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25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25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25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25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25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25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25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25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25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25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25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25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25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25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25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25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25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25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25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25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25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25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25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25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25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25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25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25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25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25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25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25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25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25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25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25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25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25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25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25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25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25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25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25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25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25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25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25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25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25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25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25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25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25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25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25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25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25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25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25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25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25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25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25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25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25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25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25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25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25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25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25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25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25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25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25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25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25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25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25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25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25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25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25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25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25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25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25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25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25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25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25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25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25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25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25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25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25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25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25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25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25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25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25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25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25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25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25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25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25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25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25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25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25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25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25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25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25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25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25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25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25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25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25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25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25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25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25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25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25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25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25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25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25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25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25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25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25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25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25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25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25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25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25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25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25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25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25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25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25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25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25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25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25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25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25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25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25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25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25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25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25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25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25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25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25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25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25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25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25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25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25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25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25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25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25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25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25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25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25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25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25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25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25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25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25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25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25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25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25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25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25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25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25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25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25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25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25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25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25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25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25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25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25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25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25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25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25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25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25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25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25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25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25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25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25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25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25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25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25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25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25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25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25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25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25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25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25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25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25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25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25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25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25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25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25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25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25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25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25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A27" sqref="A27"/>
    </sheetView>
  </sheetViews>
  <sheetFormatPr defaultRowHeight="15.75" x14ac:dyDescent="0.25"/>
  <cols>
    <col min="1" max="3" width="9.140625" style="92"/>
    <col min="4" max="4" width="16" style="92" customWidth="1"/>
    <col min="5" max="5" width="13.7109375" style="92" customWidth="1"/>
    <col min="6" max="6" width="9.140625" style="92"/>
    <col min="7" max="7" width="27.42578125" style="92" customWidth="1"/>
    <col min="8" max="16384" width="9.140625" style="92"/>
  </cols>
  <sheetData>
    <row r="1" spans="1:26" ht="26.25" x14ac:dyDescent="0.4">
      <c r="B1" s="99" t="s">
        <v>201</v>
      </c>
      <c r="C1" s="99"/>
      <c r="D1" s="99"/>
      <c r="E1" s="99" t="s">
        <v>200</v>
      </c>
      <c r="F1" s="99"/>
      <c r="G1" s="99"/>
      <c r="H1" s="99" t="s">
        <v>198</v>
      </c>
    </row>
    <row r="3" spans="1:26" ht="20.25" x14ac:dyDescent="0.3">
      <c r="F3" s="104" t="str">
        <f>Season</f>
        <v>2022/2023</v>
      </c>
    </row>
    <row r="4" spans="1:26" x14ac:dyDescent="0.25">
      <c r="C4" s="92" t="s">
        <v>187</v>
      </c>
    </row>
    <row r="5" spans="1:26" x14ac:dyDescent="0.25">
      <c r="A5" s="93" t="s">
        <v>196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25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5" thickBot="1" x14ac:dyDescent="0.3">
      <c r="A7" s="93"/>
      <c r="B7" s="93" t="s">
        <v>150</v>
      </c>
      <c r="C7" s="93" t="s">
        <v>58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25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5" thickBot="1" x14ac:dyDescent="0.3">
      <c r="A9" s="93"/>
      <c r="B9" s="93" t="s">
        <v>175</v>
      </c>
      <c r="C9" s="93" t="s">
        <v>58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25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5" thickBot="1" x14ac:dyDescent="0.3">
      <c r="A11" s="93"/>
      <c r="B11" s="93" t="s">
        <v>130</v>
      </c>
      <c r="C11" s="93" t="s">
        <v>58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25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5" thickBot="1" x14ac:dyDescent="0.3">
      <c r="A13" s="93"/>
      <c r="B13" s="93" t="s">
        <v>131</v>
      </c>
      <c r="C13" s="93" t="s">
        <v>58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25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5" thickBot="1" x14ac:dyDescent="0.3">
      <c r="A15" s="93"/>
      <c r="B15" s="93" t="s">
        <v>132</v>
      </c>
      <c r="C15" s="93" t="s">
        <v>58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25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25">
      <c r="A17" s="93" t="s">
        <v>197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25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5" thickBot="1" x14ac:dyDescent="0.3">
      <c r="A19" s="93"/>
      <c r="B19" s="93" t="s">
        <v>130</v>
      </c>
      <c r="C19" s="93" t="s">
        <v>297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25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5" thickBot="1" x14ac:dyDescent="0.3">
      <c r="A21" s="93"/>
      <c r="B21" s="93" t="s">
        <v>131</v>
      </c>
      <c r="C21" s="93" t="s">
        <v>297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25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5" thickBot="1" x14ac:dyDescent="0.3">
      <c r="A23" s="93"/>
      <c r="B23" s="93" t="s">
        <v>132</v>
      </c>
      <c r="C23" s="93" t="s">
        <v>114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5" thickBot="1" x14ac:dyDescent="0.3">
      <c r="A25" s="93"/>
      <c r="B25" s="93" t="s">
        <v>133</v>
      </c>
      <c r="C25" s="93" t="s">
        <v>114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25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5" thickBot="1" x14ac:dyDescent="0.3">
      <c r="A27" s="93"/>
      <c r="B27" s="93" t="s">
        <v>134</v>
      </c>
      <c r="C27" s="93" t="s">
        <v>120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25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5" thickBot="1" x14ac:dyDescent="0.3">
      <c r="A29" s="93"/>
      <c r="B29" s="93" t="s">
        <v>135</v>
      </c>
      <c r="C29" s="93" t="s">
        <v>13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25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5" thickBot="1" x14ac:dyDescent="0.3">
      <c r="A31" s="93"/>
      <c r="B31" s="93" t="s">
        <v>136</v>
      </c>
      <c r="C31" s="93" t="s">
        <v>114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5" thickBot="1" x14ac:dyDescent="0.3">
      <c r="A33" s="93"/>
      <c r="B33" s="93" t="s">
        <v>137</v>
      </c>
      <c r="C33" s="93" t="s">
        <v>13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5" thickBot="1" x14ac:dyDescent="0.3">
      <c r="A35" s="93"/>
      <c r="B35" s="93" t="s">
        <v>138</v>
      </c>
      <c r="C35" s="93" t="s">
        <v>71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5" thickBot="1" x14ac:dyDescent="0.3">
      <c r="A37" s="93"/>
      <c r="B37" s="93" t="s">
        <v>139</v>
      </c>
      <c r="C37" s="93" t="s">
        <v>71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25">
      <c r="A39" s="93" t="s">
        <v>199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5" thickBot="1" x14ac:dyDescent="0.3">
      <c r="A41" s="93"/>
      <c r="B41" s="93" t="s">
        <v>132</v>
      </c>
      <c r="C41" s="93" t="s">
        <v>306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5" thickBot="1" x14ac:dyDescent="0.3">
      <c r="A43" s="93"/>
      <c r="B43" s="93" t="s">
        <v>133</v>
      </c>
      <c r="C43" s="93" t="s">
        <v>120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5" thickBot="1" x14ac:dyDescent="0.3">
      <c r="A45" s="93"/>
      <c r="B45" s="93" t="s">
        <v>134</v>
      </c>
      <c r="C45" s="93" t="s">
        <v>118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5" thickBot="1" x14ac:dyDescent="0.3">
      <c r="A47" s="93"/>
      <c r="B47" s="93" t="s">
        <v>135</v>
      </c>
      <c r="C47" s="93" t="s">
        <v>32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5" thickBot="1" x14ac:dyDescent="0.3">
      <c r="A49" s="93"/>
      <c r="B49" s="93" t="s">
        <v>136</v>
      </c>
      <c r="C49" s="93" t="s">
        <v>114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5" thickBot="1" x14ac:dyDescent="0.3">
      <c r="A51" s="93"/>
      <c r="B51" s="93" t="s">
        <v>137</v>
      </c>
      <c r="C51" s="93" t="s">
        <v>48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25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5" thickBot="1" x14ac:dyDescent="0.3">
      <c r="A53" s="93"/>
      <c r="B53" s="93" t="s">
        <v>138</v>
      </c>
      <c r="C53" s="93" t="s">
        <v>125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25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25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25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25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25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25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25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25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25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25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25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25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25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25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25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25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25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25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25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25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25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25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25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25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25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25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25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25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25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25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25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25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25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25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25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25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25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25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25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25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25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25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25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25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25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25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25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25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25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25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25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25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25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25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25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25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25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25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25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25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25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25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25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25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25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25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25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25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25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25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25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25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25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25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25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25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25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25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25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25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25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25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25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25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25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25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25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25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25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25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25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25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25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25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25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25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25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25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25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25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25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25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25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25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25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25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25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25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25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25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25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25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25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25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25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25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25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25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25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25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25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25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25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25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25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25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25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25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25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25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25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25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25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25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25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25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25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25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25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25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25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25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25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25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25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25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25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25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25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25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25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25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25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25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25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25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25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25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25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25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25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25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25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25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25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25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25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25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25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25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25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25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25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25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25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25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25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25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25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25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25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25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25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25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25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25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25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25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25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25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25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25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25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25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25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25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25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25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25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25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25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25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25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25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25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25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25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25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25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25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25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25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25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25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25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25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25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25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25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25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25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25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25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25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25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25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25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25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25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25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25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25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25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25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25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25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25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25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25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25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25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25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25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25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25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25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25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25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25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25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25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25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25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25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25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25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25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25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25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25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25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25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25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25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25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25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25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25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25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25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25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25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25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25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25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25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25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25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25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25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25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25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25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25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25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25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25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25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25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25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25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25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25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25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25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25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25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25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25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25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25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25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25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25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25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25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25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25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25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25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25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25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25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25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25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25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25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25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25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25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25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25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25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25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25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25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25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25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25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25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25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25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25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25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25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25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25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25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25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25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25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25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25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25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25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25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25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25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25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25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25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25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25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25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25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25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25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25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25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25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25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25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25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25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25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25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25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25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25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25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25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25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25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25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25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25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25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25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25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25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25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25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25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25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25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25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25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25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25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25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25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25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25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25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25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25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25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25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25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25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25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25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25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25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25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25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25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25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25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25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25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25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25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25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25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25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25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25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25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25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25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25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25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25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25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25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25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25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25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25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25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25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25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25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25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25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25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25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25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25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25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25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25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25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25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25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25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25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25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25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25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25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25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25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25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25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25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25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25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25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25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25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25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25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25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25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25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25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25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25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25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25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25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25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25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25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25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25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25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25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25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25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25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25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25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25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25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25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25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25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25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25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25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25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25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25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25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25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25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25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25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25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25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25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25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25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25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25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25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25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25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25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25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25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25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25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25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25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25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25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25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25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25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25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25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25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25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25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25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25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25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25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25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25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25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25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25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25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25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25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25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25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25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25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25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25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25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F178"/>
  <sheetViews>
    <sheetView topLeftCell="A139" workbookViewId="0">
      <pane xSplit="19050" topLeftCell="B1"/>
      <selection pane="topRight" activeCell="B43" sqref="B43"/>
    </sheetView>
  </sheetViews>
  <sheetFormatPr defaultRowHeight="12.75" x14ac:dyDescent="0.2"/>
  <cols>
    <col min="1" max="1" width="11.42578125" style="8" customWidth="1"/>
    <col min="2" max="2" width="42.85546875" style="153" customWidth="1"/>
    <col min="3" max="3" width="5.140625" style="153" customWidth="1"/>
    <col min="4" max="28" width="5.140625" customWidth="1"/>
    <col min="29" max="31" width="5.140625" style="153" customWidth="1"/>
    <col min="32" max="32" width="5.140625" customWidth="1"/>
  </cols>
  <sheetData>
    <row r="1" spans="1:32" x14ac:dyDescent="0.2">
      <c r="A1"/>
      <c r="B1"/>
      <c r="C1"/>
    </row>
    <row r="2" spans="1:32" x14ac:dyDescent="0.2">
      <c r="A2"/>
      <c r="B2" t="s">
        <v>257</v>
      </c>
    </row>
    <row r="3" spans="1:32" x14ac:dyDescent="0.2">
      <c r="A3"/>
      <c r="B3"/>
      <c r="C3"/>
    </row>
    <row r="4" spans="1:32" ht="18.75" thickBot="1" x14ac:dyDescent="0.3">
      <c r="B4" s="154" t="s">
        <v>241</v>
      </c>
    </row>
    <row r="5" spans="1:32" ht="65.25" x14ac:dyDescent="0.25">
      <c r="A5" s="155"/>
      <c r="B5" s="156" t="s">
        <v>346</v>
      </c>
      <c r="C5" s="157" t="s">
        <v>4</v>
      </c>
      <c r="D5" s="158" t="s">
        <v>27</v>
      </c>
      <c r="E5" s="158" t="s">
        <v>109</v>
      </c>
      <c r="F5" s="158" t="s">
        <v>71</v>
      </c>
      <c r="G5" s="158" t="s">
        <v>19</v>
      </c>
      <c r="H5" s="158" t="s">
        <v>304</v>
      </c>
      <c r="I5" s="158" t="s">
        <v>48</v>
      </c>
      <c r="J5" s="158" t="s">
        <v>39</v>
      </c>
      <c r="K5" s="158" t="s">
        <v>114</v>
      </c>
      <c r="L5" s="158" t="s">
        <v>24</v>
      </c>
      <c r="M5" s="158" t="s">
        <v>115</v>
      </c>
      <c r="N5" s="158" t="s">
        <v>189</v>
      </c>
      <c r="O5" s="158" t="s">
        <v>32</v>
      </c>
      <c r="P5" s="158" t="s">
        <v>125</v>
      </c>
      <c r="Q5" s="158" t="s">
        <v>116</v>
      </c>
      <c r="R5" s="158" t="s">
        <v>118</v>
      </c>
      <c r="S5" s="158" t="s">
        <v>119</v>
      </c>
      <c r="T5" s="158" t="s">
        <v>50</v>
      </c>
      <c r="U5" s="158" t="s">
        <v>120</v>
      </c>
      <c r="V5" s="158" t="s">
        <v>13</v>
      </c>
      <c r="W5" s="158" t="s">
        <v>90</v>
      </c>
      <c r="X5" s="158" t="s">
        <v>58</v>
      </c>
      <c r="Y5" s="158" t="s">
        <v>297</v>
      </c>
      <c r="Z5" s="158" t="s">
        <v>8</v>
      </c>
      <c r="AA5" s="158" t="s">
        <v>306</v>
      </c>
      <c r="AB5" s="158" t="s">
        <v>29</v>
      </c>
      <c r="AC5" s="157" t="s">
        <v>53</v>
      </c>
      <c r="AD5" s="157" t="s">
        <v>16</v>
      </c>
      <c r="AE5" s="157" t="s">
        <v>142</v>
      </c>
      <c r="AF5" s="211" t="s">
        <v>245</v>
      </c>
    </row>
    <row r="6" spans="1:32" x14ac:dyDescent="0.2">
      <c r="A6" s="159" t="s">
        <v>6</v>
      </c>
      <c r="B6" s="160" t="s">
        <v>7</v>
      </c>
      <c r="C6" s="160">
        <v>4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>
        <v>4</v>
      </c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160"/>
      <c r="AD6" s="160"/>
      <c r="AE6" s="160">
        <v>4</v>
      </c>
      <c r="AF6" s="212">
        <v>0</v>
      </c>
    </row>
    <row r="7" spans="1:32" x14ac:dyDescent="0.2">
      <c r="A7" s="159" t="s">
        <v>9</v>
      </c>
      <c r="B7" s="160" t="s">
        <v>10</v>
      </c>
      <c r="C7" s="160">
        <v>2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>
        <v>2</v>
      </c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160"/>
      <c r="AD7" s="160"/>
      <c r="AE7" s="160">
        <v>2</v>
      </c>
      <c r="AF7" s="212">
        <v>0</v>
      </c>
    </row>
    <row r="8" spans="1:32" x14ac:dyDescent="0.2">
      <c r="A8" s="159" t="s">
        <v>11</v>
      </c>
      <c r="B8" s="160" t="s">
        <v>12</v>
      </c>
      <c r="C8" s="160">
        <v>2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>
        <v>2</v>
      </c>
      <c r="W8" s="27"/>
      <c r="X8" s="27"/>
      <c r="Y8" s="27"/>
      <c r="Z8" s="27"/>
      <c r="AA8" s="27"/>
      <c r="AB8" s="27"/>
      <c r="AC8" s="160"/>
      <c r="AD8" s="160"/>
      <c r="AE8" s="160">
        <v>2</v>
      </c>
      <c r="AF8" s="212">
        <v>0</v>
      </c>
    </row>
    <row r="9" spans="1:32" x14ac:dyDescent="0.2">
      <c r="A9" s="159" t="s">
        <v>14</v>
      </c>
      <c r="B9" s="160" t="s">
        <v>15</v>
      </c>
      <c r="C9" s="160">
        <v>2</v>
      </c>
      <c r="D9" s="27"/>
      <c r="E9" s="27"/>
      <c r="F9" s="27"/>
      <c r="G9" s="27"/>
      <c r="H9" s="27"/>
      <c r="I9" s="27"/>
      <c r="J9" s="27"/>
      <c r="K9" s="27"/>
      <c r="L9" s="27"/>
      <c r="M9" s="27">
        <v>2</v>
      </c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160"/>
      <c r="AD9" s="160"/>
      <c r="AE9" s="160">
        <v>2</v>
      </c>
      <c r="AF9" s="212">
        <v>0</v>
      </c>
    </row>
    <row r="10" spans="1:32" x14ac:dyDescent="0.2">
      <c r="A10" s="159" t="s">
        <v>17</v>
      </c>
      <c r="B10" s="160" t="s">
        <v>18</v>
      </c>
      <c r="C10" s="160">
        <v>6</v>
      </c>
      <c r="D10" s="27"/>
      <c r="E10" s="27"/>
      <c r="F10" s="27"/>
      <c r="G10" s="27">
        <v>6</v>
      </c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160"/>
      <c r="AD10" s="160"/>
      <c r="AE10" s="160">
        <v>6</v>
      </c>
      <c r="AF10" s="212">
        <v>0</v>
      </c>
    </row>
    <row r="11" spans="1:32" x14ac:dyDescent="0.2">
      <c r="A11" s="159" t="s">
        <v>20</v>
      </c>
      <c r="B11" s="160" t="s">
        <v>21</v>
      </c>
      <c r="C11" s="160">
        <v>4</v>
      </c>
      <c r="D11" s="27"/>
      <c r="E11" s="27"/>
      <c r="F11" s="27"/>
      <c r="G11" s="27">
        <v>4</v>
      </c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160"/>
      <c r="AD11" s="160"/>
      <c r="AE11" s="160">
        <v>4</v>
      </c>
      <c r="AF11" s="212">
        <v>0</v>
      </c>
    </row>
    <row r="12" spans="1:32" x14ac:dyDescent="0.2">
      <c r="A12" s="159" t="s">
        <v>22</v>
      </c>
      <c r="B12" s="160" t="s">
        <v>23</v>
      </c>
      <c r="C12" s="160">
        <v>7</v>
      </c>
      <c r="D12" s="27">
        <v>7</v>
      </c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160"/>
      <c r="AD12" s="160"/>
      <c r="AE12" s="160">
        <v>7</v>
      </c>
      <c r="AF12" s="212">
        <v>0</v>
      </c>
    </row>
    <row r="13" spans="1:32" x14ac:dyDescent="0.2">
      <c r="A13" s="159" t="s">
        <v>25</v>
      </c>
      <c r="B13" s="160" t="s">
        <v>26</v>
      </c>
      <c r="C13" s="160">
        <v>2</v>
      </c>
      <c r="D13" s="27">
        <v>2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160"/>
      <c r="AD13" s="160"/>
      <c r="AE13" s="160">
        <v>2</v>
      </c>
      <c r="AF13" s="212">
        <v>0</v>
      </c>
    </row>
    <row r="14" spans="1:32" x14ac:dyDescent="0.2">
      <c r="A14" s="159" t="s">
        <v>291</v>
      </c>
      <c r="B14" s="160" t="s">
        <v>292</v>
      </c>
      <c r="C14" s="160">
        <v>8</v>
      </c>
      <c r="D14" s="27">
        <v>8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160"/>
      <c r="AD14" s="160"/>
      <c r="AE14" s="160">
        <v>8</v>
      </c>
      <c r="AF14" s="212">
        <v>0</v>
      </c>
    </row>
    <row r="15" spans="1:32" x14ac:dyDescent="0.2">
      <c r="A15" s="159" t="s">
        <v>28</v>
      </c>
      <c r="B15" s="160" t="s">
        <v>288</v>
      </c>
      <c r="C15" s="160">
        <v>2</v>
      </c>
      <c r="D15" s="27"/>
      <c r="E15" s="27"/>
      <c r="F15" s="27"/>
      <c r="G15" s="27"/>
      <c r="H15" s="27"/>
      <c r="I15" s="27">
        <v>2</v>
      </c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160"/>
      <c r="AD15" s="160"/>
      <c r="AE15" s="160">
        <v>2</v>
      </c>
      <c r="AF15" s="212">
        <v>0</v>
      </c>
    </row>
    <row r="16" spans="1:32" x14ac:dyDescent="0.2">
      <c r="A16" s="159" t="s">
        <v>30</v>
      </c>
      <c r="B16" s="160" t="s">
        <v>31</v>
      </c>
      <c r="C16" s="160">
        <v>3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>
        <v>3</v>
      </c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160"/>
      <c r="AD16" s="160"/>
      <c r="AE16" s="160">
        <v>3</v>
      </c>
      <c r="AF16" s="212">
        <v>0</v>
      </c>
    </row>
    <row r="17" spans="1:32" x14ac:dyDescent="0.2">
      <c r="A17" s="159" t="s">
        <v>33</v>
      </c>
      <c r="B17" s="160" t="s">
        <v>34</v>
      </c>
      <c r="C17" s="160">
        <v>4</v>
      </c>
      <c r="D17" s="27"/>
      <c r="E17" s="27"/>
      <c r="F17" s="27"/>
      <c r="G17" s="27"/>
      <c r="H17" s="27"/>
      <c r="I17" s="27"/>
      <c r="J17" s="27">
        <v>4</v>
      </c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160"/>
      <c r="AD17" s="160"/>
      <c r="AE17" s="160">
        <v>4</v>
      </c>
      <c r="AF17" s="212">
        <v>0</v>
      </c>
    </row>
    <row r="18" spans="1:32" x14ac:dyDescent="0.2">
      <c r="A18" s="159" t="s">
        <v>35</v>
      </c>
      <c r="B18" s="160" t="s">
        <v>36</v>
      </c>
      <c r="C18" s="160">
        <v>8</v>
      </c>
      <c r="D18" s="27"/>
      <c r="E18" s="27"/>
      <c r="F18" s="27"/>
      <c r="G18" s="27"/>
      <c r="H18" s="27"/>
      <c r="I18" s="27"/>
      <c r="J18" s="27">
        <v>8</v>
      </c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160"/>
      <c r="AD18" s="160"/>
      <c r="AE18" s="160">
        <v>8</v>
      </c>
      <c r="AF18" s="212">
        <v>0</v>
      </c>
    </row>
    <row r="19" spans="1:32" x14ac:dyDescent="0.2">
      <c r="A19" s="159" t="s">
        <v>37</v>
      </c>
      <c r="B19" s="160" t="s">
        <v>38</v>
      </c>
      <c r="C19" s="160">
        <v>4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>
        <v>4</v>
      </c>
      <c r="AC19" s="160"/>
      <c r="AD19" s="160"/>
      <c r="AE19" s="160">
        <v>4</v>
      </c>
      <c r="AF19" s="212">
        <v>0</v>
      </c>
    </row>
    <row r="20" spans="1:32" x14ac:dyDescent="0.2">
      <c r="A20" s="159" t="s">
        <v>40</v>
      </c>
      <c r="B20" s="160" t="s">
        <v>41</v>
      </c>
      <c r="C20" s="160">
        <v>12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>
        <v>12</v>
      </c>
      <c r="AA20" s="27"/>
      <c r="AB20" s="27"/>
      <c r="AC20" s="160"/>
      <c r="AD20" s="160"/>
      <c r="AE20" s="160">
        <v>12</v>
      </c>
      <c r="AF20" s="212">
        <v>0</v>
      </c>
    </row>
    <row r="21" spans="1:32" x14ac:dyDescent="0.2">
      <c r="A21" s="159" t="s">
        <v>42</v>
      </c>
      <c r="B21" s="160" t="s">
        <v>43</v>
      </c>
      <c r="C21" s="160">
        <v>5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>
        <v>5</v>
      </c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160"/>
      <c r="AD21" s="160"/>
      <c r="AE21" s="160">
        <v>5</v>
      </c>
      <c r="AF21" s="212">
        <v>0</v>
      </c>
    </row>
    <row r="22" spans="1:32" x14ac:dyDescent="0.2">
      <c r="A22" s="159" t="s">
        <v>44</v>
      </c>
      <c r="B22" s="160" t="s">
        <v>45</v>
      </c>
      <c r="C22" s="160">
        <v>5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>
        <v>5</v>
      </c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160"/>
      <c r="AD22" s="160"/>
      <c r="AE22" s="160">
        <v>5</v>
      </c>
      <c r="AF22" s="212">
        <v>0</v>
      </c>
    </row>
    <row r="23" spans="1:32" x14ac:dyDescent="0.2">
      <c r="A23" s="159" t="s">
        <v>46</v>
      </c>
      <c r="B23" s="160" t="s">
        <v>47</v>
      </c>
      <c r="C23" s="160">
        <v>21</v>
      </c>
      <c r="D23" s="27"/>
      <c r="E23" s="27"/>
      <c r="F23" s="27"/>
      <c r="G23" s="27"/>
      <c r="H23" s="27"/>
      <c r="I23" s="27">
        <v>21</v>
      </c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160"/>
      <c r="AD23" s="160"/>
      <c r="AE23" s="160">
        <v>21</v>
      </c>
      <c r="AF23" s="212">
        <v>0</v>
      </c>
    </row>
    <row r="24" spans="1:32" x14ac:dyDescent="0.2">
      <c r="A24" s="159" t="s">
        <v>49</v>
      </c>
      <c r="B24" s="160" t="s">
        <v>96</v>
      </c>
      <c r="C24" s="160">
        <v>6</v>
      </c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>
        <v>6</v>
      </c>
      <c r="AA24" s="27"/>
      <c r="AB24" s="27"/>
      <c r="AC24" s="160"/>
      <c r="AD24" s="160"/>
      <c r="AE24" s="160">
        <v>6</v>
      </c>
      <c r="AF24" s="212">
        <v>0</v>
      </c>
    </row>
    <row r="25" spans="1:32" x14ac:dyDescent="0.2">
      <c r="A25" s="159" t="s">
        <v>51</v>
      </c>
      <c r="B25" s="160" t="s">
        <v>52</v>
      </c>
      <c r="C25" s="160">
        <v>4</v>
      </c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>
        <v>4</v>
      </c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160"/>
      <c r="AD25" s="160"/>
      <c r="AE25" s="160">
        <v>4</v>
      </c>
      <c r="AF25" s="212">
        <v>0</v>
      </c>
    </row>
    <row r="26" spans="1:32" x14ac:dyDescent="0.2">
      <c r="A26" s="159" t="s">
        <v>54</v>
      </c>
      <c r="B26" s="160" t="s">
        <v>290</v>
      </c>
      <c r="C26" s="160">
        <v>9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>
        <v>9</v>
      </c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160"/>
      <c r="AD26" s="160"/>
      <c r="AE26" s="160">
        <v>9</v>
      </c>
      <c r="AF26" s="212">
        <v>0</v>
      </c>
    </row>
    <row r="27" spans="1:32" x14ac:dyDescent="0.2">
      <c r="A27" s="159" t="s">
        <v>294</v>
      </c>
      <c r="B27" s="160" t="s">
        <v>296</v>
      </c>
      <c r="C27" s="160">
        <v>4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>
        <v>4</v>
      </c>
      <c r="V27" s="27"/>
      <c r="W27" s="27"/>
      <c r="X27" s="27"/>
      <c r="Y27" s="27"/>
      <c r="Z27" s="27"/>
      <c r="AA27" s="27"/>
      <c r="AB27" s="27"/>
      <c r="AC27" s="160"/>
      <c r="AD27" s="160"/>
      <c r="AE27" s="160">
        <v>4</v>
      </c>
      <c r="AF27" s="212">
        <v>0</v>
      </c>
    </row>
    <row r="28" spans="1:32" x14ac:dyDescent="0.2">
      <c r="A28" s="159" t="s">
        <v>56</v>
      </c>
      <c r="B28" s="160" t="s">
        <v>57</v>
      </c>
      <c r="C28" s="160">
        <v>1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>
        <v>1</v>
      </c>
      <c r="Y28" s="27"/>
      <c r="Z28" s="27"/>
      <c r="AA28" s="27"/>
      <c r="AB28" s="27"/>
      <c r="AC28" s="160"/>
      <c r="AD28" s="160"/>
      <c r="AE28" s="160">
        <v>1</v>
      </c>
      <c r="AF28" s="212">
        <v>0</v>
      </c>
    </row>
    <row r="29" spans="1:32" x14ac:dyDescent="0.2">
      <c r="A29" s="159" t="s">
        <v>59</v>
      </c>
      <c r="B29" s="160" t="s">
        <v>60</v>
      </c>
      <c r="C29" s="160">
        <v>4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>
        <v>4</v>
      </c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160"/>
      <c r="AD29" s="160"/>
      <c r="AE29" s="160">
        <v>4</v>
      </c>
      <c r="AF29" s="212">
        <v>0</v>
      </c>
    </row>
    <row r="30" spans="1:32" x14ac:dyDescent="0.2">
      <c r="A30" s="159" t="s">
        <v>61</v>
      </c>
      <c r="B30" s="160" t="s">
        <v>62</v>
      </c>
      <c r="C30" s="160">
        <v>1</v>
      </c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>
        <v>1</v>
      </c>
      <c r="AC30" s="160"/>
      <c r="AD30" s="160"/>
      <c r="AE30" s="160">
        <v>1</v>
      </c>
      <c r="AF30" s="212">
        <v>0</v>
      </c>
    </row>
    <row r="31" spans="1:32" x14ac:dyDescent="0.2">
      <c r="A31" s="159" t="s">
        <v>63</v>
      </c>
      <c r="B31" s="160" t="s">
        <v>64</v>
      </c>
      <c r="C31" s="160">
        <v>2</v>
      </c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>
        <v>2</v>
      </c>
      <c r="Z31" s="27"/>
      <c r="AA31" s="27"/>
      <c r="AB31" s="27"/>
      <c r="AC31" s="160"/>
      <c r="AD31" s="160"/>
      <c r="AE31" s="160">
        <v>2</v>
      </c>
      <c r="AF31" s="212">
        <v>0</v>
      </c>
    </row>
    <row r="32" spans="1:32" x14ac:dyDescent="0.2">
      <c r="A32" s="159" t="s">
        <v>65</v>
      </c>
      <c r="B32" s="160" t="s">
        <v>66</v>
      </c>
      <c r="C32" s="160">
        <v>2</v>
      </c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>
        <v>2</v>
      </c>
      <c r="AB32" s="27"/>
      <c r="AC32" s="160"/>
      <c r="AD32" s="160"/>
      <c r="AE32" s="160">
        <v>2</v>
      </c>
      <c r="AF32" s="212">
        <v>0</v>
      </c>
    </row>
    <row r="33" spans="1:32" x14ac:dyDescent="0.2">
      <c r="A33" s="159" t="s">
        <v>67</v>
      </c>
      <c r="B33" s="160" t="s">
        <v>68</v>
      </c>
      <c r="C33" s="160">
        <v>2</v>
      </c>
      <c r="D33" s="27"/>
      <c r="E33" s="27"/>
      <c r="F33" s="27"/>
      <c r="G33" s="27"/>
      <c r="H33" s="27"/>
      <c r="I33" s="27"/>
      <c r="J33" s="27">
        <v>2</v>
      </c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160"/>
      <c r="AD33" s="160"/>
      <c r="AE33" s="160">
        <v>2</v>
      </c>
      <c r="AF33" s="212">
        <v>0</v>
      </c>
    </row>
    <row r="34" spans="1:32" x14ac:dyDescent="0.2">
      <c r="A34" s="159" t="s">
        <v>73</v>
      </c>
      <c r="B34" s="160" t="s">
        <v>74</v>
      </c>
      <c r="C34" s="160">
        <v>3</v>
      </c>
      <c r="D34" s="27"/>
      <c r="E34" s="27"/>
      <c r="F34" s="27"/>
      <c r="G34" s="27"/>
      <c r="H34" s="27"/>
      <c r="I34" s="27"/>
      <c r="J34" s="27">
        <v>3</v>
      </c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160"/>
      <c r="AD34" s="160"/>
      <c r="AE34" s="160">
        <v>3</v>
      </c>
      <c r="AF34" s="212">
        <v>0</v>
      </c>
    </row>
    <row r="35" spans="1:32" x14ac:dyDescent="0.2">
      <c r="A35" s="159" t="s">
        <v>103</v>
      </c>
      <c r="B35" s="160" t="s">
        <v>239</v>
      </c>
      <c r="C35" s="160">
        <v>3</v>
      </c>
      <c r="D35" s="27"/>
      <c r="E35" s="27"/>
      <c r="F35" s="27"/>
      <c r="G35" s="27"/>
      <c r="H35" s="27"/>
      <c r="I35" s="27">
        <v>3</v>
      </c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160"/>
      <c r="AD35" s="160"/>
      <c r="AE35" s="160">
        <v>3</v>
      </c>
      <c r="AF35" s="212">
        <v>0</v>
      </c>
    </row>
    <row r="36" spans="1:32" x14ac:dyDescent="0.2">
      <c r="A36" s="159" t="s">
        <v>272</v>
      </c>
      <c r="B36" s="160" t="s">
        <v>273</v>
      </c>
      <c r="C36" s="160">
        <v>1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>
        <v>1</v>
      </c>
      <c r="T36" s="27"/>
      <c r="U36" s="27"/>
      <c r="V36" s="27"/>
      <c r="W36" s="27"/>
      <c r="X36" s="27"/>
      <c r="Y36" s="27"/>
      <c r="Z36" s="27"/>
      <c r="AA36" s="27"/>
      <c r="AB36" s="27"/>
      <c r="AC36" s="160"/>
      <c r="AD36" s="160"/>
      <c r="AE36" s="160">
        <v>1</v>
      </c>
      <c r="AF36" s="212">
        <v>0</v>
      </c>
    </row>
    <row r="37" spans="1:32" x14ac:dyDescent="0.2">
      <c r="A37" s="159" t="s">
        <v>274</v>
      </c>
      <c r="B37" s="160" t="s">
        <v>275</v>
      </c>
      <c r="C37" s="160">
        <v>1</v>
      </c>
      <c r="D37" s="27"/>
      <c r="E37" s="27">
        <v>1</v>
      </c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160"/>
      <c r="AD37" s="160"/>
      <c r="AE37" s="160">
        <v>1</v>
      </c>
      <c r="AF37" s="212">
        <v>0</v>
      </c>
    </row>
    <row r="38" spans="1:32" x14ac:dyDescent="0.2">
      <c r="A38" s="159"/>
      <c r="B38" s="160"/>
      <c r="C38" s="160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160"/>
      <c r="AD38" s="160"/>
      <c r="AE38" s="160"/>
      <c r="AF38" s="212"/>
    </row>
    <row r="39" spans="1:32" ht="13.5" thickBot="1" x14ac:dyDescent="0.25">
      <c r="A39" s="161"/>
      <c r="B39" s="162" t="s">
        <v>246</v>
      </c>
      <c r="C39" s="163">
        <v>144</v>
      </c>
      <c r="D39" s="120">
        <v>17</v>
      </c>
      <c r="E39" s="120">
        <v>1</v>
      </c>
      <c r="F39" s="120">
        <v>0</v>
      </c>
      <c r="G39" s="120">
        <v>10</v>
      </c>
      <c r="H39" s="120">
        <v>0</v>
      </c>
      <c r="I39" s="120">
        <v>26</v>
      </c>
      <c r="J39" s="120">
        <v>17</v>
      </c>
      <c r="K39" s="120">
        <v>0</v>
      </c>
      <c r="L39" s="120">
        <v>0</v>
      </c>
      <c r="M39" s="120">
        <v>2</v>
      </c>
      <c r="N39" s="120">
        <v>6</v>
      </c>
      <c r="O39" s="120">
        <v>13</v>
      </c>
      <c r="P39" s="120">
        <v>0</v>
      </c>
      <c r="Q39" s="120">
        <v>17</v>
      </c>
      <c r="R39" s="120">
        <v>0</v>
      </c>
      <c r="S39" s="120">
        <v>1</v>
      </c>
      <c r="T39" s="120">
        <v>0</v>
      </c>
      <c r="U39" s="120">
        <v>4</v>
      </c>
      <c r="V39" s="120">
        <v>2</v>
      </c>
      <c r="W39" s="120">
        <v>0</v>
      </c>
      <c r="X39" s="120">
        <v>1</v>
      </c>
      <c r="Y39" s="120">
        <v>2</v>
      </c>
      <c r="Z39" s="120">
        <v>18</v>
      </c>
      <c r="AA39" s="120">
        <v>2</v>
      </c>
      <c r="AB39" s="120">
        <v>5</v>
      </c>
      <c r="AC39" s="163">
        <v>0</v>
      </c>
      <c r="AD39" s="163">
        <v>0</v>
      </c>
      <c r="AE39" s="163">
        <v>144</v>
      </c>
      <c r="AF39" s="213">
        <v>0</v>
      </c>
    </row>
    <row r="43" spans="1:32" ht="18.75" thickBot="1" x14ac:dyDescent="0.3">
      <c r="B43" s="154" t="s">
        <v>242</v>
      </c>
    </row>
    <row r="44" spans="1:32" ht="65.25" x14ac:dyDescent="0.25">
      <c r="A44" s="155"/>
      <c r="B44" s="156" t="s">
        <v>346</v>
      </c>
      <c r="C44" s="157" t="s">
        <v>4</v>
      </c>
      <c r="D44" s="158" t="s">
        <v>27</v>
      </c>
      <c r="E44" s="158" t="s">
        <v>109</v>
      </c>
      <c r="F44" s="158" t="s">
        <v>71</v>
      </c>
      <c r="G44" s="158" t="s">
        <v>19</v>
      </c>
      <c r="H44" s="158" t="s">
        <v>304</v>
      </c>
      <c r="I44" s="158" t="s">
        <v>48</v>
      </c>
      <c r="J44" s="158" t="s">
        <v>39</v>
      </c>
      <c r="K44" s="158" t="s">
        <v>114</v>
      </c>
      <c r="L44" s="158" t="s">
        <v>24</v>
      </c>
      <c r="M44" s="158" t="s">
        <v>115</v>
      </c>
      <c r="N44" s="158" t="s">
        <v>189</v>
      </c>
      <c r="O44" s="158" t="s">
        <v>32</v>
      </c>
      <c r="P44" s="158" t="s">
        <v>125</v>
      </c>
      <c r="Q44" s="158" t="s">
        <v>116</v>
      </c>
      <c r="R44" s="158" t="s">
        <v>118</v>
      </c>
      <c r="S44" s="158" t="s">
        <v>119</v>
      </c>
      <c r="T44" s="158" t="s">
        <v>50</v>
      </c>
      <c r="U44" s="158" t="s">
        <v>120</v>
      </c>
      <c r="V44" s="158" t="s">
        <v>13</v>
      </c>
      <c r="W44" s="158" t="s">
        <v>90</v>
      </c>
      <c r="X44" s="158" t="s">
        <v>58</v>
      </c>
      <c r="Y44" s="158" t="s">
        <v>297</v>
      </c>
      <c r="Z44" s="158" t="s">
        <v>8</v>
      </c>
      <c r="AA44" s="158" t="s">
        <v>306</v>
      </c>
      <c r="AB44" s="158" t="s">
        <v>29</v>
      </c>
      <c r="AC44" s="157" t="s">
        <v>53</v>
      </c>
      <c r="AD44" s="157" t="s">
        <v>16</v>
      </c>
      <c r="AE44" s="157" t="s">
        <v>142</v>
      </c>
      <c r="AF44" s="211" t="s">
        <v>245</v>
      </c>
    </row>
    <row r="45" spans="1:32" x14ac:dyDescent="0.2">
      <c r="A45" s="159" t="s">
        <v>69</v>
      </c>
      <c r="B45" s="160" t="s">
        <v>129</v>
      </c>
      <c r="C45" s="160"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160"/>
      <c r="AD45" s="160"/>
      <c r="AE45" s="160">
        <v>0</v>
      </c>
      <c r="AF45" s="212">
        <v>0</v>
      </c>
    </row>
    <row r="46" spans="1:32" x14ac:dyDescent="0.2">
      <c r="A46" s="159" t="s">
        <v>70</v>
      </c>
      <c r="B46" s="160" t="s">
        <v>210</v>
      </c>
      <c r="C46" s="160"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160"/>
      <c r="AD46" s="160"/>
      <c r="AE46" s="160">
        <v>0</v>
      </c>
      <c r="AF46" s="212">
        <v>0</v>
      </c>
    </row>
    <row r="47" spans="1:32" x14ac:dyDescent="0.2">
      <c r="A47" s="159" t="s">
        <v>72</v>
      </c>
      <c r="B47" s="160" t="s">
        <v>203</v>
      </c>
      <c r="C47" s="160">
        <v>5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>
        <v>5</v>
      </c>
      <c r="U47" s="27"/>
      <c r="V47" s="27"/>
      <c r="W47" s="27"/>
      <c r="X47" s="27"/>
      <c r="Y47" s="27"/>
      <c r="Z47" s="27"/>
      <c r="AA47" s="27"/>
      <c r="AB47" s="27"/>
      <c r="AC47" s="160"/>
      <c r="AD47" s="160"/>
      <c r="AE47" s="160">
        <v>5</v>
      </c>
      <c r="AF47" s="212">
        <v>0</v>
      </c>
    </row>
    <row r="48" spans="1:32" x14ac:dyDescent="0.2">
      <c r="A48" s="159" t="s">
        <v>77</v>
      </c>
      <c r="B48" s="160" t="s">
        <v>213</v>
      </c>
      <c r="C48" s="160">
        <v>6</v>
      </c>
      <c r="D48" s="27"/>
      <c r="E48" s="27"/>
      <c r="F48" s="27"/>
      <c r="G48" s="27"/>
      <c r="H48" s="27"/>
      <c r="I48" s="27"/>
      <c r="J48" s="27"/>
      <c r="K48" s="27">
        <v>1</v>
      </c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>
        <v>1</v>
      </c>
      <c r="Y48" s="27"/>
      <c r="Z48" s="27">
        <v>2</v>
      </c>
      <c r="AA48" s="27"/>
      <c r="AB48" s="27"/>
      <c r="AC48" s="160">
        <v>2</v>
      </c>
      <c r="AD48" s="160"/>
      <c r="AE48" s="160">
        <v>6</v>
      </c>
      <c r="AF48" s="212">
        <v>0</v>
      </c>
    </row>
    <row r="49" spans="1:32" x14ac:dyDescent="0.2">
      <c r="A49" s="159" t="s">
        <v>327</v>
      </c>
      <c r="B49" s="160" t="s">
        <v>328</v>
      </c>
      <c r="C49" s="160">
        <v>18</v>
      </c>
      <c r="D49" s="27">
        <v>2</v>
      </c>
      <c r="E49" s="27">
        <v>3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>
        <v>3</v>
      </c>
      <c r="S49" s="27">
        <v>1</v>
      </c>
      <c r="T49" s="27"/>
      <c r="U49" s="27">
        <v>2</v>
      </c>
      <c r="V49" s="27">
        <v>2</v>
      </c>
      <c r="W49" s="27"/>
      <c r="X49" s="27">
        <v>2</v>
      </c>
      <c r="Y49" s="27"/>
      <c r="Z49" s="27"/>
      <c r="AA49" s="27"/>
      <c r="AB49" s="27">
        <v>1</v>
      </c>
      <c r="AC49" s="160">
        <v>2</v>
      </c>
      <c r="AD49" s="160"/>
      <c r="AE49" s="160">
        <v>18</v>
      </c>
      <c r="AF49" s="212">
        <v>0</v>
      </c>
    </row>
    <row r="50" spans="1:32" x14ac:dyDescent="0.2">
      <c r="A50" s="159" t="s">
        <v>144</v>
      </c>
      <c r="B50" s="160" t="s">
        <v>222</v>
      </c>
      <c r="C50" s="160">
        <v>3</v>
      </c>
      <c r="D50" s="27"/>
      <c r="E50" s="27"/>
      <c r="F50" s="27"/>
      <c r="G50" s="27">
        <v>1</v>
      </c>
      <c r="H50" s="27"/>
      <c r="I50" s="27"/>
      <c r="J50" s="27"/>
      <c r="K50" s="27"/>
      <c r="L50" s="27"/>
      <c r="M50" s="27"/>
      <c r="N50" s="27"/>
      <c r="O50" s="27"/>
      <c r="P50" s="27">
        <v>1</v>
      </c>
      <c r="Q50" s="27"/>
      <c r="R50" s="27"/>
      <c r="S50" s="27"/>
      <c r="T50" s="27"/>
      <c r="U50" s="27">
        <v>1</v>
      </c>
      <c r="V50" s="27"/>
      <c r="W50" s="27"/>
      <c r="X50" s="27"/>
      <c r="Y50" s="27"/>
      <c r="Z50" s="27"/>
      <c r="AA50" s="27"/>
      <c r="AB50" s="27"/>
      <c r="AC50" s="160"/>
      <c r="AD50" s="160"/>
      <c r="AE50" s="160">
        <v>3</v>
      </c>
      <c r="AF50" s="212">
        <v>0</v>
      </c>
    </row>
    <row r="51" spans="1:32" x14ac:dyDescent="0.2">
      <c r="A51" s="159" t="s">
        <v>143</v>
      </c>
      <c r="B51" s="160" t="s">
        <v>223</v>
      </c>
      <c r="C51" s="160">
        <v>1</v>
      </c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>
        <v>1</v>
      </c>
      <c r="Y51" s="27"/>
      <c r="Z51" s="27"/>
      <c r="AA51" s="27"/>
      <c r="AB51" s="27"/>
      <c r="AC51" s="160"/>
      <c r="AD51" s="160"/>
      <c r="AE51" s="160">
        <v>1</v>
      </c>
      <c r="AF51" s="212">
        <v>0</v>
      </c>
    </row>
    <row r="52" spans="1:32" x14ac:dyDescent="0.2">
      <c r="A52" s="159" t="s">
        <v>145</v>
      </c>
      <c r="B52" s="160" t="s">
        <v>224</v>
      </c>
      <c r="C52" s="160">
        <v>3</v>
      </c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>
        <v>2</v>
      </c>
      <c r="S52" s="27"/>
      <c r="T52" s="27"/>
      <c r="U52" s="27"/>
      <c r="V52" s="27"/>
      <c r="W52" s="27"/>
      <c r="X52" s="27">
        <v>1</v>
      </c>
      <c r="Y52" s="27"/>
      <c r="Z52" s="27"/>
      <c r="AA52" s="27"/>
      <c r="AB52" s="27"/>
      <c r="AC52" s="160"/>
      <c r="AD52" s="160"/>
      <c r="AE52" s="160">
        <v>3</v>
      </c>
      <c r="AF52" s="212">
        <v>0</v>
      </c>
    </row>
    <row r="53" spans="1:32" x14ac:dyDescent="0.2">
      <c r="A53" s="159" t="s">
        <v>146</v>
      </c>
      <c r="B53" s="160" t="s">
        <v>225</v>
      </c>
      <c r="C53" s="160">
        <v>1</v>
      </c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>
        <v>1</v>
      </c>
      <c r="U53" s="27"/>
      <c r="V53" s="27"/>
      <c r="W53" s="27"/>
      <c r="X53" s="27"/>
      <c r="Y53" s="27"/>
      <c r="Z53" s="27"/>
      <c r="AA53" s="27"/>
      <c r="AB53" s="27"/>
      <c r="AC53" s="160"/>
      <c r="AD53" s="160"/>
      <c r="AE53" s="160">
        <v>1</v>
      </c>
      <c r="AF53" s="212">
        <v>0</v>
      </c>
    </row>
    <row r="54" spans="1:32" x14ac:dyDescent="0.2">
      <c r="A54" s="159" t="s">
        <v>173</v>
      </c>
      <c r="B54" s="160" t="s">
        <v>309</v>
      </c>
      <c r="C54" s="160">
        <v>7</v>
      </c>
      <c r="D54" s="27"/>
      <c r="E54" s="27"/>
      <c r="F54" s="27"/>
      <c r="G54" s="27"/>
      <c r="H54" s="27"/>
      <c r="I54" s="27"/>
      <c r="J54" s="27"/>
      <c r="K54" s="27"/>
      <c r="L54" s="27"/>
      <c r="M54" s="27">
        <v>1</v>
      </c>
      <c r="N54" s="27"/>
      <c r="O54" s="27"/>
      <c r="P54" s="27"/>
      <c r="Q54" s="27"/>
      <c r="R54" s="27"/>
      <c r="S54" s="27"/>
      <c r="T54" s="27"/>
      <c r="U54" s="27">
        <v>2</v>
      </c>
      <c r="V54" s="27"/>
      <c r="W54" s="27"/>
      <c r="X54" s="27"/>
      <c r="Y54" s="27"/>
      <c r="Z54" s="27"/>
      <c r="AA54" s="27"/>
      <c r="AB54" s="27">
        <v>1</v>
      </c>
      <c r="AC54" s="160">
        <v>3</v>
      </c>
      <c r="AD54" s="160"/>
      <c r="AE54" s="160">
        <v>7</v>
      </c>
      <c r="AF54" s="212">
        <v>0</v>
      </c>
    </row>
    <row r="55" spans="1:32" x14ac:dyDescent="0.2">
      <c r="A55" s="159" t="s">
        <v>174</v>
      </c>
      <c r="B55" s="160" t="s">
        <v>317</v>
      </c>
      <c r="C55" s="160">
        <v>6</v>
      </c>
      <c r="D55" s="27"/>
      <c r="E55" s="27"/>
      <c r="F55" s="27"/>
      <c r="G55" s="27"/>
      <c r="H55" s="27"/>
      <c r="I55" s="27"/>
      <c r="J55" s="27"/>
      <c r="K55" s="27">
        <v>2</v>
      </c>
      <c r="L55" s="27"/>
      <c r="M55" s="27"/>
      <c r="N55" s="27"/>
      <c r="O55" s="27"/>
      <c r="P55" s="27"/>
      <c r="Q55" s="27"/>
      <c r="R55" s="27"/>
      <c r="S55" s="27"/>
      <c r="T55" s="27">
        <v>2</v>
      </c>
      <c r="U55" s="27"/>
      <c r="V55" s="27"/>
      <c r="W55" s="27"/>
      <c r="X55" s="27"/>
      <c r="Y55" s="27"/>
      <c r="Z55" s="27"/>
      <c r="AA55" s="27"/>
      <c r="AB55" s="27">
        <v>2</v>
      </c>
      <c r="AC55" s="160"/>
      <c r="AD55" s="160"/>
      <c r="AE55" s="160">
        <v>6</v>
      </c>
      <c r="AF55" s="212">
        <v>0</v>
      </c>
    </row>
    <row r="56" spans="1:32" x14ac:dyDescent="0.2">
      <c r="A56" s="159" t="s">
        <v>78</v>
      </c>
      <c r="B56" s="160" t="s">
        <v>128</v>
      </c>
      <c r="C56" s="160">
        <v>7</v>
      </c>
      <c r="D56" s="27"/>
      <c r="E56" s="27"/>
      <c r="F56" s="27"/>
      <c r="G56" s="27"/>
      <c r="H56" s="27"/>
      <c r="I56" s="27"/>
      <c r="J56" s="27"/>
      <c r="K56" s="27"/>
      <c r="L56" s="27"/>
      <c r="M56" s="27">
        <v>7</v>
      </c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160"/>
      <c r="AD56" s="160"/>
      <c r="AE56" s="160">
        <v>7</v>
      </c>
      <c r="AF56" s="212">
        <v>0</v>
      </c>
    </row>
    <row r="57" spans="1:32" x14ac:dyDescent="0.2">
      <c r="A57" s="159" t="s">
        <v>79</v>
      </c>
      <c r="B57" s="160" t="s">
        <v>140</v>
      </c>
      <c r="C57" s="160">
        <v>10</v>
      </c>
      <c r="D57" s="27"/>
      <c r="E57" s="27">
        <v>1</v>
      </c>
      <c r="F57" s="27"/>
      <c r="G57" s="27"/>
      <c r="H57" s="27"/>
      <c r="I57" s="27"/>
      <c r="J57" s="27"/>
      <c r="K57" s="27"/>
      <c r="L57" s="27"/>
      <c r="M57" s="27">
        <v>3</v>
      </c>
      <c r="N57" s="27">
        <v>1</v>
      </c>
      <c r="O57" s="27"/>
      <c r="P57" s="27"/>
      <c r="Q57" s="27"/>
      <c r="R57" s="27"/>
      <c r="S57" s="27">
        <v>1</v>
      </c>
      <c r="T57" s="27"/>
      <c r="U57" s="27"/>
      <c r="V57" s="27">
        <v>1</v>
      </c>
      <c r="W57" s="27"/>
      <c r="X57" s="27"/>
      <c r="Y57" s="27"/>
      <c r="Z57" s="27">
        <v>1</v>
      </c>
      <c r="AA57" s="27">
        <v>2</v>
      </c>
      <c r="AB57" s="27"/>
      <c r="AC57" s="160"/>
      <c r="AD57" s="160"/>
      <c r="AE57" s="160">
        <v>10</v>
      </c>
      <c r="AF57" s="212">
        <v>0</v>
      </c>
    </row>
    <row r="58" spans="1:32" x14ac:dyDescent="0.2">
      <c r="A58" s="159" t="s">
        <v>80</v>
      </c>
      <c r="B58" s="160" t="s">
        <v>151</v>
      </c>
      <c r="C58" s="160">
        <v>7</v>
      </c>
      <c r="D58" s="27"/>
      <c r="E58" s="27">
        <v>1</v>
      </c>
      <c r="F58" s="27"/>
      <c r="G58" s="27">
        <v>1</v>
      </c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>
        <v>1</v>
      </c>
      <c r="T58" s="27">
        <v>1</v>
      </c>
      <c r="U58" s="27">
        <v>1</v>
      </c>
      <c r="V58" s="27"/>
      <c r="W58" s="27"/>
      <c r="X58" s="27"/>
      <c r="Y58" s="27"/>
      <c r="Z58" s="27">
        <v>1</v>
      </c>
      <c r="AA58" s="27"/>
      <c r="AB58" s="27"/>
      <c r="AC58" s="160">
        <v>1</v>
      </c>
      <c r="AD58" s="160"/>
      <c r="AE58" s="160">
        <v>7</v>
      </c>
      <c r="AF58" s="212">
        <v>0</v>
      </c>
    </row>
    <row r="59" spans="1:32" x14ac:dyDescent="0.2">
      <c r="A59" s="159" t="s">
        <v>141</v>
      </c>
      <c r="B59" s="160" t="s">
        <v>214</v>
      </c>
      <c r="C59" s="160">
        <v>4</v>
      </c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>
        <v>4</v>
      </c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160"/>
      <c r="AD59" s="160"/>
      <c r="AE59" s="160">
        <v>4</v>
      </c>
      <c r="AF59" s="212">
        <v>0</v>
      </c>
    </row>
    <row r="60" spans="1:32" x14ac:dyDescent="0.2">
      <c r="A60" s="159" t="s">
        <v>147</v>
      </c>
      <c r="B60" s="160" t="s">
        <v>215</v>
      </c>
      <c r="C60" s="160">
        <v>3</v>
      </c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>
        <v>3</v>
      </c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160"/>
      <c r="AD60" s="160"/>
      <c r="AE60" s="160">
        <v>3</v>
      </c>
      <c r="AF60" s="212">
        <v>0</v>
      </c>
    </row>
    <row r="61" spans="1:32" x14ac:dyDescent="0.2">
      <c r="A61" s="159" t="s">
        <v>81</v>
      </c>
      <c r="B61" s="160" t="s">
        <v>209</v>
      </c>
      <c r="C61" s="160">
        <v>9</v>
      </c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>
        <v>5</v>
      </c>
      <c r="Y61" s="27"/>
      <c r="Z61" s="27"/>
      <c r="AA61" s="27"/>
      <c r="AB61" s="27"/>
      <c r="AC61" s="160">
        <v>4</v>
      </c>
      <c r="AD61" s="160"/>
      <c r="AE61" s="160">
        <v>9</v>
      </c>
      <c r="AF61" s="212">
        <v>0</v>
      </c>
    </row>
    <row r="62" spans="1:32" x14ac:dyDescent="0.2">
      <c r="A62" s="159" t="s">
        <v>82</v>
      </c>
      <c r="B62" s="160" t="s">
        <v>211</v>
      </c>
      <c r="C62" s="160">
        <v>10</v>
      </c>
      <c r="D62" s="27"/>
      <c r="E62" s="27"/>
      <c r="F62" s="27"/>
      <c r="G62" s="27"/>
      <c r="H62" s="27"/>
      <c r="I62" s="27"/>
      <c r="J62" s="27"/>
      <c r="K62" s="27">
        <v>2</v>
      </c>
      <c r="L62" s="27"/>
      <c r="M62" s="27"/>
      <c r="N62" s="27"/>
      <c r="O62" s="27"/>
      <c r="P62" s="27">
        <v>2</v>
      </c>
      <c r="Q62" s="27"/>
      <c r="R62" s="27"/>
      <c r="S62" s="27">
        <v>1</v>
      </c>
      <c r="T62" s="27"/>
      <c r="U62" s="27">
        <v>2</v>
      </c>
      <c r="V62" s="27">
        <v>3</v>
      </c>
      <c r="W62" s="27"/>
      <c r="X62" s="27"/>
      <c r="Y62" s="27"/>
      <c r="Z62" s="27"/>
      <c r="AA62" s="27"/>
      <c r="AB62" s="27"/>
      <c r="AC62" s="160"/>
      <c r="AD62" s="160"/>
      <c r="AE62" s="160">
        <v>10</v>
      </c>
      <c r="AF62" s="212">
        <v>0</v>
      </c>
    </row>
    <row r="63" spans="1:32" x14ac:dyDescent="0.2">
      <c r="A63" s="159" t="s">
        <v>83</v>
      </c>
      <c r="B63" s="160" t="s">
        <v>212</v>
      </c>
      <c r="C63" s="160">
        <v>7</v>
      </c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>
        <v>1</v>
      </c>
      <c r="Q63" s="27"/>
      <c r="R63" s="27">
        <v>1</v>
      </c>
      <c r="S63" s="27"/>
      <c r="T63" s="27"/>
      <c r="U63" s="27">
        <v>1</v>
      </c>
      <c r="V63" s="27"/>
      <c r="W63" s="27"/>
      <c r="X63" s="27">
        <v>1</v>
      </c>
      <c r="Y63" s="27"/>
      <c r="Z63" s="27"/>
      <c r="AA63" s="27">
        <v>1</v>
      </c>
      <c r="AB63" s="27">
        <v>1</v>
      </c>
      <c r="AC63" s="160">
        <v>1</v>
      </c>
      <c r="AD63" s="160"/>
      <c r="AE63" s="160">
        <v>7</v>
      </c>
      <c r="AF63" s="212">
        <v>0</v>
      </c>
    </row>
    <row r="64" spans="1:32" x14ac:dyDescent="0.2">
      <c r="A64" s="159" t="s">
        <v>84</v>
      </c>
      <c r="B64" s="160" t="s">
        <v>310</v>
      </c>
      <c r="C64" s="160">
        <v>22</v>
      </c>
      <c r="D64" s="27"/>
      <c r="E64" s="27"/>
      <c r="F64" s="27"/>
      <c r="G64" s="27">
        <v>2</v>
      </c>
      <c r="H64" s="27"/>
      <c r="I64" s="27"/>
      <c r="J64" s="27"/>
      <c r="K64" s="27">
        <v>3</v>
      </c>
      <c r="L64" s="27"/>
      <c r="M64" s="27">
        <v>5</v>
      </c>
      <c r="N64" s="27"/>
      <c r="O64" s="27"/>
      <c r="P64" s="27">
        <v>2</v>
      </c>
      <c r="Q64" s="27"/>
      <c r="R64" s="27">
        <v>3</v>
      </c>
      <c r="S64" s="27"/>
      <c r="T64" s="27">
        <v>1</v>
      </c>
      <c r="U64" s="27"/>
      <c r="V64" s="27"/>
      <c r="W64" s="27"/>
      <c r="X64" s="27">
        <v>2</v>
      </c>
      <c r="Y64" s="27"/>
      <c r="Z64" s="27"/>
      <c r="AA64" s="27"/>
      <c r="AB64" s="27">
        <v>2</v>
      </c>
      <c r="AC64" s="160">
        <v>2</v>
      </c>
      <c r="AD64" s="160"/>
      <c r="AE64" s="160">
        <v>22</v>
      </c>
      <c r="AF64" s="212">
        <v>0</v>
      </c>
    </row>
    <row r="65" spans="1:32" x14ac:dyDescent="0.2">
      <c r="A65" s="159" t="s">
        <v>84</v>
      </c>
      <c r="B65" s="160" t="s">
        <v>311</v>
      </c>
      <c r="C65" s="160">
        <v>14</v>
      </c>
      <c r="D65" s="27"/>
      <c r="E65" s="27">
        <v>1</v>
      </c>
      <c r="F65" s="27"/>
      <c r="G65" s="27">
        <v>3</v>
      </c>
      <c r="H65" s="27"/>
      <c r="I65" s="27">
        <v>1</v>
      </c>
      <c r="J65" s="27"/>
      <c r="K65" s="27"/>
      <c r="L65" s="27"/>
      <c r="M65" s="27">
        <v>1</v>
      </c>
      <c r="N65" s="27"/>
      <c r="O65" s="27"/>
      <c r="P65" s="27">
        <v>3</v>
      </c>
      <c r="Q65" s="27"/>
      <c r="R65" s="27">
        <v>1</v>
      </c>
      <c r="S65" s="27"/>
      <c r="T65" s="27">
        <v>1</v>
      </c>
      <c r="U65" s="27">
        <v>1</v>
      </c>
      <c r="V65" s="27"/>
      <c r="W65" s="27"/>
      <c r="X65" s="27"/>
      <c r="Y65" s="27"/>
      <c r="Z65" s="27">
        <v>1</v>
      </c>
      <c r="AA65" s="27">
        <v>1</v>
      </c>
      <c r="AB65" s="27"/>
      <c r="AC65" s="160"/>
      <c r="AD65" s="160"/>
      <c r="AE65" s="160">
        <v>14</v>
      </c>
      <c r="AF65" s="212">
        <v>0</v>
      </c>
    </row>
    <row r="66" spans="1:32" x14ac:dyDescent="0.2">
      <c r="A66" s="159" t="s">
        <v>314</v>
      </c>
      <c r="B66" s="160" t="s">
        <v>312</v>
      </c>
      <c r="C66" s="160">
        <v>22</v>
      </c>
      <c r="D66" s="27"/>
      <c r="E66" s="27">
        <v>1</v>
      </c>
      <c r="F66" s="27"/>
      <c r="G66" s="27"/>
      <c r="H66" s="27"/>
      <c r="I66" s="27">
        <v>2</v>
      </c>
      <c r="J66" s="27"/>
      <c r="K66" s="27">
        <v>3</v>
      </c>
      <c r="L66" s="27"/>
      <c r="M66" s="27"/>
      <c r="N66" s="27"/>
      <c r="O66" s="27">
        <v>1</v>
      </c>
      <c r="P66" s="27">
        <v>3</v>
      </c>
      <c r="Q66" s="27"/>
      <c r="R66" s="27">
        <v>1</v>
      </c>
      <c r="S66" s="27"/>
      <c r="T66" s="27">
        <v>1</v>
      </c>
      <c r="U66" s="27"/>
      <c r="V66" s="27">
        <v>4</v>
      </c>
      <c r="W66" s="27"/>
      <c r="X66" s="27">
        <v>3</v>
      </c>
      <c r="Y66" s="27"/>
      <c r="Z66" s="27"/>
      <c r="AA66" s="27"/>
      <c r="AB66" s="27"/>
      <c r="AC66" s="160">
        <v>3</v>
      </c>
      <c r="AD66" s="160"/>
      <c r="AE66" s="160">
        <v>22</v>
      </c>
      <c r="AF66" s="212">
        <v>0</v>
      </c>
    </row>
    <row r="67" spans="1:32" x14ac:dyDescent="0.2">
      <c r="A67" s="159" t="s">
        <v>314</v>
      </c>
      <c r="B67" s="160" t="s">
        <v>313</v>
      </c>
      <c r="C67" s="160">
        <v>14</v>
      </c>
      <c r="D67" s="27"/>
      <c r="E67" s="27"/>
      <c r="F67" s="27"/>
      <c r="G67" s="27"/>
      <c r="H67" s="27"/>
      <c r="I67" s="27"/>
      <c r="J67" s="27"/>
      <c r="K67" s="27">
        <v>2</v>
      </c>
      <c r="L67" s="27"/>
      <c r="M67" s="27"/>
      <c r="N67" s="27"/>
      <c r="O67" s="27"/>
      <c r="P67" s="27">
        <v>1</v>
      </c>
      <c r="Q67" s="27"/>
      <c r="R67" s="27">
        <v>1</v>
      </c>
      <c r="S67" s="27"/>
      <c r="T67" s="27">
        <v>2</v>
      </c>
      <c r="U67" s="27">
        <v>1</v>
      </c>
      <c r="V67" s="27">
        <v>4</v>
      </c>
      <c r="W67" s="27"/>
      <c r="X67" s="27">
        <v>2</v>
      </c>
      <c r="Y67" s="27">
        <v>1</v>
      </c>
      <c r="Z67" s="27"/>
      <c r="AA67" s="27"/>
      <c r="AB67" s="27"/>
      <c r="AC67" s="160"/>
      <c r="AD67" s="160"/>
      <c r="AE67" s="160">
        <v>14</v>
      </c>
      <c r="AF67" s="212">
        <v>0</v>
      </c>
    </row>
    <row r="68" spans="1:32" x14ac:dyDescent="0.2">
      <c r="A68" s="159" t="s">
        <v>85</v>
      </c>
      <c r="B68" s="160" t="s">
        <v>216</v>
      </c>
      <c r="C68" s="160">
        <v>7</v>
      </c>
      <c r="D68" s="27"/>
      <c r="E68" s="27"/>
      <c r="F68" s="27"/>
      <c r="G68" s="27"/>
      <c r="H68" s="27"/>
      <c r="I68" s="27">
        <v>1</v>
      </c>
      <c r="J68" s="27"/>
      <c r="K68" s="27">
        <v>1</v>
      </c>
      <c r="L68" s="27"/>
      <c r="M68" s="27">
        <v>1</v>
      </c>
      <c r="N68" s="27"/>
      <c r="O68" s="27"/>
      <c r="P68" s="27">
        <v>1</v>
      </c>
      <c r="Q68" s="27"/>
      <c r="R68" s="27"/>
      <c r="S68" s="27"/>
      <c r="T68" s="27"/>
      <c r="U68" s="27"/>
      <c r="V68" s="27"/>
      <c r="W68" s="27"/>
      <c r="X68" s="27">
        <v>1</v>
      </c>
      <c r="Y68" s="27">
        <v>1</v>
      </c>
      <c r="Z68" s="27">
        <v>1</v>
      </c>
      <c r="AA68" s="27"/>
      <c r="AB68" s="27"/>
      <c r="AC68" s="160"/>
      <c r="AD68" s="160"/>
      <c r="AE68" s="160">
        <v>7</v>
      </c>
      <c r="AF68" s="212">
        <v>0</v>
      </c>
    </row>
    <row r="69" spans="1:32" x14ac:dyDescent="0.2">
      <c r="A69" s="159" t="s">
        <v>85</v>
      </c>
      <c r="B69" s="160" t="s">
        <v>217</v>
      </c>
      <c r="C69" s="160">
        <v>6</v>
      </c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>
        <v>1</v>
      </c>
      <c r="Q69" s="27"/>
      <c r="R69" s="27">
        <v>1</v>
      </c>
      <c r="S69" s="27">
        <v>1</v>
      </c>
      <c r="T69" s="27">
        <v>1</v>
      </c>
      <c r="U69" s="27">
        <v>1</v>
      </c>
      <c r="V69" s="27"/>
      <c r="W69" s="27"/>
      <c r="X69" s="27">
        <v>1</v>
      </c>
      <c r="Y69" s="27"/>
      <c r="Z69" s="27"/>
      <c r="AA69" s="27"/>
      <c r="AB69" s="27"/>
      <c r="AC69" s="160"/>
      <c r="AD69" s="160"/>
      <c r="AE69" s="160">
        <v>6</v>
      </c>
      <c r="AF69" s="212">
        <v>0</v>
      </c>
    </row>
    <row r="70" spans="1:32" x14ac:dyDescent="0.2">
      <c r="A70" s="159" t="s">
        <v>237</v>
      </c>
      <c r="B70" s="160" t="s">
        <v>232</v>
      </c>
      <c r="C70" s="160">
        <v>7</v>
      </c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>
        <v>3</v>
      </c>
      <c r="Q70" s="27"/>
      <c r="R70" s="27">
        <v>2</v>
      </c>
      <c r="S70" s="27"/>
      <c r="T70" s="27"/>
      <c r="U70" s="27"/>
      <c r="V70" s="27">
        <v>1</v>
      </c>
      <c r="W70" s="27"/>
      <c r="X70" s="27"/>
      <c r="Y70" s="27">
        <v>1</v>
      </c>
      <c r="Z70" s="27"/>
      <c r="AA70" s="27"/>
      <c r="AB70" s="27"/>
      <c r="AC70" s="160"/>
      <c r="AD70" s="160"/>
      <c r="AE70" s="160">
        <v>7</v>
      </c>
      <c r="AF70" s="212">
        <v>0</v>
      </c>
    </row>
    <row r="71" spans="1:32" x14ac:dyDescent="0.2">
      <c r="A71" s="159" t="s">
        <v>238</v>
      </c>
      <c r="B71" s="160" t="s">
        <v>233</v>
      </c>
      <c r="C71" s="160">
        <v>0</v>
      </c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160"/>
      <c r="AD71" s="160"/>
      <c r="AE71" s="160">
        <v>0</v>
      </c>
      <c r="AF71" s="212">
        <v>0</v>
      </c>
    </row>
    <row r="72" spans="1:32" x14ac:dyDescent="0.2">
      <c r="A72" s="159" t="s">
        <v>162</v>
      </c>
      <c r="B72" s="160" t="s">
        <v>234</v>
      </c>
      <c r="C72" s="160">
        <v>5</v>
      </c>
      <c r="D72" s="27"/>
      <c r="E72" s="27">
        <v>1</v>
      </c>
      <c r="F72" s="27"/>
      <c r="G72" s="27">
        <v>1</v>
      </c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>
        <v>1</v>
      </c>
      <c r="W72" s="27"/>
      <c r="X72" s="27"/>
      <c r="Y72" s="27"/>
      <c r="Z72" s="27">
        <v>1</v>
      </c>
      <c r="AA72" s="27"/>
      <c r="AB72" s="27"/>
      <c r="AC72" s="160">
        <v>1</v>
      </c>
      <c r="AD72" s="160"/>
      <c r="AE72" s="160">
        <v>5</v>
      </c>
      <c r="AF72" s="212">
        <v>0</v>
      </c>
    </row>
    <row r="73" spans="1:32" x14ac:dyDescent="0.2">
      <c r="A73" s="159" t="s">
        <v>163</v>
      </c>
      <c r="B73" s="160" t="s">
        <v>235</v>
      </c>
      <c r="C73" s="160">
        <v>0</v>
      </c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160"/>
      <c r="AD73" s="160"/>
      <c r="AE73" s="160">
        <v>0</v>
      </c>
      <c r="AF73" s="212">
        <v>0</v>
      </c>
    </row>
    <row r="74" spans="1:32" x14ac:dyDescent="0.2">
      <c r="A74" s="159" t="s">
        <v>86</v>
      </c>
      <c r="B74" s="160" t="s">
        <v>221</v>
      </c>
      <c r="C74" s="160">
        <v>7</v>
      </c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>
        <v>1</v>
      </c>
      <c r="O74" s="27"/>
      <c r="P74" s="27"/>
      <c r="Q74" s="27"/>
      <c r="R74" s="27">
        <v>2</v>
      </c>
      <c r="S74" s="27">
        <v>1</v>
      </c>
      <c r="T74" s="27">
        <v>1</v>
      </c>
      <c r="U74" s="27">
        <v>1</v>
      </c>
      <c r="V74" s="27"/>
      <c r="W74" s="27"/>
      <c r="X74" s="27">
        <v>1</v>
      </c>
      <c r="Y74" s="27"/>
      <c r="Z74" s="27"/>
      <c r="AA74" s="27"/>
      <c r="AB74" s="27"/>
      <c r="AC74" s="160"/>
      <c r="AD74" s="160"/>
      <c r="AE74" s="160">
        <v>7</v>
      </c>
      <c r="AF74" s="212">
        <v>0</v>
      </c>
    </row>
    <row r="75" spans="1:32" x14ac:dyDescent="0.2">
      <c r="A75" s="159" t="s">
        <v>86</v>
      </c>
      <c r="B75" s="160" t="s">
        <v>220</v>
      </c>
      <c r="C75" s="160">
        <v>6</v>
      </c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>
        <v>1</v>
      </c>
      <c r="O75" s="27"/>
      <c r="P75" s="27"/>
      <c r="Q75" s="27"/>
      <c r="R75" s="27">
        <v>1</v>
      </c>
      <c r="S75" s="27"/>
      <c r="T75" s="27"/>
      <c r="U75" s="27"/>
      <c r="V75" s="27">
        <v>1</v>
      </c>
      <c r="W75" s="27"/>
      <c r="X75" s="27">
        <v>1</v>
      </c>
      <c r="Y75" s="27"/>
      <c r="Z75" s="27"/>
      <c r="AA75" s="27">
        <v>1</v>
      </c>
      <c r="AB75" s="27"/>
      <c r="AC75" s="160"/>
      <c r="AD75" s="160"/>
      <c r="AE75" s="160">
        <v>5</v>
      </c>
      <c r="AF75" s="212">
        <v>-1</v>
      </c>
    </row>
    <row r="76" spans="1:32" x14ac:dyDescent="0.2">
      <c r="A76" s="159" t="s">
        <v>342</v>
      </c>
      <c r="B76" s="160" t="s">
        <v>344</v>
      </c>
      <c r="C76" s="160">
        <v>7</v>
      </c>
      <c r="D76" s="27"/>
      <c r="E76" s="27"/>
      <c r="F76" s="27"/>
      <c r="G76" s="27"/>
      <c r="H76" s="27"/>
      <c r="I76" s="27">
        <v>1</v>
      </c>
      <c r="J76" s="27"/>
      <c r="K76" s="27"/>
      <c r="L76" s="27"/>
      <c r="M76" s="27"/>
      <c r="N76" s="27"/>
      <c r="O76" s="27"/>
      <c r="P76" s="27"/>
      <c r="Q76" s="27"/>
      <c r="R76" s="27"/>
      <c r="S76" s="27">
        <v>1</v>
      </c>
      <c r="T76" s="27"/>
      <c r="U76" s="27">
        <v>1</v>
      </c>
      <c r="V76" s="27"/>
      <c r="W76" s="27"/>
      <c r="X76" s="27">
        <v>1</v>
      </c>
      <c r="Y76" s="27"/>
      <c r="Z76" s="27">
        <v>1</v>
      </c>
      <c r="AA76" s="27"/>
      <c r="AB76" s="27">
        <v>1</v>
      </c>
      <c r="AC76" s="160">
        <v>1</v>
      </c>
      <c r="AD76" s="160"/>
      <c r="AE76" s="160">
        <v>7</v>
      </c>
      <c r="AF76" s="212">
        <v>0</v>
      </c>
    </row>
    <row r="77" spans="1:32" x14ac:dyDescent="0.2">
      <c r="A77" s="159" t="s">
        <v>343</v>
      </c>
      <c r="B77" s="160" t="s">
        <v>345</v>
      </c>
      <c r="C77" s="160">
        <v>6</v>
      </c>
      <c r="D77" s="27"/>
      <c r="E77" s="27"/>
      <c r="F77" s="27"/>
      <c r="G77" s="27"/>
      <c r="H77" s="27"/>
      <c r="I77" s="27">
        <v>1</v>
      </c>
      <c r="J77" s="27"/>
      <c r="K77" s="27"/>
      <c r="L77" s="27"/>
      <c r="M77" s="27"/>
      <c r="N77" s="27"/>
      <c r="O77" s="27"/>
      <c r="P77" s="27"/>
      <c r="Q77" s="27"/>
      <c r="R77" s="27"/>
      <c r="S77" s="27">
        <v>1</v>
      </c>
      <c r="T77" s="27"/>
      <c r="U77" s="27">
        <v>1</v>
      </c>
      <c r="V77" s="27"/>
      <c r="W77" s="27"/>
      <c r="X77" s="27">
        <v>1</v>
      </c>
      <c r="Y77" s="27">
        <v>2</v>
      </c>
      <c r="Z77" s="27"/>
      <c r="AA77" s="27"/>
      <c r="AB77" s="27"/>
      <c r="AC77" s="160"/>
      <c r="AD77" s="160"/>
      <c r="AE77" s="160">
        <v>6</v>
      </c>
      <c r="AF77" s="212">
        <v>0</v>
      </c>
    </row>
    <row r="78" spans="1:32" x14ac:dyDescent="0.2">
      <c r="A78" s="159" t="s">
        <v>148</v>
      </c>
      <c r="B78" s="160" t="s">
        <v>218</v>
      </c>
      <c r="C78" s="160">
        <v>3</v>
      </c>
      <c r="D78" s="27"/>
      <c r="E78" s="27"/>
      <c r="F78" s="27"/>
      <c r="G78" s="27"/>
      <c r="H78" s="27"/>
      <c r="I78" s="27"/>
      <c r="J78" s="27"/>
      <c r="K78" s="27">
        <v>1</v>
      </c>
      <c r="L78" s="27"/>
      <c r="M78" s="27"/>
      <c r="N78" s="27"/>
      <c r="O78" s="27"/>
      <c r="P78" s="27"/>
      <c r="Q78" s="27"/>
      <c r="R78" s="27"/>
      <c r="S78" s="27">
        <v>2</v>
      </c>
      <c r="T78" s="27"/>
      <c r="U78" s="27"/>
      <c r="V78" s="27"/>
      <c r="W78" s="27"/>
      <c r="X78" s="27"/>
      <c r="Y78" s="27"/>
      <c r="Z78" s="27"/>
      <c r="AA78" s="27"/>
      <c r="AB78" s="27"/>
      <c r="AC78" s="160"/>
      <c r="AD78" s="160"/>
      <c r="AE78" s="160">
        <v>3</v>
      </c>
      <c r="AF78" s="212">
        <v>0</v>
      </c>
    </row>
    <row r="79" spans="1:32" x14ac:dyDescent="0.2">
      <c r="A79" s="159" t="s">
        <v>149</v>
      </c>
      <c r="B79" s="160" t="s">
        <v>219</v>
      </c>
      <c r="C79" s="160">
        <v>1</v>
      </c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>
        <v>1</v>
      </c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160"/>
      <c r="AD79" s="160"/>
      <c r="AE79" s="160">
        <v>1</v>
      </c>
      <c r="AF79" s="212">
        <v>0</v>
      </c>
    </row>
    <row r="80" spans="1:32" x14ac:dyDescent="0.2">
      <c r="A80" s="159" t="s">
        <v>329</v>
      </c>
      <c r="B80" s="160" t="s">
        <v>330</v>
      </c>
      <c r="C80" s="160">
        <v>9</v>
      </c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>
        <v>7</v>
      </c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>
        <v>2</v>
      </c>
      <c r="AB80" s="27"/>
      <c r="AC80" s="160"/>
      <c r="AD80" s="160"/>
      <c r="AE80" s="160">
        <v>9</v>
      </c>
      <c r="AF80" s="212">
        <v>0</v>
      </c>
    </row>
    <row r="81" spans="1:32" x14ac:dyDescent="0.2">
      <c r="A81" s="159" t="s">
        <v>315</v>
      </c>
      <c r="B81" s="160" t="s">
        <v>102</v>
      </c>
      <c r="C81" s="160">
        <v>2</v>
      </c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>
        <v>2</v>
      </c>
      <c r="U81" s="27"/>
      <c r="V81" s="27"/>
      <c r="W81" s="27"/>
      <c r="X81" s="27"/>
      <c r="Y81" s="27"/>
      <c r="Z81" s="27"/>
      <c r="AA81" s="27"/>
      <c r="AB81" s="27"/>
      <c r="AC81" s="160"/>
      <c r="AD81" s="160"/>
      <c r="AE81" s="160">
        <v>2</v>
      </c>
      <c r="AF81" s="212">
        <v>0</v>
      </c>
    </row>
    <row r="82" spans="1:32" x14ac:dyDescent="0.2">
      <c r="A82" s="159" t="s">
        <v>316</v>
      </c>
      <c r="B82" s="160" t="s">
        <v>236</v>
      </c>
      <c r="C82" s="160">
        <v>6</v>
      </c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>
        <v>6</v>
      </c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160"/>
      <c r="AD82" s="160"/>
      <c r="AE82" s="160">
        <v>6</v>
      </c>
      <c r="AF82" s="212">
        <v>0</v>
      </c>
    </row>
    <row r="83" spans="1:32" x14ac:dyDescent="0.2">
      <c r="A83" s="159"/>
      <c r="B83" s="160"/>
      <c r="C83" s="160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160"/>
      <c r="AD83" s="160"/>
      <c r="AE83" s="160"/>
      <c r="AF83" s="212"/>
    </row>
    <row r="84" spans="1:32" x14ac:dyDescent="0.2">
      <c r="A84" s="159"/>
      <c r="B84" s="164" t="s">
        <v>247</v>
      </c>
      <c r="C84" s="160">
        <v>251</v>
      </c>
      <c r="D84" s="27">
        <v>2</v>
      </c>
      <c r="E84" s="27">
        <v>8</v>
      </c>
      <c r="F84" s="27">
        <v>0</v>
      </c>
      <c r="G84" s="27">
        <v>8</v>
      </c>
      <c r="H84" s="27">
        <v>0</v>
      </c>
      <c r="I84" s="27">
        <v>6</v>
      </c>
      <c r="J84" s="27">
        <v>0</v>
      </c>
      <c r="K84" s="27">
        <v>15</v>
      </c>
      <c r="L84" s="27">
        <v>0</v>
      </c>
      <c r="M84" s="27">
        <v>18</v>
      </c>
      <c r="N84" s="27">
        <v>3</v>
      </c>
      <c r="O84" s="27">
        <v>14</v>
      </c>
      <c r="P84" s="27">
        <v>19</v>
      </c>
      <c r="Q84" s="27">
        <v>7</v>
      </c>
      <c r="R84" s="27">
        <v>18</v>
      </c>
      <c r="S84" s="27">
        <v>10</v>
      </c>
      <c r="T84" s="27">
        <v>18</v>
      </c>
      <c r="U84" s="27">
        <v>15</v>
      </c>
      <c r="V84" s="27">
        <v>17</v>
      </c>
      <c r="W84" s="27">
        <v>0</v>
      </c>
      <c r="X84" s="27">
        <v>24</v>
      </c>
      <c r="Y84" s="27">
        <v>5</v>
      </c>
      <c r="Z84" s="27">
        <v>8</v>
      </c>
      <c r="AA84" s="27">
        <v>7</v>
      </c>
      <c r="AB84" s="27">
        <v>8</v>
      </c>
      <c r="AC84" s="160">
        <v>20</v>
      </c>
      <c r="AD84" s="160">
        <v>0</v>
      </c>
      <c r="AE84" s="160">
        <v>250</v>
      </c>
      <c r="AF84" s="212">
        <v>-1</v>
      </c>
    </row>
    <row r="85" spans="1:32" x14ac:dyDescent="0.2">
      <c r="A85" s="159"/>
      <c r="B85" s="160"/>
      <c r="C85" s="160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160"/>
      <c r="AD85" s="160"/>
      <c r="AE85" s="160"/>
      <c r="AF85" s="212"/>
    </row>
    <row r="86" spans="1:32" ht="13.5" thickBot="1" x14ac:dyDescent="0.25">
      <c r="A86" s="161"/>
      <c r="B86" s="162" t="s">
        <v>248</v>
      </c>
      <c r="C86" s="163">
        <v>395</v>
      </c>
      <c r="D86" s="120">
        <v>19</v>
      </c>
      <c r="E86" s="120">
        <v>9</v>
      </c>
      <c r="F86" s="120">
        <v>0</v>
      </c>
      <c r="G86" s="120">
        <v>18</v>
      </c>
      <c r="H86" s="120">
        <v>0</v>
      </c>
      <c r="I86" s="120">
        <v>32</v>
      </c>
      <c r="J86" s="120">
        <v>17</v>
      </c>
      <c r="K86" s="120">
        <v>15</v>
      </c>
      <c r="L86" s="120">
        <v>0</v>
      </c>
      <c r="M86" s="120">
        <v>20</v>
      </c>
      <c r="N86" s="120">
        <v>9</v>
      </c>
      <c r="O86" s="120">
        <v>27</v>
      </c>
      <c r="P86" s="120">
        <v>19</v>
      </c>
      <c r="Q86" s="120">
        <v>24</v>
      </c>
      <c r="R86" s="120">
        <v>18</v>
      </c>
      <c r="S86" s="120">
        <v>11</v>
      </c>
      <c r="T86" s="120">
        <v>18</v>
      </c>
      <c r="U86" s="120">
        <v>19</v>
      </c>
      <c r="V86" s="120">
        <v>19</v>
      </c>
      <c r="W86" s="120">
        <v>0</v>
      </c>
      <c r="X86" s="120">
        <v>25</v>
      </c>
      <c r="Y86" s="120">
        <v>7</v>
      </c>
      <c r="Z86" s="120">
        <v>26</v>
      </c>
      <c r="AA86" s="120">
        <v>9</v>
      </c>
      <c r="AB86" s="120">
        <v>13</v>
      </c>
      <c r="AC86" s="163">
        <v>20</v>
      </c>
      <c r="AD86" s="163">
        <v>0</v>
      </c>
      <c r="AE86" s="163">
        <v>394</v>
      </c>
      <c r="AF86" s="213">
        <v>-1</v>
      </c>
    </row>
    <row r="90" spans="1:32" ht="18.75" thickBot="1" x14ac:dyDescent="0.3">
      <c r="B90" s="154" t="s">
        <v>243</v>
      </c>
    </row>
    <row r="91" spans="1:32" ht="65.25" x14ac:dyDescent="0.25">
      <c r="A91" s="155"/>
      <c r="B91" s="156" t="s">
        <v>346</v>
      </c>
      <c r="C91" s="157" t="s">
        <v>4</v>
      </c>
      <c r="D91" s="158" t="s">
        <v>27</v>
      </c>
      <c r="E91" s="158" t="s">
        <v>109</v>
      </c>
      <c r="F91" s="158" t="s">
        <v>71</v>
      </c>
      <c r="G91" s="158" t="s">
        <v>19</v>
      </c>
      <c r="H91" s="158" t="s">
        <v>304</v>
      </c>
      <c r="I91" s="158" t="s">
        <v>48</v>
      </c>
      <c r="J91" s="158" t="s">
        <v>39</v>
      </c>
      <c r="K91" s="158" t="s">
        <v>114</v>
      </c>
      <c r="L91" s="158" t="s">
        <v>24</v>
      </c>
      <c r="M91" s="158" t="s">
        <v>115</v>
      </c>
      <c r="N91" s="158" t="s">
        <v>189</v>
      </c>
      <c r="O91" s="158" t="s">
        <v>32</v>
      </c>
      <c r="P91" s="158" t="s">
        <v>125</v>
      </c>
      <c r="Q91" s="158" t="s">
        <v>116</v>
      </c>
      <c r="R91" s="158" t="s">
        <v>118</v>
      </c>
      <c r="S91" s="158" t="s">
        <v>119</v>
      </c>
      <c r="T91" s="158" t="s">
        <v>50</v>
      </c>
      <c r="U91" s="158" t="s">
        <v>120</v>
      </c>
      <c r="V91" s="158" t="s">
        <v>13</v>
      </c>
      <c r="W91" s="158" t="s">
        <v>90</v>
      </c>
      <c r="X91" s="158" t="s">
        <v>58</v>
      </c>
      <c r="Y91" s="158" t="s">
        <v>297</v>
      </c>
      <c r="Z91" s="158" t="s">
        <v>8</v>
      </c>
      <c r="AA91" s="158" t="s">
        <v>306</v>
      </c>
      <c r="AB91" s="158" t="s">
        <v>29</v>
      </c>
      <c r="AC91" s="157" t="s">
        <v>53</v>
      </c>
      <c r="AD91" s="157" t="s">
        <v>16</v>
      </c>
      <c r="AE91" s="157" t="s">
        <v>142</v>
      </c>
      <c r="AF91" s="211" t="s">
        <v>245</v>
      </c>
    </row>
    <row r="92" spans="1:32" x14ac:dyDescent="0.2">
      <c r="A92" s="159" t="s">
        <v>6</v>
      </c>
      <c r="B92" s="160" t="s">
        <v>7</v>
      </c>
      <c r="C92" s="160">
        <v>4</v>
      </c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>
        <v>4</v>
      </c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160"/>
      <c r="AD92" s="160"/>
      <c r="AE92" s="160">
        <v>4</v>
      </c>
      <c r="AF92" s="212">
        <v>0</v>
      </c>
    </row>
    <row r="93" spans="1:32" x14ac:dyDescent="0.2">
      <c r="A93" s="159" t="s">
        <v>9</v>
      </c>
      <c r="B93" s="160" t="s">
        <v>10</v>
      </c>
      <c r="C93" s="160">
        <v>2</v>
      </c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>
        <v>2</v>
      </c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160"/>
      <c r="AD93" s="160"/>
      <c r="AE93" s="160">
        <v>2</v>
      </c>
      <c r="AF93" s="212">
        <v>0</v>
      </c>
    </row>
    <row r="94" spans="1:32" x14ac:dyDescent="0.2">
      <c r="A94" s="159" t="s">
        <v>11</v>
      </c>
      <c r="B94" s="160" t="s">
        <v>12</v>
      </c>
      <c r="C94" s="160">
        <v>2</v>
      </c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>
        <v>2</v>
      </c>
      <c r="W94" s="27"/>
      <c r="X94" s="27"/>
      <c r="Y94" s="27"/>
      <c r="Z94" s="27"/>
      <c r="AA94" s="27"/>
      <c r="AB94" s="27"/>
      <c r="AC94" s="160"/>
      <c r="AD94" s="160"/>
      <c r="AE94" s="160">
        <v>2</v>
      </c>
      <c r="AF94" s="212">
        <v>0</v>
      </c>
    </row>
    <row r="95" spans="1:32" x14ac:dyDescent="0.2">
      <c r="A95" s="159" t="s">
        <v>14</v>
      </c>
      <c r="B95" s="160" t="s">
        <v>15</v>
      </c>
      <c r="C95" s="160">
        <v>2</v>
      </c>
      <c r="D95" s="27"/>
      <c r="E95" s="27"/>
      <c r="F95" s="27"/>
      <c r="G95" s="27"/>
      <c r="H95" s="27"/>
      <c r="I95" s="27"/>
      <c r="J95" s="27"/>
      <c r="K95" s="27"/>
      <c r="L95" s="27"/>
      <c r="M95" s="27">
        <v>2</v>
      </c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160"/>
      <c r="AD95" s="160"/>
      <c r="AE95" s="160">
        <v>2</v>
      </c>
      <c r="AF95" s="212">
        <v>0</v>
      </c>
    </row>
    <row r="96" spans="1:32" x14ac:dyDescent="0.2">
      <c r="A96" s="159" t="s">
        <v>17</v>
      </c>
      <c r="B96" s="160" t="s">
        <v>18</v>
      </c>
      <c r="C96" s="160">
        <v>6</v>
      </c>
      <c r="D96" s="27"/>
      <c r="E96" s="27"/>
      <c r="F96" s="27"/>
      <c r="G96" s="27">
        <v>6</v>
      </c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160"/>
      <c r="AD96" s="160"/>
      <c r="AE96" s="160">
        <v>6</v>
      </c>
      <c r="AF96" s="212">
        <v>0</v>
      </c>
    </row>
    <row r="97" spans="1:32" x14ac:dyDescent="0.2">
      <c r="A97" s="159" t="s">
        <v>20</v>
      </c>
      <c r="B97" s="160" t="s">
        <v>91</v>
      </c>
      <c r="C97" s="160">
        <v>4</v>
      </c>
      <c r="D97" s="27"/>
      <c r="E97" s="27"/>
      <c r="F97" s="27"/>
      <c r="G97" s="27">
        <v>4</v>
      </c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160"/>
      <c r="AD97" s="160"/>
      <c r="AE97" s="160">
        <v>4</v>
      </c>
      <c r="AF97" s="212">
        <v>0</v>
      </c>
    </row>
    <row r="98" spans="1:32" x14ac:dyDescent="0.2">
      <c r="A98" s="159" t="s">
        <v>22</v>
      </c>
      <c r="B98" s="160" t="s">
        <v>92</v>
      </c>
      <c r="C98" s="160">
        <v>7</v>
      </c>
      <c r="D98" s="27">
        <v>7</v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160"/>
      <c r="AD98" s="160"/>
      <c r="AE98" s="160">
        <v>7</v>
      </c>
      <c r="AF98" s="212">
        <v>0</v>
      </c>
    </row>
    <row r="99" spans="1:32" x14ac:dyDescent="0.2">
      <c r="A99" s="159" t="s">
        <v>25</v>
      </c>
      <c r="B99" s="160" t="s">
        <v>26</v>
      </c>
      <c r="C99" s="160">
        <v>2</v>
      </c>
      <c r="D99" s="27">
        <v>2</v>
      </c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160"/>
      <c r="AD99" s="160"/>
      <c r="AE99" s="160">
        <v>2</v>
      </c>
      <c r="AF99" s="212">
        <v>0</v>
      </c>
    </row>
    <row r="100" spans="1:32" x14ac:dyDescent="0.2">
      <c r="A100" s="159" t="s">
        <v>291</v>
      </c>
      <c r="B100" s="160" t="s">
        <v>292</v>
      </c>
      <c r="C100" s="160">
        <v>8</v>
      </c>
      <c r="D100" s="27">
        <v>8</v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160"/>
      <c r="AD100" s="160"/>
      <c r="AE100" s="160">
        <v>8</v>
      </c>
      <c r="AF100" s="212">
        <v>0</v>
      </c>
    </row>
    <row r="101" spans="1:32" x14ac:dyDescent="0.2">
      <c r="A101" s="159" t="s">
        <v>28</v>
      </c>
      <c r="B101" s="160" t="s">
        <v>288</v>
      </c>
      <c r="C101" s="160">
        <v>2</v>
      </c>
      <c r="D101" s="27"/>
      <c r="E101" s="27"/>
      <c r="F101" s="27"/>
      <c r="G101" s="27"/>
      <c r="H101" s="27"/>
      <c r="I101" s="27">
        <v>2</v>
      </c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160"/>
      <c r="AD101" s="160"/>
      <c r="AE101" s="160">
        <v>2</v>
      </c>
      <c r="AF101" s="212">
        <v>0</v>
      </c>
    </row>
    <row r="102" spans="1:32" x14ac:dyDescent="0.2">
      <c r="A102" s="159" t="s">
        <v>33</v>
      </c>
      <c r="B102" s="160" t="s">
        <v>93</v>
      </c>
      <c r="C102" s="160">
        <v>4</v>
      </c>
      <c r="D102" s="27"/>
      <c r="E102" s="27"/>
      <c r="F102" s="27"/>
      <c r="G102" s="27"/>
      <c r="H102" s="27"/>
      <c r="I102" s="27"/>
      <c r="J102" s="27">
        <v>4</v>
      </c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160"/>
      <c r="AD102" s="160"/>
      <c r="AE102" s="160">
        <v>4</v>
      </c>
      <c r="AF102" s="212">
        <v>0</v>
      </c>
    </row>
    <row r="103" spans="1:32" x14ac:dyDescent="0.2">
      <c r="A103" s="159" t="s">
        <v>35</v>
      </c>
      <c r="B103" s="160" t="s">
        <v>94</v>
      </c>
      <c r="C103" s="160">
        <v>8</v>
      </c>
      <c r="D103" s="27"/>
      <c r="E103" s="27"/>
      <c r="F103" s="27"/>
      <c r="G103" s="27"/>
      <c r="H103" s="27"/>
      <c r="I103" s="27"/>
      <c r="J103" s="27">
        <v>8</v>
      </c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160"/>
      <c r="AD103" s="160"/>
      <c r="AE103" s="160">
        <v>8</v>
      </c>
      <c r="AF103" s="212">
        <v>0</v>
      </c>
    </row>
    <row r="104" spans="1:32" x14ac:dyDescent="0.2">
      <c r="A104" s="159" t="s">
        <v>37</v>
      </c>
      <c r="B104" s="160" t="s">
        <v>38</v>
      </c>
      <c r="C104" s="160">
        <v>4</v>
      </c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>
        <v>4</v>
      </c>
      <c r="U104" s="27"/>
      <c r="V104" s="27"/>
      <c r="W104" s="27"/>
      <c r="X104" s="27"/>
      <c r="Y104" s="27"/>
      <c r="Z104" s="27"/>
      <c r="AA104" s="27"/>
      <c r="AB104" s="27"/>
      <c r="AC104" s="160"/>
      <c r="AD104" s="160"/>
      <c r="AE104" s="160">
        <v>4</v>
      </c>
      <c r="AF104" s="212">
        <v>0</v>
      </c>
    </row>
    <row r="105" spans="1:32" x14ac:dyDescent="0.2">
      <c r="A105" s="159" t="s">
        <v>40</v>
      </c>
      <c r="B105" s="160" t="s">
        <v>41</v>
      </c>
      <c r="C105" s="160">
        <v>12</v>
      </c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>
        <v>12</v>
      </c>
      <c r="U105" s="27"/>
      <c r="V105" s="27"/>
      <c r="W105" s="27"/>
      <c r="X105" s="27"/>
      <c r="Y105" s="27"/>
      <c r="Z105" s="27"/>
      <c r="AA105" s="27"/>
      <c r="AB105" s="27"/>
      <c r="AC105" s="160"/>
      <c r="AD105" s="160"/>
      <c r="AE105" s="160">
        <v>12</v>
      </c>
      <c r="AF105" s="212">
        <v>0</v>
      </c>
    </row>
    <row r="106" spans="1:32" x14ac:dyDescent="0.2">
      <c r="A106" s="159" t="s">
        <v>42</v>
      </c>
      <c r="B106" s="160" t="s">
        <v>169</v>
      </c>
      <c r="C106" s="160">
        <v>5</v>
      </c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>
        <v>5</v>
      </c>
      <c r="U106" s="27"/>
      <c r="V106" s="27"/>
      <c r="W106" s="27"/>
      <c r="X106" s="27"/>
      <c r="Y106" s="27"/>
      <c r="Z106" s="27"/>
      <c r="AA106" s="27"/>
      <c r="AB106" s="27"/>
      <c r="AC106" s="160"/>
      <c r="AD106" s="160"/>
      <c r="AE106" s="160">
        <v>5</v>
      </c>
      <c r="AF106" s="212">
        <v>0</v>
      </c>
    </row>
    <row r="107" spans="1:32" x14ac:dyDescent="0.2">
      <c r="A107" s="159" t="s">
        <v>44</v>
      </c>
      <c r="B107" s="160" t="s">
        <v>170</v>
      </c>
      <c r="C107" s="160">
        <v>5</v>
      </c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>
        <v>5</v>
      </c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160"/>
      <c r="AD107" s="160"/>
      <c r="AE107" s="160">
        <v>5</v>
      </c>
      <c r="AF107" s="212">
        <v>0</v>
      </c>
    </row>
    <row r="108" spans="1:32" x14ac:dyDescent="0.2">
      <c r="A108" s="159" t="s">
        <v>46</v>
      </c>
      <c r="B108" s="160" t="s">
        <v>95</v>
      </c>
      <c r="C108" s="160">
        <v>14</v>
      </c>
      <c r="D108" s="27"/>
      <c r="E108" s="27"/>
      <c r="F108" s="27"/>
      <c r="G108" s="27"/>
      <c r="H108" s="27"/>
      <c r="I108" s="27">
        <v>14</v>
      </c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160"/>
      <c r="AD108" s="160"/>
      <c r="AE108" s="160">
        <v>14</v>
      </c>
      <c r="AF108" s="212">
        <v>0</v>
      </c>
    </row>
    <row r="109" spans="1:32" x14ac:dyDescent="0.2">
      <c r="A109" s="159" t="s">
        <v>49</v>
      </c>
      <c r="B109" s="160" t="s">
        <v>96</v>
      </c>
      <c r="C109" s="160">
        <v>6</v>
      </c>
      <c r="D109" s="27"/>
      <c r="E109" s="27"/>
      <c r="F109" s="27"/>
      <c r="G109" s="27"/>
      <c r="H109" s="27"/>
      <c r="I109" s="27"/>
      <c r="J109" s="27">
        <v>6</v>
      </c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160"/>
      <c r="AD109" s="160"/>
      <c r="AE109" s="160">
        <v>6</v>
      </c>
      <c r="AF109" s="212">
        <v>0</v>
      </c>
    </row>
    <row r="110" spans="1:32" x14ac:dyDescent="0.2">
      <c r="A110" s="159" t="s">
        <v>51</v>
      </c>
      <c r="B110" s="160" t="s">
        <v>52</v>
      </c>
      <c r="C110" s="160">
        <v>4</v>
      </c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>
        <v>4</v>
      </c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160"/>
      <c r="AD110" s="160"/>
      <c r="AE110" s="160">
        <v>4</v>
      </c>
      <c r="AF110" s="212">
        <v>0</v>
      </c>
    </row>
    <row r="111" spans="1:32" x14ac:dyDescent="0.2">
      <c r="A111" s="159" t="s">
        <v>54</v>
      </c>
      <c r="B111" s="160" t="s">
        <v>55</v>
      </c>
      <c r="C111" s="160">
        <v>9</v>
      </c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>
        <v>9</v>
      </c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160"/>
      <c r="AD111" s="160"/>
      <c r="AE111" s="160">
        <v>9</v>
      </c>
      <c r="AF111" s="212">
        <v>0</v>
      </c>
    </row>
    <row r="112" spans="1:32" x14ac:dyDescent="0.2">
      <c r="A112" s="159" t="s">
        <v>294</v>
      </c>
      <c r="B112" s="160" t="s">
        <v>295</v>
      </c>
      <c r="C112" s="160">
        <v>4</v>
      </c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>
        <v>4</v>
      </c>
      <c r="V112" s="27"/>
      <c r="W112" s="27"/>
      <c r="X112" s="27"/>
      <c r="Y112" s="27"/>
      <c r="Z112" s="27"/>
      <c r="AA112" s="27"/>
      <c r="AB112" s="27"/>
      <c r="AC112" s="160"/>
      <c r="AD112" s="160"/>
      <c r="AE112" s="160">
        <v>4</v>
      </c>
      <c r="AF112" s="212">
        <v>0</v>
      </c>
    </row>
    <row r="113" spans="1:32" x14ac:dyDescent="0.2">
      <c r="A113" s="159" t="s">
        <v>56</v>
      </c>
      <c r="B113" s="160" t="s">
        <v>57</v>
      </c>
      <c r="C113" s="160">
        <v>1</v>
      </c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>
        <v>1</v>
      </c>
      <c r="Y113" s="27"/>
      <c r="Z113" s="27"/>
      <c r="AA113" s="27"/>
      <c r="AB113" s="27"/>
      <c r="AC113" s="160"/>
      <c r="AD113" s="160"/>
      <c r="AE113" s="160">
        <v>1</v>
      </c>
      <c r="AF113" s="212">
        <v>0</v>
      </c>
    </row>
    <row r="114" spans="1:32" x14ac:dyDescent="0.2">
      <c r="A114" s="159" t="s">
        <v>59</v>
      </c>
      <c r="B114" s="160" t="s">
        <v>97</v>
      </c>
      <c r="C114" s="160">
        <v>4</v>
      </c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>
        <v>4</v>
      </c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160"/>
      <c r="AD114" s="160"/>
      <c r="AE114" s="160">
        <v>4</v>
      </c>
      <c r="AF114" s="212">
        <v>0</v>
      </c>
    </row>
    <row r="115" spans="1:32" x14ac:dyDescent="0.2">
      <c r="A115" s="159" t="s">
        <v>61</v>
      </c>
      <c r="B115" s="160" t="s">
        <v>62</v>
      </c>
      <c r="C115" s="160">
        <v>1</v>
      </c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>
        <v>1</v>
      </c>
      <c r="AC115" s="160"/>
      <c r="AD115" s="160"/>
      <c r="AE115" s="160">
        <v>1</v>
      </c>
      <c r="AF115" s="212">
        <v>0</v>
      </c>
    </row>
    <row r="116" spans="1:32" x14ac:dyDescent="0.2">
      <c r="A116" s="159" t="s">
        <v>63</v>
      </c>
      <c r="B116" s="160" t="s">
        <v>64</v>
      </c>
      <c r="C116" s="160">
        <v>2</v>
      </c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>
        <v>2</v>
      </c>
      <c r="Z116" s="27"/>
      <c r="AA116" s="27"/>
      <c r="AB116" s="27"/>
      <c r="AC116" s="160"/>
      <c r="AD116" s="160"/>
      <c r="AE116" s="160">
        <v>2</v>
      </c>
      <c r="AF116" s="212">
        <v>0</v>
      </c>
    </row>
    <row r="117" spans="1:32" x14ac:dyDescent="0.2">
      <c r="A117" s="159" t="s">
        <v>65</v>
      </c>
      <c r="B117" s="160" t="s">
        <v>66</v>
      </c>
      <c r="C117" s="160">
        <v>2</v>
      </c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>
        <v>2</v>
      </c>
      <c r="AB117" s="27"/>
      <c r="AC117" s="160"/>
      <c r="AD117" s="160"/>
      <c r="AE117" s="160">
        <v>2</v>
      </c>
      <c r="AF117" s="212">
        <v>0</v>
      </c>
    </row>
    <row r="118" spans="1:32" x14ac:dyDescent="0.2">
      <c r="A118" s="159" t="s">
        <v>67</v>
      </c>
      <c r="B118" s="160" t="s">
        <v>98</v>
      </c>
      <c r="C118" s="160">
        <v>2</v>
      </c>
      <c r="D118" s="27"/>
      <c r="E118" s="27"/>
      <c r="F118" s="27"/>
      <c r="G118" s="27"/>
      <c r="H118" s="27"/>
      <c r="I118" s="27"/>
      <c r="J118" s="27">
        <v>2</v>
      </c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160"/>
      <c r="AD118" s="160"/>
      <c r="AE118" s="160">
        <v>2</v>
      </c>
      <c r="AF118" s="212">
        <v>0</v>
      </c>
    </row>
    <row r="119" spans="1:32" x14ac:dyDescent="0.2">
      <c r="A119" s="159" t="s">
        <v>73</v>
      </c>
      <c r="B119" s="160" t="s">
        <v>74</v>
      </c>
      <c r="C119" s="160">
        <v>3</v>
      </c>
      <c r="D119" s="27"/>
      <c r="E119" s="27"/>
      <c r="F119" s="27"/>
      <c r="G119" s="27"/>
      <c r="H119" s="27"/>
      <c r="I119" s="27"/>
      <c r="J119" s="27">
        <v>3</v>
      </c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160"/>
      <c r="AD119" s="160"/>
      <c r="AE119" s="160">
        <v>3</v>
      </c>
      <c r="AF119" s="212">
        <v>0</v>
      </c>
    </row>
    <row r="120" spans="1:32" x14ac:dyDescent="0.2">
      <c r="A120" s="159" t="s">
        <v>103</v>
      </c>
      <c r="B120" s="160" t="s">
        <v>239</v>
      </c>
      <c r="C120" s="160">
        <v>3</v>
      </c>
      <c r="D120" s="27"/>
      <c r="E120" s="27"/>
      <c r="F120" s="27"/>
      <c r="G120" s="27"/>
      <c r="H120" s="27"/>
      <c r="I120" s="27">
        <v>3</v>
      </c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160"/>
      <c r="AD120" s="160"/>
      <c r="AE120" s="160">
        <v>3</v>
      </c>
      <c r="AF120" s="212">
        <v>0</v>
      </c>
    </row>
    <row r="121" spans="1:32" x14ac:dyDescent="0.2">
      <c r="A121" s="159" t="s">
        <v>272</v>
      </c>
      <c r="B121" s="160" t="s">
        <v>273</v>
      </c>
      <c r="C121" s="160">
        <v>1</v>
      </c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>
        <v>1</v>
      </c>
      <c r="T121" s="27"/>
      <c r="U121" s="27"/>
      <c r="V121" s="27"/>
      <c r="W121" s="27"/>
      <c r="X121" s="27"/>
      <c r="Y121" s="27"/>
      <c r="Z121" s="27"/>
      <c r="AA121" s="27"/>
      <c r="AB121" s="27"/>
      <c r="AC121" s="160"/>
      <c r="AD121" s="160"/>
      <c r="AE121" s="160">
        <v>1</v>
      </c>
      <c r="AF121" s="212">
        <v>0</v>
      </c>
    </row>
    <row r="122" spans="1:32" x14ac:dyDescent="0.2">
      <c r="A122" s="159" t="s">
        <v>274</v>
      </c>
      <c r="B122" s="160" t="s">
        <v>275</v>
      </c>
      <c r="C122" s="160">
        <v>1</v>
      </c>
      <c r="D122" s="27"/>
      <c r="E122" s="27">
        <v>1</v>
      </c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160"/>
      <c r="AD122" s="160"/>
      <c r="AE122" s="160">
        <v>1</v>
      </c>
      <c r="AF122" s="212">
        <v>0</v>
      </c>
    </row>
    <row r="123" spans="1:32" x14ac:dyDescent="0.2">
      <c r="A123" s="159"/>
      <c r="B123" s="160"/>
      <c r="C123" s="160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160"/>
      <c r="AD123" s="160"/>
      <c r="AE123" s="160"/>
      <c r="AF123" s="212"/>
    </row>
    <row r="124" spans="1:32" ht="13.5" thickBot="1" x14ac:dyDescent="0.25">
      <c r="A124" s="161"/>
      <c r="B124" s="162" t="s">
        <v>249</v>
      </c>
      <c r="C124" s="163">
        <v>134</v>
      </c>
      <c r="D124" s="120">
        <v>17</v>
      </c>
      <c r="E124" s="120">
        <v>1</v>
      </c>
      <c r="F124" s="120">
        <v>0</v>
      </c>
      <c r="G124" s="120">
        <v>10</v>
      </c>
      <c r="H124" s="120">
        <v>0</v>
      </c>
      <c r="I124" s="120">
        <v>19</v>
      </c>
      <c r="J124" s="120">
        <v>23</v>
      </c>
      <c r="K124" s="120">
        <v>0</v>
      </c>
      <c r="L124" s="120">
        <v>0</v>
      </c>
      <c r="M124" s="120">
        <v>2</v>
      </c>
      <c r="N124" s="120">
        <v>6</v>
      </c>
      <c r="O124" s="120">
        <v>5</v>
      </c>
      <c r="P124" s="120">
        <v>0</v>
      </c>
      <c r="Q124" s="120">
        <v>17</v>
      </c>
      <c r="R124" s="120">
        <v>0</v>
      </c>
      <c r="S124" s="120">
        <v>1</v>
      </c>
      <c r="T124" s="120">
        <v>21</v>
      </c>
      <c r="U124" s="120">
        <v>4</v>
      </c>
      <c r="V124" s="120">
        <v>2</v>
      </c>
      <c r="W124" s="120">
        <v>0</v>
      </c>
      <c r="X124" s="120">
        <v>1</v>
      </c>
      <c r="Y124" s="120">
        <v>2</v>
      </c>
      <c r="Z124" s="120">
        <v>0</v>
      </c>
      <c r="AA124" s="120">
        <v>2</v>
      </c>
      <c r="AB124" s="120">
        <v>1</v>
      </c>
      <c r="AC124" s="163">
        <v>0</v>
      </c>
      <c r="AD124" s="163">
        <v>0</v>
      </c>
      <c r="AE124" s="163">
        <v>134</v>
      </c>
      <c r="AF124" s="213">
        <v>0</v>
      </c>
    </row>
    <row r="128" spans="1:32" ht="18.75" thickBot="1" x14ac:dyDescent="0.3">
      <c r="B128" s="154" t="s">
        <v>244</v>
      </c>
    </row>
    <row r="129" spans="1:32" ht="65.25" x14ac:dyDescent="0.25">
      <c r="A129" s="155"/>
      <c r="B129" s="156" t="s">
        <v>346</v>
      </c>
      <c r="C129" s="157" t="s">
        <v>4</v>
      </c>
      <c r="D129" s="158" t="s">
        <v>27</v>
      </c>
      <c r="E129" s="158" t="s">
        <v>109</v>
      </c>
      <c r="F129" s="158" t="s">
        <v>71</v>
      </c>
      <c r="G129" s="158" t="s">
        <v>19</v>
      </c>
      <c r="H129" s="158" t="s">
        <v>304</v>
      </c>
      <c r="I129" s="158" t="s">
        <v>48</v>
      </c>
      <c r="J129" s="158" t="s">
        <v>39</v>
      </c>
      <c r="K129" s="158" t="s">
        <v>114</v>
      </c>
      <c r="L129" s="158" t="s">
        <v>24</v>
      </c>
      <c r="M129" s="158" t="s">
        <v>115</v>
      </c>
      <c r="N129" s="158" t="s">
        <v>189</v>
      </c>
      <c r="O129" s="158" t="s">
        <v>32</v>
      </c>
      <c r="P129" s="158" t="s">
        <v>125</v>
      </c>
      <c r="Q129" s="158" t="s">
        <v>116</v>
      </c>
      <c r="R129" s="158" t="s">
        <v>118</v>
      </c>
      <c r="S129" s="158" t="s">
        <v>119</v>
      </c>
      <c r="T129" s="158" t="s">
        <v>50</v>
      </c>
      <c r="U129" s="158" t="s">
        <v>120</v>
      </c>
      <c r="V129" s="158" t="s">
        <v>13</v>
      </c>
      <c r="W129" s="158" t="s">
        <v>90</v>
      </c>
      <c r="X129" s="158" t="s">
        <v>58</v>
      </c>
      <c r="Y129" s="158" t="s">
        <v>297</v>
      </c>
      <c r="Z129" s="158" t="s">
        <v>8</v>
      </c>
      <c r="AA129" s="158" t="s">
        <v>306</v>
      </c>
      <c r="AB129" s="158" t="s">
        <v>29</v>
      </c>
      <c r="AC129" s="157" t="s">
        <v>53</v>
      </c>
      <c r="AD129" s="157" t="s">
        <v>16</v>
      </c>
      <c r="AE129" s="157" t="s">
        <v>142</v>
      </c>
      <c r="AF129" s="211" t="s">
        <v>245</v>
      </c>
    </row>
    <row r="130" spans="1:32" x14ac:dyDescent="0.2">
      <c r="A130" s="159" t="s">
        <v>72</v>
      </c>
      <c r="B130" s="160" t="s">
        <v>203</v>
      </c>
      <c r="C130" s="160">
        <v>5</v>
      </c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>
        <v>5</v>
      </c>
      <c r="U130" s="27"/>
      <c r="V130" s="27"/>
      <c r="W130" s="27"/>
      <c r="X130" s="27"/>
      <c r="Y130" s="27"/>
      <c r="Z130" s="27"/>
      <c r="AA130" s="27"/>
      <c r="AB130" s="27"/>
      <c r="AC130" s="160"/>
      <c r="AD130" s="160"/>
      <c r="AE130" s="160">
        <v>5</v>
      </c>
      <c r="AF130" s="212">
        <v>0</v>
      </c>
    </row>
    <row r="131" spans="1:32" x14ac:dyDescent="0.2">
      <c r="A131" s="159" t="s">
        <v>77</v>
      </c>
      <c r="B131" s="160" t="s">
        <v>213</v>
      </c>
      <c r="C131" s="160">
        <v>6</v>
      </c>
      <c r="D131" s="27"/>
      <c r="E131" s="27"/>
      <c r="F131" s="27"/>
      <c r="G131" s="27"/>
      <c r="H131" s="27"/>
      <c r="I131" s="27">
        <v>1</v>
      </c>
      <c r="J131" s="27"/>
      <c r="K131" s="27"/>
      <c r="L131" s="27"/>
      <c r="M131" s="27"/>
      <c r="N131" s="27"/>
      <c r="O131" s="27"/>
      <c r="P131" s="27"/>
      <c r="Q131" s="27"/>
      <c r="R131" s="27">
        <v>1</v>
      </c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160">
        <v>4</v>
      </c>
      <c r="AD131" s="160"/>
      <c r="AE131" s="160">
        <v>6</v>
      </c>
      <c r="AF131" s="212">
        <v>0</v>
      </c>
    </row>
    <row r="132" spans="1:32" x14ac:dyDescent="0.2">
      <c r="A132" s="159" t="s">
        <v>327</v>
      </c>
      <c r="B132" s="160" t="s">
        <v>328</v>
      </c>
      <c r="C132" s="160">
        <v>18</v>
      </c>
      <c r="D132" s="27"/>
      <c r="E132" s="27">
        <v>1</v>
      </c>
      <c r="F132" s="27"/>
      <c r="G132" s="27">
        <v>1</v>
      </c>
      <c r="H132" s="27"/>
      <c r="I132" s="27"/>
      <c r="J132" s="27"/>
      <c r="K132" s="27">
        <v>1</v>
      </c>
      <c r="L132" s="27"/>
      <c r="M132" s="27"/>
      <c r="N132" s="27"/>
      <c r="O132" s="27"/>
      <c r="P132" s="27"/>
      <c r="Q132" s="27"/>
      <c r="R132" s="27">
        <v>3</v>
      </c>
      <c r="S132" s="27">
        <v>1</v>
      </c>
      <c r="T132" s="27"/>
      <c r="U132" s="27">
        <v>1</v>
      </c>
      <c r="V132" s="27">
        <v>2</v>
      </c>
      <c r="W132" s="27"/>
      <c r="X132" s="27">
        <v>3</v>
      </c>
      <c r="Y132" s="27"/>
      <c r="Z132" s="27">
        <v>2</v>
      </c>
      <c r="AA132" s="27"/>
      <c r="AB132" s="27">
        <v>1</v>
      </c>
      <c r="AC132" s="160">
        <v>2</v>
      </c>
      <c r="AD132" s="160"/>
      <c r="AE132" s="160">
        <v>18</v>
      </c>
      <c r="AF132" s="212">
        <v>0</v>
      </c>
    </row>
    <row r="133" spans="1:32" x14ac:dyDescent="0.2">
      <c r="A133" s="159" t="s">
        <v>144</v>
      </c>
      <c r="B133" s="160" t="s">
        <v>222</v>
      </c>
      <c r="C133" s="160">
        <v>3</v>
      </c>
      <c r="D133" s="27"/>
      <c r="E133" s="27"/>
      <c r="F133" s="27"/>
      <c r="G133" s="27"/>
      <c r="H133" s="27"/>
      <c r="I133" s="27"/>
      <c r="J133" s="27"/>
      <c r="K133" s="27">
        <v>1</v>
      </c>
      <c r="L133" s="27"/>
      <c r="M133" s="27"/>
      <c r="N133" s="27">
        <v>1</v>
      </c>
      <c r="O133" s="27"/>
      <c r="P133" s="27"/>
      <c r="Q133" s="27"/>
      <c r="R133" s="27"/>
      <c r="S133" s="27"/>
      <c r="T133" s="27"/>
      <c r="U133" s="27"/>
      <c r="V133" s="27"/>
      <c r="W133" s="27"/>
      <c r="X133" s="27">
        <v>1</v>
      </c>
      <c r="Y133" s="27"/>
      <c r="Z133" s="27"/>
      <c r="AA133" s="27"/>
      <c r="AB133" s="27"/>
      <c r="AC133" s="160"/>
      <c r="AD133" s="160"/>
      <c r="AE133" s="160">
        <v>3</v>
      </c>
      <c r="AF133" s="212">
        <v>0</v>
      </c>
    </row>
    <row r="134" spans="1:32" x14ac:dyDescent="0.2">
      <c r="A134" s="159" t="s">
        <v>143</v>
      </c>
      <c r="B134" s="160" t="s">
        <v>223</v>
      </c>
      <c r="C134" s="160">
        <v>1</v>
      </c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>
        <v>1</v>
      </c>
      <c r="U134" s="27"/>
      <c r="V134" s="27"/>
      <c r="W134" s="27"/>
      <c r="X134" s="27"/>
      <c r="Y134" s="27"/>
      <c r="Z134" s="27"/>
      <c r="AA134" s="27"/>
      <c r="AB134" s="27"/>
      <c r="AC134" s="160"/>
      <c r="AD134" s="160"/>
      <c r="AE134" s="160">
        <v>1</v>
      </c>
      <c r="AF134" s="212">
        <v>0</v>
      </c>
    </row>
    <row r="135" spans="1:32" x14ac:dyDescent="0.2">
      <c r="A135" s="159" t="s">
        <v>145</v>
      </c>
      <c r="B135" s="160" t="s">
        <v>224</v>
      </c>
      <c r="C135" s="160">
        <v>3</v>
      </c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>
        <v>1</v>
      </c>
      <c r="U135" s="27">
        <v>1</v>
      </c>
      <c r="V135" s="27"/>
      <c r="W135" s="27"/>
      <c r="X135" s="27">
        <v>1</v>
      </c>
      <c r="Y135" s="27"/>
      <c r="Z135" s="27"/>
      <c r="AA135" s="27"/>
      <c r="AB135" s="27"/>
      <c r="AC135" s="160"/>
      <c r="AD135" s="160"/>
      <c r="AE135" s="160">
        <v>3</v>
      </c>
      <c r="AF135" s="212">
        <v>0</v>
      </c>
    </row>
    <row r="136" spans="1:32" x14ac:dyDescent="0.2">
      <c r="A136" s="159" t="s">
        <v>146</v>
      </c>
      <c r="B136" s="160" t="s">
        <v>225</v>
      </c>
      <c r="C136" s="160">
        <v>1</v>
      </c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>
        <v>1</v>
      </c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160"/>
      <c r="AD136" s="160"/>
      <c r="AE136" s="160">
        <v>1</v>
      </c>
      <c r="AF136" s="212">
        <v>0</v>
      </c>
    </row>
    <row r="137" spans="1:32" x14ac:dyDescent="0.2">
      <c r="A137" s="159" t="s">
        <v>173</v>
      </c>
      <c r="B137" s="160" t="s">
        <v>226</v>
      </c>
      <c r="C137" s="160">
        <v>7</v>
      </c>
      <c r="D137" s="27"/>
      <c r="E137" s="27">
        <v>1</v>
      </c>
      <c r="F137" s="27"/>
      <c r="G137" s="27">
        <v>1</v>
      </c>
      <c r="H137" s="27"/>
      <c r="I137" s="27"/>
      <c r="J137" s="27"/>
      <c r="K137" s="27">
        <v>2</v>
      </c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>
        <v>1</v>
      </c>
      <c r="W137" s="27"/>
      <c r="X137" s="27">
        <v>2</v>
      </c>
      <c r="Y137" s="27"/>
      <c r="Z137" s="27"/>
      <c r="AA137" s="27"/>
      <c r="AB137" s="27"/>
      <c r="AC137" s="160"/>
      <c r="AD137" s="160"/>
      <c r="AE137" s="160">
        <v>7</v>
      </c>
      <c r="AF137" s="212">
        <v>0</v>
      </c>
    </row>
    <row r="138" spans="1:32" x14ac:dyDescent="0.2">
      <c r="A138" s="159" t="s">
        <v>174</v>
      </c>
      <c r="B138" s="160" t="s">
        <v>227</v>
      </c>
      <c r="C138" s="160">
        <v>6</v>
      </c>
      <c r="D138" s="27"/>
      <c r="E138" s="27"/>
      <c r="F138" s="27"/>
      <c r="G138" s="27"/>
      <c r="H138" s="27"/>
      <c r="I138" s="27"/>
      <c r="J138" s="27"/>
      <c r="K138" s="27">
        <v>1</v>
      </c>
      <c r="L138" s="27"/>
      <c r="M138" s="27"/>
      <c r="N138" s="27"/>
      <c r="O138" s="27"/>
      <c r="P138" s="27"/>
      <c r="Q138" s="27"/>
      <c r="R138" s="27">
        <v>1</v>
      </c>
      <c r="S138" s="27"/>
      <c r="T138" s="27"/>
      <c r="U138" s="27"/>
      <c r="V138" s="27"/>
      <c r="W138" s="27"/>
      <c r="X138" s="27">
        <v>2</v>
      </c>
      <c r="Y138" s="27"/>
      <c r="Z138" s="27"/>
      <c r="AA138" s="27"/>
      <c r="AB138" s="27">
        <v>2</v>
      </c>
      <c r="AC138" s="160"/>
      <c r="AD138" s="160"/>
      <c r="AE138" s="160">
        <v>6</v>
      </c>
      <c r="AF138" s="212">
        <v>0</v>
      </c>
    </row>
    <row r="139" spans="1:32" x14ac:dyDescent="0.2">
      <c r="A139" s="159" t="s">
        <v>78</v>
      </c>
      <c r="B139" s="160" t="s">
        <v>128</v>
      </c>
      <c r="C139" s="160">
        <v>7</v>
      </c>
      <c r="D139" s="27"/>
      <c r="E139" s="27"/>
      <c r="F139" s="27"/>
      <c r="G139" s="27"/>
      <c r="H139" s="27"/>
      <c r="I139" s="27"/>
      <c r="J139" s="27"/>
      <c r="K139" s="27"/>
      <c r="L139" s="27"/>
      <c r="M139" s="27">
        <v>7</v>
      </c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160"/>
      <c r="AD139" s="160"/>
      <c r="AE139" s="160">
        <v>7</v>
      </c>
      <c r="AF139" s="212">
        <v>0</v>
      </c>
    </row>
    <row r="140" spans="1:32" x14ac:dyDescent="0.2">
      <c r="A140" s="159" t="s">
        <v>79</v>
      </c>
      <c r="B140" s="160" t="s">
        <v>140</v>
      </c>
      <c r="C140" s="160">
        <v>10</v>
      </c>
      <c r="D140" s="27"/>
      <c r="E140" s="27"/>
      <c r="F140" s="27"/>
      <c r="G140" s="27"/>
      <c r="H140" s="27"/>
      <c r="I140" s="27"/>
      <c r="J140" s="27"/>
      <c r="K140" s="27"/>
      <c r="L140" s="27"/>
      <c r="M140" s="27">
        <v>9</v>
      </c>
      <c r="N140" s="27"/>
      <c r="O140" s="27"/>
      <c r="P140" s="27"/>
      <c r="Q140" s="27"/>
      <c r="R140" s="27"/>
      <c r="S140" s="27">
        <v>1</v>
      </c>
      <c r="T140" s="27"/>
      <c r="U140" s="27"/>
      <c r="V140" s="27"/>
      <c r="W140" s="27"/>
      <c r="X140" s="27"/>
      <c r="Y140" s="27"/>
      <c r="Z140" s="27"/>
      <c r="AA140" s="27"/>
      <c r="AB140" s="27"/>
      <c r="AC140" s="160"/>
      <c r="AD140" s="160"/>
      <c r="AE140" s="160">
        <v>10</v>
      </c>
      <c r="AF140" s="212">
        <v>0</v>
      </c>
    </row>
    <row r="141" spans="1:32" x14ac:dyDescent="0.2">
      <c r="A141" s="159" t="s">
        <v>80</v>
      </c>
      <c r="B141" s="160" t="s">
        <v>151</v>
      </c>
      <c r="C141" s="160">
        <v>7</v>
      </c>
      <c r="D141" s="27"/>
      <c r="E141" s="27">
        <v>1</v>
      </c>
      <c r="F141" s="27"/>
      <c r="G141" s="27">
        <v>1</v>
      </c>
      <c r="H141" s="27"/>
      <c r="I141" s="27"/>
      <c r="J141" s="27"/>
      <c r="K141" s="27">
        <v>1</v>
      </c>
      <c r="L141" s="27"/>
      <c r="M141" s="27"/>
      <c r="N141" s="27"/>
      <c r="O141" s="27"/>
      <c r="P141" s="27"/>
      <c r="Q141" s="27"/>
      <c r="R141" s="27"/>
      <c r="S141" s="27"/>
      <c r="T141" s="27">
        <v>2</v>
      </c>
      <c r="U141" s="27"/>
      <c r="V141" s="27"/>
      <c r="W141" s="27"/>
      <c r="X141" s="27"/>
      <c r="Y141" s="27"/>
      <c r="Z141" s="27">
        <v>1</v>
      </c>
      <c r="AA141" s="27"/>
      <c r="AB141" s="27"/>
      <c r="AC141" s="160">
        <v>1</v>
      </c>
      <c r="AD141" s="160"/>
      <c r="AE141" s="160">
        <v>7</v>
      </c>
      <c r="AF141" s="212">
        <v>0</v>
      </c>
    </row>
    <row r="142" spans="1:32" x14ac:dyDescent="0.2">
      <c r="A142" s="159" t="s">
        <v>141</v>
      </c>
      <c r="B142" s="160" t="s">
        <v>214</v>
      </c>
      <c r="C142" s="160">
        <v>4</v>
      </c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>
        <v>4</v>
      </c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160"/>
      <c r="AD142" s="160"/>
      <c r="AE142" s="160">
        <v>4</v>
      </c>
      <c r="AF142" s="212">
        <v>0</v>
      </c>
    </row>
    <row r="143" spans="1:32" x14ac:dyDescent="0.2">
      <c r="A143" s="159" t="s">
        <v>147</v>
      </c>
      <c r="B143" s="160" t="s">
        <v>215</v>
      </c>
      <c r="C143" s="160">
        <v>3</v>
      </c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>
        <v>3</v>
      </c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160"/>
      <c r="AD143" s="160"/>
      <c r="AE143" s="160">
        <v>3</v>
      </c>
      <c r="AF143" s="212">
        <v>0</v>
      </c>
    </row>
    <row r="144" spans="1:32" x14ac:dyDescent="0.2">
      <c r="A144" s="159" t="s">
        <v>81</v>
      </c>
      <c r="B144" s="160" t="s">
        <v>209</v>
      </c>
      <c r="C144" s="160">
        <v>9</v>
      </c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>
        <v>5</v>
      </c>
      <c r="Y144" s="27"/>
      <c r="Z144" s="27"/>
      <c r="AA144" s="27"/>
      <c r="AB144" s="27"/>
      <c r="AC144" s="160">
        <v>4</v>
      </c>
      <c r="AD144" s="160"/>
      <c r="AE144" s="160">
        <v>9</v>
      </c>
      <c r="AF144" s="212">
        <v>0</v>
      </c>
    </row>
    <row r="145" spans="1:32" x14ac:dyDescent="0.2">
      <c r="A145" s="159" t="s">
        <v>82</v>
      </c>
      <c r="B145" s="160" t="s">
        <v>211</v>
      </c>
      <c r="C145" s="160">
        <v>10</v>
      </c>
      <c r="D145" s="27"/>
      <c r="E145" s="27"/>
      <c r="F145" s="27"/>
      <c r="G145" s="27"/>
      <c r="H145" s="27"/>
      <c r="I145" s="27"/>
      <c r="J145" s="27"/>
      <c r="K145" s="27">
        <v>3</v>
      </c>
      <c r="L145" s="27"/>
      <c r="M145" s="27"/>
      <c r="N145" s="27"/>
      <c r="O145" s="27"/>
      <c r="P145" s="27"/>
      <c r="Q145" s="27"/>
      <c r="R145" s="27"/>
      <c r="S145" s="27"/>
      <c r="T145" s="27"/>
      <c r="U145" s="27">
        <v>1</v>
      </c>
      <c r="V145" s="27">
        <v>2</v>
      </c>
      <c r="W145" s="27"/>
      <c r="X145" s="27"/>
      <c r="Y145" s="27">
        <v>2</v>
      </c>
      <c r="Z145" s="27"/>
      <c r="AA145" s="27"/>
      <c r="AB145" s="27"/>
      <c r="AC145" s="160">
        <v>2</v>
      </c>
      <c r="AD145" s="160"/>
      <c r="AE145" s="160">
        <v>10</v>
      </c>
      <c r="AF145" s="212">
        <v>0</v>
      </c>
    </row>
    <row r="146" spans="1:32" x14ac:dyDescent="0.2">
      <c r="A146" s="159" t="s">
        <v>83</v>
      </c>
      <c r="B146" s="160" t="s">
        <v>212</v>
      </c>
      <c r="C146" s="160">
        <v>7</v>
      </c>
      <c r="D146" s="27"/>
      <c r="E146" s="27"/>
      <c r="F146" s="27"/>
      <c r="G146" s="27"/>
      <c r="H146" s="27"/>
      <c r="I146" s="27"/>
      <c r="J146" s="27"/>
      <c r="K146" s="27">
        <v>1</v>
      </c>
      <c r="L146" s="27"/>
      <c r="M146" s="27"/>
      <c r="N146" s="27"/>
      <c r="O146" s="27">
        <v>1</v>
      </c>
      <c r="P146" s="27">
        <v>1</v>
      </c>
      <c r="Q146" s="27"/>
      <c r="R146" s="27">
        <v>1</v>
      </c>
      <c r="S146" s="27"/>
      <c r="T146" s="27"/>
      <c r="U146" s="27">
        <v>1</v>
      </c>
      <c r="V146" s="27"/>
      <c r="W146" s="27"/>
      <c r="X146" s="27"/>
      <c r="Y146" s="27"/>
      <c r="Z146" s="27"/>
      <c r="AA146" s="27">
        <v>1</v>
      </c>
      <c r="AB146" s="27"/>
      <c r="AC146" s="160">
        <v>1</v>
      </c>
      <c r="AD146" s="160"/>
      <c r="AE146" s="160">
        <v>7</v>
      </c>
      <c r="AF146" s="212">
        <v>0</v>
      </c>
    </row>
    <row r="147" spans="1:32" x14ac:dyDescent="0.2">
      <c r="A147" s="159" t="s">
        <v>100</v>
      </c>
      <c r="B147" s="160" t="s">
        <v>228</v>
      </c>
      <c r="C147" s="160">
        <v>22</v>
      </c>
      <c r="D147" s="27"/>
      <c r="E147" s="27">
        <v>3</v>
      </c>
      <c r="F147" s="27"/>
      <c r="G147" s="27"/>
      <c r="H147" s="27"/>
      <c r="I147" s="27">
        <v>3</v>
      </c>
      <c r="J147" s="27"/>
      <c r="K147" s="27"/>
      <c r="L147" s="27"/>
      <c r="M147" s="27"/>
      <c r="N147" s="27"/>
      <c r="O147" s="27"/>
      <c r="P147" s="27">
        <v>2</v>
      </c>
      <c r="Q147" s="27"/>
      <c r="R147" s="27">
        <v>5</v>
      </c>
      <c r="S147" s="27"/>
      <c r="T147" s="27"/>
      <c r="U147" s="27">
        <v>1</v>
      </c>
      <c r="V147" s="27"/>
      <c r="W147" s="27"/>
      <c r="X147" s="27">
        <v>7</v>
      </c>
      <c r="Y147" s="27"/>
      <c r="Z147" s="27">
        <v>1</v>
      </c>
      <c r="AA147" s="27"/>
      <c r="AB147" s="27"/>
      <c r="AC147" s="160"/>
      <c r="AD147" s="160"/>
      <c r="AE147" s="160">
        <v>22</v>
      </c>
      <c r="AF147" s="212">
        <v>0</v>
      </c>
    </row>
    <row r="148" spans="1:32" x14ac:dyDescent="0.2">
      <c r="A148" s="159" t="s">
        <v>100</v>
      </c>
      <c r="B148" s="160" t="s">
        <v>229</v>
      </c>
      <c r="C148" s="160">
        <v>14</v>
      </c>
      <c r="D148" s="27"/>
      <c r="E148" s="27">
        <v>1</v>
      </c>
      <c r="F148" s="27"/>
      <c r="G148" s="27">
        <v>3</v>
      </c>
      <c r="H148" s="27"/>
      <c r="I148" s="27">
        <v>1</v>
      </c>
      <c r="J148" s="27"/>
      <c r="K148" s="27">
        <v>3</v>
      </c>
      <c r="L148" s="27"/>
      <c r="M148" s="27"/>
      <c r="N148" s="27">
        <v>1</v>
      </c>
      <c r="O148" s="27"/>
      <c r="P148" s="27"/>
      <c r="Q148" s="27"/>
      <c r="R148" s="27">
        <v>1</v>
      </c>
      <c r="S148" s="27"/>
      <c r="T148" s="27"/>
      <c r="U148" s="27">
        <v>1</v>
      </c>
      <c r="V148" s="27">
        <v>1</v>
      </c>
      <c r="W148" s="27"/>
      <c r="X148" s="27"/>
      <c r="Y148" s="27"/>
      <c r="Z148" s="27">
        <v>1</v>
      </c>
      <c r="AA148" s="27">
        <v>1</v>
      </c>
      <c r="AB148" s="27"/>
      <c r="AC148" s="160"/>
      <c r="AD148" s="160"/>
      <c r="AE148" s="160">
        <v>14</v>
      </c>
      <c r="AF148" s="212">
        <v>0</v>
      </c>
    </row>
    <row r="149" spans="1:32" x14ac:dyDescent="0.2">
      <c r="A149" s="159" t="s">
        <v>101</v>
      </c>
      <c r="B149" s="160" t="s">
        <v>230</v>
      </c>
      <c r="C149" s="160">
        <v>22</v>
      </c>
      <c r="D149" s="27"/>
      <c r="E149" s="27"/>
      <c r="F149" s="27"/>
      <c r="G149" s="27"/>
      <c r="H149" s="27"/>
      <c r="I149" s="27"/>
      <c r="J149" s="27"/>
      <c r="K149" s="27">
        <v>4</v>
      </c>
      <c r="L149" s="27"/>
      <c r="M149" s="27"/>
      <c r="N149" s="27"/>
      <c r="O149" s="27"/>
      <c r="P149" s="27">
        <v>2</v>
      </c>
      <c r="Q149" s="27"/>
      <c r="R149" s="27"/>
      <c r="S149" s="27"/>
      <c r="T149" s="27">
        <v>2</v>
      </c>
      <c r="U149" s="27">
        <v>1</v>
      </c>
      <c r="V149" s="27">
        <v>4</v>
      </c>
      <c r="W149" s="27"/>
      <c r="X149" s="27"/>
      <c r="Y149" s="27">
        <v>2</v>
      </c>
      <c r="Z149" s="27">
        <v>2</v>
      </c>
      <c r="AA149" s="27">
        <v>3</v>
      </c>
      <c r="AB149" s="27"/>
      <c r="AC149" s="160">
        <v>2</v>
      </c>
      <c r="AD149" s="160"/>
      <c r="AE149" s="160">
        <v>22</v>
      </c>
      <c r="AF149" s="212">
        <v>0</v>
      </c>
    </row>
    <row r="150" spans="1:32" x14ac:dyDescent="0.2">
      <c r="A150" s="159" t="s">
        <v>101</v>
      </c>
      <c r="B150" s="160" t="s">
        <v>231</v>
      </c>
      <c r="C150" s="160">
        <v>14</v>
      </c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>
        <v>1</v>
      </c>
      <c r="O150" s="27"/>
      <c r="P150" s="27">
        <v>3</v>
      </c>
      <c r="Q150" s="27"/>
      <c r="R150" s="27"/>
      <c r="S150" s="27"/>
      <c r="T150" s="27">
        <v>2</v>
      </c>
      <c r="U150" s="27">
        <v>3</v>
      </c>
      <c r="V150" s="27"/>
      <c r="W150" s="27"/>
      <c r="X150" s="27">
        <v>3</v>
      </c>
      <c r="Y150" s="27">
        <v>1</v>
      </c>
      <c r="Z150" s="27">
        <v>1</v>
      </c>
      <c r="AA150" s="27"/>
      <c r="AB150" s="27"/>
      <c r="AC150" s="160"/>
      <c r="AD150" s="160"/>
      <c r="AE150" s="160">
        <v>14</v>
      </c>
      <c r="AF150" s="212">
        <v>0</v>
      </c>
    </row>
    <row r="151" spans="1:32" x14ac:dyDescent="0.2">
      <c r="A151" s="159" t="s">
        <v>159</v>
      </c>
      <c r="B151" s="160" t="s">
        <v>216</v>
      </c>
      <c r="C151" s="160">
        <v>7</v>
      </c>
      <c r="D151" s="27">
        <v>2</v>
      </c>
      <c r="E151" s="27"/>
      <c r="F151" s="27"/>
      <c r="G151" s="27"/>
      <c r="H151" s="27"/>
      <c r="I151" s="27"/>
      <c r="J151" s="27"/>
      <c r="K151" s="27">
        <v>1</v>
      </c>
      <c r="L151" s="27"/>
      <c r="M151" s="27"/>
      <c r="N151" s="27"/>
      <c r="O151" s="27"/>
      <c r="P151" s="27"/>
      <c r="Q151" s="27"/>
      <c r="R151" s="27"/>
      <c r="S151" s="27"/>
      <c r="T151" s="27"/>
      <c r="U151" s="27">
        <v>1</v>
      </c>
      <c r="V151" s="27">
        <v>2</v>
      </c>
      <c r="W151" s="27"/>
      <c r="X151" s="27"/>
      <c r="Y151" s="27">
        <v>1</v>
      </c>
      <c r="Z151" s="27"/>
      <c r="AA151" s="27"/>
      <c r="AB151" s="27"/>
      <c r="AC151" s="160"/>
      <c r="AD151" s="160"/>
      <c r="AE151" s="160">
        <v>7</v>
      </c>
      <c r="AF151" s="212">
        <v>0</v>
      </c>
    </row>
    <row r="152" spans="1:32" x14ac:dyDescent="0.2">
      <c r="A152" s="159" t="s">
        <v>160</v>
      </c>
      <c r="B152" s="160" t="s">
        <v>217</v>
      </c>
      <c r="C152" s="160">
        <v>6</v>
      </c>
      <c r="D152" s="27"/>
      <c r="E152" s="27"/>
      <c r="F152" s="27"/>
      <c r="G152" s="27"/>
      <c r="H152" s="27"/>
      <c r="I152" s="27">
        <v>1</v>
      </c>
      <c r="J152" s="27"/>
      <c r="K152" s="27"/>
      <c r="L152" s="27"/>
      <c r="M152" s="27"/>
      <c r="N152" s="27">
        <v>1</v>
      </c>
      <c r="O152" s="27"/>
      <c r="P152" s="27">
        <v>1</v>
      </c>
      <c r="Q152" s="27"/>
      <c r="R152" s="27">
        <v>1</v>
      </c>
      <c r="S152" s="27">
        <v>1</v>
      </c>
      <c r="T152" s="27"/>
      <c r="U152" s="27"/>
      <c r="V152" s="27"/>
      <c r="W152" s="27"/>
      <c r="X152" s="27"/>
      <c r="Y152" s="27"/>
      <c r="Z152" s="27"/>
      <c r="AA152" s="27">
        <v>1</v>
      </c>
      <c r="AB152" s="27"/>
      <c r="AC152" s="160"/>
      <c r="AD152" s="160"/>
      <c r="AE152" s="160">
        <v>6</v>
      </c>
      <c r="AF152" s="212">
        <v>0</v>
      </c>
    </row>
    <row r="153" spans="1:32" x14ac:dyDescent="0.2">
      <c r="A153" s="159" t="s">
        <v>237</v>
      </c>
      <c r="B153" s="160" t="s">
        <v>232</v>
      </c>
      <c r="C153" s="160">
        <v>7</v>
      </c>
      <c r="D153" s="27"/>
      <c r="E153" s="27">
        <v>1</v>
      </c>
      <c r="F153" s="27"/>
      <c r="G153" s="27">
        <v>2</v>
      </c>
      <c r="H153" s="27"/>
      <c r="I153" s="27"/>
      <c r="J153" s="27"/>
      <c r="K153" s="27"/>
      <c r="L153" s="27"/>
      <c r="M153" s="27"/>
      <c r="N153" s="27">
        <v>1</v>
      </c>
      <c r="O153" s="27"/>
      <c r="P153" s="27"/>
      <c r="Q153" s="27"/>
      <c r="R153" s="27">
        <v>2</v>
      </c>
      <c r="S153" s="27"/>
      <c r="T153" s="27"/>
      <c r="U153" s="27"/>
      <c r="V153" s="27"/>
      <c r="W153" s="27"/>
      <c r="X153" s="27"/>
      <c r="Y153" s="27"/>
      <c r="Z153" s="27"/>
      <c r="AA153" s="27">
        <v>1</v>
      </c>
      <c r="AB153" s="27"/>
      <c r="AC153" s="160"/>
      <c r="AD153" s="160"/>
      <c r="AE153" s="160">
        <v>7</v>
      </c>
      <c r="AF153" s="212">
        <v>0</v>
      </c>
    </row>
    <row r="154" spans="1:32" x14ac:dyDescent="0.2">
      <c r="A154" s="159" t="s">
        <v>238</v>
      </c>
      <c r="B154" s="160" t="s">
        <v>233</v>
      </c>
      <c r="C154" s="160">
        <v>0</v>
      </c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160"/>
      <c r="AD154" s="160"/>
      <c r="AE154" s="160">
        <v>0</v>
      </c>
      <c r="AF154" s="212">
        <v>0</v>
      </c>
    </row>
    <row r="155" spans="1:32" x14ac:dyDescent="0.2">
      <c r="A155" s="159" t="s">
        <v>162</v>
      </c>
      <c r="B155" s="160" t="s">
        <v>234</v>
      </c>
      <c r="C155" s="160">
        <v>5</v>
      </c>
      <c r="D155" s="27"/>
      <c r="E155" s="27">
        <v>1</v>
      </c>
      <c r="F155" s="27"/>
      <c r="G155" s="27">
        <v>1</v>
      </c>
      <c r="H155" s="27"/>
      <c r="I155" s="27"/>
      <c r="J155" s="27"/>
      <c r="K155" s="27">
        <v>1</v>
      </c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>
        <v>1</v>
      </c>
      <c r="AA155" s="27">
        <v>1</v>
      </c>
      <c r="AB155" s="27"/>
      <c r="AC155" s="160"/>
      <c r="AD155" s="160"/>
      <c r="AE155" s="160">
        <v>5</v>
      </c>
      <c r="AF155" s="212">
        <v>0</v>
      </c>
    </row>
    <row r="156" spans="1:32" x14ac:dyDescent="0.2">
      <c r="A156" s="159" t="s">
        <v>163</v>
      </c>
      <c r="B156" s="160" t="s">
        <v>235</v>
      </c>
      <c r="C156" s="160">
        <v>0</v>
      </c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160"/>
      <c r="AD156" s="160"/>
      <c r="AE156" s="160">
        <v>0</v>
      </c>
      <c r="AF156" s="212">
        <v>0</v>
      </c>
    </row>
    <row r="157" spans="1:32" x14ac:dyDescent="0.2">
      <c r="A157" s="159" t="s">
        <v>86</v>
      </c>
      <c r="B157" s="160" t="s">
        <v>221</v>
      </c>
      <c r="C157" s="160">
        <v>7</v>
      </c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>
        <v>1</v>
      </c>
      <c r="Q157" s="27"/>
      <c r="R157" s="27"/>
      <c r="S157" s="27">
        <v>1</v>
      </c>
      <c r="T157" s="27"/>
      <c r="U157" s="27"/>
      <c r="V157" s="27"/>
      <c r="W157" s="27"/>
      <c r="X157" s="27">
        <v>3</v>
      </c>
      <c r="Y157" s="27">
        <v>2</v>
      </c>
      <c r="Z157" s="27"/>
      <c r="AA157" s="27"/>
      <c r="AB157" s="27"/>
      <c r="AC157" s="160"/>
      <c r="AD157" s="160"/>
      <c r="AE157" s="160">
        <v>7</v>
      </c>
      <c r="AF157" s="212">
        <v>0</v>
      </c>
    </row>
    <row r="158" spans="1:32" x14ac:dyDescent="0.2">
      <c r="A158" s="159" t="s">
        <v>86</v>
      </c>
      <c r="B158" s="160" t="s">
        <v>220</v>
      </c>
      <c r="C158" s="160">
        <v>6</v>
      </c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>
        <v>1</v>
      </c>
      <c r="O158" s="27"/>
      <c r="P158" s="27"/>
      <c r="Q158" s="27"/>
      <c r="R158" s="27">
        <v>2</v>
      </c>
      <c r="S158" s="27"/>
      <c r="T158" s="27"/>
      <c r="U158" s="27"/>
      <c r="V158" s="27">
        <v>1</v>
      </c>
      <c r="W158" s="27"/>
      <c r="X158" s="27">
        <v>1</v>
      </c>
      <c r="Y158" s="27"/>
      <c r="Z158" s="27"/>
      <c r="AA158" s="27">
        <v>1</v>
      </c>
      <c r="AB158" s="27"/>
      <c r="AC158" s="160"/>
      <c r="AD158" s="160"/>
      <c r="AE158" s="160">
        <v>6</v>
      </c>
      <c r="AF158" s="212">
        <v>0</v>
      </c>
    </row>
    <row r="159" spans="1:32" x14ac:dyDescent="0.2">
      <c r="A159" s="159" t="s">
        <v>342</v>
      </c>
      <c r="B159" s="160" t="s">
        <v>344</v>
      </c>
      <c r="C159" s="160">
        <v>7</v>
      </c>
      <c r="D159" s="27"/>
      <c r="E159" s="27"/>
      <c r="F159" s="27"/>
      <c r="G159" s="27">
        <v>2</v>
      </c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>
        <v>3</v>
      </c>
      <c r="U159" s="27">
        <v>1</v>
      </c>
      <c r="V159" s="27"/>
      <c r="W159" s="27"/>
      <c r="X159" s="27"/>
      <c r="Y159" s="27"/>
      <c r="Z159" s="27">
        <v>1</v>
      </c>
      <c r="AA159" s="27"/>
      <c r="AB159" s="27"/>
      <c r="AC159" s="160"/>
      <c r="AD159" s="160"/>
      <c r="AE159" s="160">
        <v>7</v>
      </c>
      <c r="AF159" s="212">
        <v>0</v>
      </c>
    </row>
    <row r="160" spans="1:32" x14ac:dyDescent="0.2">
      <c r="A160" s="159" t="s">
        <v>343</v>
      </c>
      <c r="B160" s="160" t="s">
        <v>345</v>
      </c>
      <c r="C160" s="160">
        <v>6</v>
      </c>
      <c r="D160" s="27"/>
      <c r="E160" s="27"/>
      <c r="F160" s="27"/>
      <c r="G160" s="27">
        <v>1</v>
      </c>
      <c r="H160" s="27"/>
      <c r="I160" s="27"/>
      <c r="J160" s="27"/>
      <c r="K160" s="27">
        <v>1</v>
      </c>
      <c r="L160" s="27"/>
      <c r="M160" s="27"/>
      <c r="N160" s="27"/>
      <c r="O160" s="27"/>
      <c r="P160" s="27"/>
      <c r="Q160" s="27"/>
      <c r="R160" s="27">
        <v>2</v>
      </c>
      <c r="S160" s="27"/>
      <c r="T160" s="27"/>
      <c r="U160" s="27"/>
      <c r="V160" s="27">
        <v>1</v>
      </c>
      <c r="W160" s="27"/>
      <c r="X160" s="27"/>
      <c r="Y160" s="27">
        <v>1</v>
      </c>
      <c r="Z160" s="27"/>
      <c r="AA160" s="27"/>
      <c r="AB160" s="27"/>
      <c r="AC160" s="160"/>
      <c r="AD160" s="160"/>
      <c r="AE160" s="160">
        <v>6</v>
      </c>
      <c r="AF160" s="212">
        <v>0</v>
      </c>
    </row>
    <row r="161" spans="1:32" x14ac:dyDescent="0.2">
      <c r="A161" s="159" t="s">
        <v>164</v>
      </c>
      <c r="B161" s="160" t="s">
        <v>218</v>
      </c>
      <c r="C161" s="160">
        <v>3</v>
      </c>
      <c r="D161" s="27"/>
      <c r="E161" s="27">
        <v>1</v>
      </c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>
        <v>2</v>
      </c>
      <c r="T161" s="27"/>
      <c r="U161" s="27"/>
      <c r="V161" s="27"/>
      <c r="W161" s="27"/>
      <c r="X161" s="27"/>
      <c r="Y161" s="27"/>
      <c r="Z161" s="27"/>
      <c r="AA161" s="27"/>
      <c r="AB161" s="27"/>
      <c r="AC161" s="160"/>
      <c r="AD161" s="160"/>
      <c r="AE161" s="160">
        <v>3</v>
      </c>
      <c r="AF161" s="212">
        <v>0</v>
      </c>
    </row>
    <row r="162" spans="1:32" x14ac:dyDescent="0.2">
      <c r="A162" s="159" t="s">
        <v>165</v>
      </c>
      <c r="B162" s="160" t="s">
        <v>219</v>
      </c>
      <c r="C162" s="160">
        <v>1</v>
      </c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>
        <v>1</v>
      </c>
      <c r="V162" s="27"/>
      <c r="W162" s="27"/>
      <c r="X162" s="27"/>
      <c r="Y162" s="27"/>
      <c r="Z162" s="27"/>
      <c r="AA162" s="27"/>
      <c r="AB162" s="27"/>
      <c r="AC162" s="160"/>
      <c r="AD162" s="160"/>
      <c r="AE162" s="160">
        <v>1</v>
      </c>
      <c r="AF162" s="212">
        <v>0</v>
      </c>
    </row>
    <row r="163" spans="1:32" x14ac:dyDescent="0.2">
      <c r="A163" s="159" t="s">
        <v>329</v>
      </c>
      <c r="B163" s="160" t="s">
        <v>330</v>
      </c>
      <c r="C163" s="160">
        <v>9</v>
      </c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>
        <v>2</v>
      </c>
      <c r="O163" s="27"/>
      <c r="P163" s="27">
        <v>7</v>
      </c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160"/>
      <c r="AD163" s="160"/>
      <c r="AE163" s="160">
        <v>9</v>
      </c>
      <c r="AF163" s="212">
        <v>0</v>
      </c>
    </row>
    <row r="164" spans="1:32" x14ac:dyDescent="0.2">
      <c r="A164" s="159" t="s">
        <v>87</v>
      </c>
      <c r="B164" s="160" t="s">
        <v>102</v>
      </c>
      <c r="C164" s="160">
        <v>2</v>
      </c>
      <c r="D164" s="27"/>
      <c r="E164" s="27"/>
      <c r="F164" s="27"/>
      <c r="G164" s="27"/>
      <c r="H164" s="27"/>
      <c r="I164" s="27">
        <v>2</v>
      </c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160"/>
      <c r="AD164" s="160"/>
      <c r="AE164" s="160">
        <v>2</v>
      </c>
      <c r="AF164" s="212">
        <v>0</v>
      </c>
    </row>
    <row r="165" spans="1:32" x14ac:dyDescent="0.2">
      <c r="A165" s="159" t="s">
        <v>119</v>
      </c>
      <c r="B165" s="160" t="s">
        <v>236</v>
      </c>
      <c r="C165" s="160">
        <v>6</v>
      </c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>
        <v>6</v>
      </c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160"/>
      <c r="AD165" s="160"/>
      <c r="AE165" s="160">
        <v>6</v>
      </c>
      <c r="AF165" s="212">
        <v>0</v>
      </c>
    </row>
    <row r="166" spans="1:32" x14ac:dyDescent="0.2">
      <c r="A166" s="159"/>
      <c r="B166" s="160"/>
      <c r="C166" s="160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160"/>
      <c r="AD166" s="160"/>
      <c r="AE166" s="160"/>
      <c r="AF166" s="212"/>
    </row>
    <row r="167" spans="1:32" x14ac:dyDescent="0.2">
      <c r="A167" s="159"/>
      <c r="B167" s="164" t="s">
        <v>250</v>
      </c>
      <c r="C167" s="160">
        <v>251</v>
      </c>
      <c r="D167" s="27">
        <v>2</v>
      </c>
      <c r="E167" s="27">
        <v>10</v>
      </c>
      <c r="F167" s="27">
        <v>0</v>
      </c>
      <c r="G167" s="27">
        <v>12</v>
      </c>
      <c r="H167" s="27">
        <v>0</v>
      </c>
      <c r="I167" s="27">
        <v>8</v>
      </c>
      <c r="J167" s="27">
        <v>0</v>
      </c>
      <c r="K167" s="27">
        <v>20</v>
      </c>
      <c r="L167" s="27">
        <v>0</v>
      </c>
      <c r="M167" s="27">
        <v>16</v>
      </c>
      <c r="N167" s="27">
        <v>8</v>
      </c>
      <c r="O167" s="27">
        <v>7</v>
      </c>
      <c r="P167" s="27">
        <v>17</v>
      </c>
      <c r="Q167" s="27">
        <v>7</v>
      </c>
      <c r="R167" s="27">
        <v>20</v>
      </c>
      <c r="S167" s="27">
        <v>6</v>
      </c>
      <c r="T167" s="27">
        <v>16</v>
      </c>
      <c r="U167" s="27">
        <v>13</v>
      </c>
      <c r="V167" s="27">
        <v>14</v>
      </c>
      <c r="W167" s="27">
        <v>0</v>
      </c>
      <c r="X167" s="27">
        <v>28</v>
      </c>
      <c r="Y167" s="27">
        <v>9</v>
      </c>
      <c r="Z167" s="27">
        <v>10</v>
      </c>
      <c r="AA167" s="27">
        <v>9</v>
      </c>
      <c r="AB167" s="27">
        <v>3</v>
      </c>
      <c r="AC167" s="160">
        <v>16</v>
      </c>
      <c r="AD167" s="160">
        <v>0</v>
      </c>
      <c r="AE167" s="160">
        <v>251</v>
      </c>
      <c r="AF167" s="212">
        <v>0</v>
      </c>
    </row>
    <row r="168" spans="1:32" x14ac:dyDescent="0.2">
      <c r="A168" s="159"/>
      <c r="B168" s="160"/>
      <c r="C168" s="160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160"/>
      <c r="AD168" s="160"/>
      <c r="AE168" s="160"/>
      <c r="AF168" s="212"/>
    </row>
    <row r="169" spans="1:32" ht="13.5" thickBot="1" x14ac:dyDescent="0.25">
      <c r="A169" s="190"/>
      <c r="B169" s="191" t="s">
        <v>251</v>
      </c>
      <c r="C169" s="192">
        <v>385</v>
      </c>
      <c r="D169" s="193">
        <v>19</v>
      </c>
      <c r="E169" s="193">
        <v>11</v>
      </c>
      <c r="F169" s="193">
        <v>0</v>
      </c>
      <c r="G169" s="193">
        <v>22</v>
      </c>
      <c r="H169" s="193">
        <v>0</v>
      </c>
      <c r="I169" s="193">
        <v>27</v>
      </c>
      <c r="J169" s="193">
        <v>23</v>
      </c>
      <c r="K169" s="193">
        <v>20</v>
      </c>
      <c r="L169" s="193">
        <v>0</v>
      </c>
      <c r="M169" s="193">
        <v>18</v>
      </c>
      <c r="N169" s="193">
        <v>14</v>
      </c>
      <c r="O169" s="193">
        <v>12</v>
      </c>
      <c r="P169" s="193">
        <v>17</v>
      </c>
      <c r="Q169" s="193">
        <v>24</v>
      </c>
      <c r="R169" s="193">
        <v>20</v>
      </c>
      <c r="S169" s="193">
        <v>7</v>
      </c>
      <c r="T169" s="193">
        <v>37</v>
      </c>
      <c r="U169" s="193">
        <v>17</v>
      </c>
      <c r="V169" s="193">
        <v>16</v>
      </c>
      <c r="W169" s="193">
        <v>0</v>
      </c>
      <c r="X169" s="193">
        <v>29</v>
      </c>
      <c r="Y169" s="193">
        <v>11</v>
      </c>
      <c r="Z169" s="193">
        <v>10</v>
      </c>
      <c r="AA169" s="193">
        <v>11</v>
      </c>
      <c r="AB169" s="193">
        <v>4</v>
      </c>
      <c r="AC169" s="192">
        <v>16</v>
      </c>
      <c r="AD169" s="192">
        <v>0</v>
      </c>
      <c r="AE169" s="192">
        <v>385</v>
      </c>
      <c r="AF169" s="214">
        <v>0</v>
      </c>
    </row>
    <row r="170" spans="1:32" x14ac:dyDescent="0.2">
      <c r="A170" s="155"/>
      <c r="B170" s="165"/>
      <c r="C170" s="165"/>
      <c r="D170" s="166"/>
      <c r="E170" s="166"/>
      <c r="F170" s="166"/>
      <c r="G170" s="166"/>
      <c r="H170" s="166"/>
      <c r="I170" s="166"/>
      <c r="J170" s="166"/>
      <c r="K170" s="166"/>
      <c r="L170" s="166"/>
      <c r="M170" s="166"/>
      <c r="N170" s="166"/>
      <c r="O170" s="166"/>
      <c r="P170" s="166"/>
      <c r="Q170" s="166"/>
      <c r="R170" s="166"/>
      <c r="S170" s="166"/>
      <c r="T170" s="166"/>
      <c r="U170" s="166"/>
      <c r="V170" s="166"/>
      <c r="W170" s="166"/>
      <c r="X170" s="166"/>
      <c r="Y170" s="166"/>
      <c r="Z170" s="166"/>
      <c r="AA170" s="166"/>
      <c r="AB170" s="166"/>
      <c r="AC170" s="165"/>
      <c r="AD170" s="165"/>
      <c r="AE170" s="165"/>
      <c r="AF170" s="215"/>
    </row>
    <row r="171" spans="1:32" x14ac:dyDescent="0.2">
      <c r="A171" s="159"/>
      <c r="B171" s="164" t="s">
        <v>252</v>
      </c>
      <c r="C171" s="160">
        <v>780</v>
      </c>
      <c r="D171" s="27">
        <v>38</v>
      </c>
      <c r="E171" s="27">
        <v>20</v>
      </c>
      <c r="F171" s="27">
        <v>0</v>
      </c>
      <c r="G171" s="27">
        <v>40</v>
      </c>
      <c r="H171" s="27">
        <v>0</v>
      </c>
      <c r="I171" s="27">
        <v>59</v>
      </c>
      <c r="J171" s="27">
        <v>40</v>
      </c>
      <c r="K171" s="27">
        <v>35</v>
      </c>
      <c r="L171" s="27">
        <v>0</v>
      </c>
      <c r="M171" s="27">
        <v>38</v>
      </c>
      <c r="N171" s="27">
        <v>23</v>
      </c>
      <c r="O171" s="27">
        <v>39</v>
      </c>
      <c r="P171" s="27">
        <v>36</v>
      </c>
      <c r="Q171" s="27">
        <v>48</v>
      </c>
      <c r="R171" s="27">
        <v>38</v>
      </c>
      <c r="S171" s="27">
        <v>18</v>
      </c>
      <c r="T171" s="27">
        <v>55</v>
      </c>
      <c r="U171" s="27">
        <v>36</v>
      </c>
      <c r="V171" s="27">
        <v>35</v>
      </c>
      <c r="W171" s="27">
        <v>0</v>
      </c>
      <c r="X171" s="27">
        <v>54</v>
      </c>
      <c r="Y171" s="27">
        <v>18</v>
      </c>
      <c r="Z171" s="27">
        <v>36</v>
      </c>
      <c r="AA171" s="27">
        <v>20</v>
      </c>
      <c r="AB171" s="27">
        <v>17</v>
      </c>
      <c r="AC171" s="160">
        <v>36</v>
      </c>
      <c r="AD171" s="160">
        <v>0</v>
      </c>
      <c r="AE171" s="160">
        <v>779</v>
      </c>
      <c r="AF171" s="212">
        <v>-1</v>
      </c>
    </row>
    <row r="172" spans="1:32" x14ac:dyDescent="0.2">
      <c r="A172" s="159"/>
      <c r="B172" s="164" t="s">
        <v>253</v>
      </c>
      <c r="C172" s="160"/>
      <c r="D172" s="27">
        <v>2</v>
      </c>
      <c r="E172" s="27">
        <v>1</v>
      </c>
      <c r="F172" s="27">
        <v>0</v>
      </c>
      <c r="G172" s="27">
        <v>2</v>
      </c>
      <c r="H172" s="27">
        <v>0</v>
      </c>
      <c r="I172" s="27">
        <v>3</v>
      </c>
      <c r="J172" s="27">
        <v>2</v>
      </c>
      <c r="K172" s="27">
        <v>2</v>
      </c>
      <c r="L172" s="27">
        <v>0</v>
      </c>
      <c r="M172" s="27">
        <v>2</v>
      </c>
      <c r="N172" s="27">
        <v>1</v>
      </c>
      <c r="O172" s="27">
        <v>2</v>
      </c>
      <c r="P172" s="27">
        <v>2</v>
      </c>
      <c r="Q172" s="27">
        <v>2</v>
      </c>
      <c r="R172" s="27">
        <v>2</v>
      </c>
      <c r="S172" s="27">
        <v>1</v>
      </c>
      <c r="T172" s="27">
        <v>3</v>
      </c>
      <c r="U172" s="27">
        <v>2</v>
      </c>
      <c r="V172" s="27">
        <v>2</v>
      </c>
      <c r="W172" s="27">
        <v>0</v>
      </c>
      <c r="X172" s="27">
        <v>3</v>
      </c>
      <c r="Y172" s="27">
        <v>1</v>
      </c>
      <c r="Z172" s="27">
        <v>2</v>
      </c>
      <c r="AA172" s="27">
        <v>1</v>
      </c>
      <c r="AB172" s="27">
        <v>1</v>
      </c>
      <c r="AC172" s="160">
        <v>2</v>
      </c>
      <c r="AD172" s="160">
        <v>0</v>
      </c>
      <c r="AE172" s="160"/>
      <c r="AF172" s="212"/>
    </row>
    <row r="173" spans="1:32" x14ac:dyDescent="0.2">
      <c r="A173" s="159"/>
      <c r="B173" s="164" t="s">
        <v>254</v>
      </c>
      <c r="C173" s="160"/>
      <c r="D173" s="195">
        <v>-4.8780487804876316E-2</v>
      </c>
      <c r="E173" s="194">
        <v>0.97560975609756184</v>
      </c>
      <c r="F173" s="194">
        <v>0</v>
      </c>
      <c r="G173" s="194">
        <v>1.9512195121951237</v>
      </c>
      <c r="H173" s="194">
        <v>0</v>
      </c>
      <c r="I173" s="194">
        <v>1.9268292682926855</v>
      </c>
      <c r="J173" s="194">
        <v>1.9512195121951237</v>
      </c>
      <c r="K173" s="195">
        <v>-3.0487804878048763</v>
      </c>
      <c r="L173" s="194">
        <v>0</v>
      </c>
      <c r="M173" s="195">
        <v>-4.8780487804876316E-2</v>
      </c>
      <c r="N173" s="194">
        <v>3.9756097560975618</v>
      </c>
      <c r="O173" s="194">
        <v>0.95121951219512368</v>
      </c>
      <c r="P173" s="195">
        <v>-2.0487804878048763</v>
      </c>
      <c r="Q173" s="194">
        <v>9.9512195121951237</v>
      </c>
      <c r="R173" s="195">
        <v>-4.8780487804876316E-2</v>
      </c>
      <c r="S173" s="195">
        <v>-1.0243902439024382</v>
      </c>
      <c r="T173" s="195">
        <v>-2.0731707317073145</v>
      </c>
      <c r="U173" s="195">
        <v>-2.0487804878048763</v>
      </c>
      <c r="V173" s="195">
        <v>-3.0487804878048763</v>
      </c>
      <c r="W173" s="194">
        <v>0</v>
      </c>
      <c r="X173" s="195">
        <v>-3.0731707317073145</v>
      </c>
      <c r="Y173" s="195">
        <v>-1.0243902439024382</v>
      </c>
      <c r="Z173" s="195">
        <v>-2.0487804878048763</v>
      </c>
      <c r="AA173" s="194">
        <v>0.97560975609756184</v>
      </c>
      <c r="AB173" s="195">
        <v>-2.0243902439024382</v>
      </c>
      <c r="AC173" s="234">
        <v>-2.0487804878048763</v>
      </c>
      <c r="AD173" s="216">
        <v>0</v>
      </c>
      <c r="AE173" s="160"/>
      <c r="AF173" s="212"/>
    </row>
    <row r="174" spans="1:32" x14ac:dyDescent="0.2">
      <c r="A174" s="159"/>
      <c r="B174" s="160"/>
      <c r="C174" s="160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160"/>
      <c r="AD174" s="160"/>
      <c r="AE174" s="160"/>
      <c r="AF174" s="212"/>
    </row>
    <row r="175" spans="1:32" x14ac:dyDescent="0.2">
      <c r="A175" s="159"/>
      <c r="B175" s="160"/>
      <c r="C175" s="160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160"/>
      <c r="AD175" s="160"/>
      <c r="AE175" s="160"/>
      <c r="AF175" s="212"/>
    </row>
    <row r="176" spans="1:32" x14ac:dyDescent="0.2">
      <c r="A176" s="159"/>
      <c r="B176" s="164" t="s">
        <v>255</v>
      </c>
      <c r="C176" s="160">
        <v>780</v>
      </c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160"/>
      <c r="AD176" s="160"/>
      <c r="AE176" s="160"/>
      <c r="AF176" s="212"/>
    </row>
    <row r="177" spans="1:32" x14ac:dyDescent="0.2">
      <c r="A177" s="159"/>
      <c r="B177" s="164" t="s">
        <v>256</v>
      </c>
      <c r="C177" s="160">
        <v>41</v>
      </c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160"/>
      <c r="AD177" s="160"/>
      <c r="AE177" s="160"/>
      <c r="AF177" s="212"/>
    </row>
    <row r="178" spans="1:32" ht="13.5" thickBot="1" x14ac:dyDescent="0.25">
      <c r="A178" s="161"/>
      <c r="B178" s="167" t="s">
        <v>172</v>
      </c>
      <c r="C178" s="163">
        <v>19.024390243902438</v>
      </c>
      <c r="D178" s="120"/>
      <c r="E178" s="120"/>
      <c r="F178" s="120"/>
      <c r="G178" s="120"/>
      <c r="H178" s="120"/>
      <c r="I178" s="120"/>
      <c r="J178" s="120"/>
      <c r="K178" s="120"/>
      <c r="L178" s="120"/>
      <c r="M178" s="120"/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  <c r="AC178" s="163"/>
      <c r="AD178" s="163"/>
      <c r="AE178" s="163"/>
      <c r="AF178" s="213"/>
    </row>
  </sheetData>
  <sheetProtection sheet="1" objects="1" scenarios="1"/>
  <phoneticPr fontId="13" type="noConversion"/>
  <pageMargins left="0.75" right="0.75" top="1" bottom="1" header="0.5" footer="0.5"/>
  <pageSetup paperSize="5" scale="18" orientation="landscape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HTS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HTSPreShowMatrix"/>
      </mc:Fallback>
    </mc:AlternateContent>
    <mc:AlternateContent xmlns:mc="http://schemas.openxmlformats.org/markup-compatibility/2006">
      <mc:Choice Requires="x14">
        <control shapeId="8195" r:id="rId8" name="HTS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HTS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>
      <selection activeCell="D4" sqref="D4"/>
    </sheetView>
  </sheetViews>
  <sheetFormatPr defaultRowHeight="12.75" x14ac:dyDescent="0.2"/>
  <sheetData>
    <row r="1" spans="1:10" x14ac:dyDescent="0.2">
      <c r="A1" t="s">
        <v>183</v>
      </c>
      <c r="I1" t="s">
        <v>205</v>
      </c>
    </row>
    <row r="3" spans="1:10" x14ac:dyDescent="0.2">
      <c r="C3" t="s">
        <v>178</v>
      </c>
      <c r="D3" t="s">
        <v>179</v>
      </c>
    </row>
    <row r="4" spans="1:10" x14ac:dyDescent="0.2">
      <c r="A4" t="s">
        <v>367</v>
      </c>
      <c r="C4" t="e">
        <f>FindHourlyRows("FALL Friday",FALLFriday)</f>
        <v>#VALUE!</v>
      </c>
      <c r="D4" t="e">
        <f>FindHourlyCols("FALLFriday",FALLFriday)</f>
        <v>#VALUE!</v>
      </c>
      <c r="F4" s="21" t="s">
        <v>361</v>
      </c>
      <c r="H4" t="str">
        <f>FALLFriday</f>
        <v>Friday 9/29/2023</v>
      </c>
      <c r="J4">
        <f>ROW(FALLFriday)</f>
        <v>5</v>
      </c>
    </row>
    <row r="5" spans="1:10" x14ac:dyDescent="0.2">
      <c r="A5" t="s">
        <v>368</v>
      </c>
      <c r="C5" t="e">
        <f>FindHourlyRows(FALL Saturday,FALLSaturday)</f>
        <v>#VALUE!</v>
      </c>
      <c r="D5" t="e">
        <f>FindHourlyCols("HTS Saturday",FALLSaturday)</f>
        <v>#VALUE!</v>
      </c>
      <c r="F5" s="21" t="s">
        <v>362</v>
      </c>
      <c r="H5" t="str">
        <f>FALLSaturday</f>
        <v>Saturday 9/30/2023</v>
      </c>
      <c r="J5">
        <f>ROW(FALLSaturday)</f>
        <v>5</v>
      </c>
    </row>
    <row r="6" spans="1:10" x14ac:dyDescent="0.2">
      <c r="A6" t="s">
        <v>369</v>
      </c>
      <c r="C6" t="e">
        <f>FindHourlyRows("FALL Sunday",FALLSunday)</f>
        <v>#VALUE!</v>
      </c>
      <c r="D6" t="e">
        <f>FindHourlyCols("HTS Sunday",FALLSunday)</f>
        <v>#VALUE!</v>
      </c>
      <c r="F6" s="21" t="s">
        <v>363</v>
      </c>
      <c r="H6" t="str">
        <f>FALLSunday</f>
        <v>Sunday 10/1/2023</v>
      </c>
      <c r="J6">
        <f>ROW(FALLSunday)</f>
        <v>5</v>
      </c>
    </row>
    <row r="7" spans="1:10" x14ac:dyDescent="0.2">
      <c r="A7" t="s">
        <v>180</v>
      </c>
      <c r="C7" t="e">
        <f>FindHourlyRows("DAT Friday",DATFriday)</f>
        <v>#VALUE!</v>
      </c>
      <c r="D7">
        <f>FindHourlyCols("DAT Friday",DATFriday)</f>
        <v>16</v>
      </c>
      <c r="F7" t="s">
        <v>364</v>
      </c>
      <c r="H7" t="str">
        <f>DATFriday</f>
        <v>Friday 01/19/2024</v>
      </c>
      <c r="J7">
        <f>ROW(DATFriday)</f>
        <v>5</v>
      </c>
    </row>
    <row r="8" spans="1:10" x14ac:dyDescent="0.2">
      <c r="A8" t="s">
        <v>181</v>
      </c>
      <c r="C8" t="e">
        <f>FindHourlyRows("DAT Saturday",DATSaturday)</f>
        <v>#VALUE!</v>
      </c>
      <c r="D8">
        <f>FindHourlyCols("DAT Saturday",DATSaturday)</f>
        <v>12</v>
      </c>
      <c r="F8" t="s">
        <v>365</v>
      </c>
      <c r="H8" t="str">
        <f>DATSaturday</f>
        <v>Saturday 01/20/2024</v>
      </c>
      <c r="J8">
        <f>ROW(DATSaturday)</f>
        <v>5</v>
      </c>
    </row>
    <row r="9" spans="1:10" x14ac:dyDescent="0.2">
      <c r="A9" t="s">
        <v>182</v>
      </c>
      <c r="C9">
        <f>FindHourlyRows("DAT Sunday",DATSunday)</f>
        <v>27</v>
      </c>
      <c r="D9">
        <f>FindHourlyCols("DAT Sunday",DATSunday)</f>
        <v>11</v>
      </c>
      <c r="F9" t="s">
        <v>366</v>
      </c>
      <c r="H9" t="str">
        <f>DATSunday</f>
        <v>Sunday 01/21/2024</v>
      </c>
      <c r="J9">
        <f>ROW(DATSunday)</f>
        <v>5</v>
      </c>
    </row>
    <row r="12" spans="1:10" x14ac:dyDescent="0.2">
      <c r="A12" t="s">
        <v>240</v>
      </c>
      <c r="D12">
        <v>0</v>
      </c>
    </row>
    <row r="13" spans="1:10" x14ac:dyDescent="0.2">
      <c r="A13" t="s">
        <v>266</v>
      </c>
      <c r="D13">
        <v>1</v>
      </c>
      <c r="F13" t="s">
        <v>289</v>
      </c>
      <c r="I13">
        <v>1</v>
      </c>
    </row>
    <row r="15" spans="1:10" x14ac:dyDescent="0.2">
      <c r="C15" t="s">
        <v>264</v>
      </c>
      <c r="D15" t="s">
        <v>263</v>
      </c>
    </row>
    <row r="16" spans="1:10" x14ac:dyDescent="0.2">
      <c r="A16" t="s">
        <v>258</v>
      </c>
      <c r="C16">
        <v>1</v>
      </c>
      <c r="D16">
        <v>32</v>
      </c>
    </row>
    <row r="17" spans="1:4" x14ac:dyDescent="0.2">
      <c r="A17" t="s">
        <v>260</v>
      </c>
      <c r="C17">
        <v>4</v>
      </c>
      <c r="D17">
        <v>39</v>
      </c>
    </row>
    <row r="18" spans="1:4" x14ac:dyDescent="0.2">
      <c r="A18" t="s">
        <v>259</v>
      </c>
      <c r="C18">
        <v>43</v>
      </c>
      <c r="D18">
        <v>86</v>
      </c>
    </row>
    <row r="19" spans="1:4" x14ac:dyDescent="0.2">
      <c r="A19" t="s">
        <v>261</v>
      </c>
      <c r="C19">
        <v>90</v>
      </c>
      <c r="D19">
        <v>124</v>
      </c>
    </row>
    <row r="20" spans="1:4" x14ac:dyDescent="0.2">
      <c r="A20" t="s">
        <v>262</v>
      </c>
      <c r="C20">
        <v>128</v>
      </c>
      <c r="D20">
        <v>178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2:E29"/>
  <sheetViews>
    <sheetView view="pageBreakPreview" zoomScale="60" zoomScaleNormal="100" workbookViewId="0">
      <selection activeCell="S38" sqref="S38"/>
    </sheetView>
  </sheetViews>
  <sheetFormatPr defaultRowHeight="18" x14ac:dyDescent="0.25"/>
  <cols>
    <col min="1" max="1" width="18" style="206" customWidth="1"/>
    <col min="2" max="2" width="50.5703125" style="206" customWidth="1"/>
    <col min="3" max="3" width="27.42578125" style="206" customWidth="1"/>
  </cols>
  <sheetData>
    <row r="2" spans="1:5" s="207" customFormat="1" x14ac:dyDescent="0.25">
      <c r="A2" s="208" t="s">
        <v>107</v>
      </c>
      <c r="B2" s="208" t="s">
        <v>302</v>
      </c>
      <c r="C2" s="208" t="s">
        <v>303</v>
      </c>
    </row>
    <row r="3" spans="1:5" x14ac:dyDescent="0.25">
      <c r="E3" s="206"/>
    </row>
    <row r="4" spans="1:5" ht="20.100000000000001" customHeight="1" x14ac:dyDescent="0.25">
      <c r="A4" s="206" t="str">
        <f>(Participants!A8)</f>
        <v>ON30</v>
      </c>
      <c r="B4" s="206" t="str">
        <f>(Participants!B8)</f>
        <v>0n30 Texas Outlaws</v>
      </c>
      <c r="C4" s="206" t="str">
        <f>(Participants!G8)</f>
        <v>Don Culbertson</v>
      </c>
    </row>
    <row r="5" spans="1:5" ht="20.100000000000001" customHeight="1" x14ac:dyDescent="0.25">
      <c r="A5" s="206" t="str">
        <f>(Participants!A9)</f>
        <v>CMRC</v>
      </c>
      <c r="B5" s="206" t="str">
        <f>(Participants!B9)</f>
        <v>Cowtown Model Railroad Club</v>
      </c>
      <c r="C5" s="206" t="str">
        <f>(Participants!G9)</f>
        <v>Rick Jones</v>
      </c>
    </row>
    <row r="6" spans="1:5" ht="20.100000000000001" customHeight="1" x14ac:dyDescent="0.25">
      <c r="A6" s="206" t="e">
        <f>(Participants!#REF!)</f>
        <v>#REF!</v>
      </c>
      <c r="B6" s="206" t="e">
        <f>(Participants!#REF!)</f>
        <v>#REF!</v>
      </c>
      <c r="C6" s="206" t="e">
        <f>(Participants!#REF!)</f>
        <v>#REF!</v>
      </c>
    </row>
    <row r="7" spans="1:5" ht="20.100000000000001" customHeight="1" x14ac:dyDescent="0.25">
      <c r="A7" s="206" t="str">
        <f>(Participants!A10)</f>
        <v>DA</v>
      </c>
      <c r="B7" s="206" t="str">
        <f>(Participants!B10)</f>
        <v>Denton Area Model Railroad Club</v>
      </c>
      <c r="C7" s="206" t="str">
        <f>(Participants!G10)</f>
        <v>David Gramm</v>
      </c>
    </row>
    <row r="8" spans="1:5" ht="20.100000000000001" customHeight="1" x14ac:dyDescent="0.25">
      <c r="A8" s="206" t="str">
        <f>(Participants!A11)</f>
        <v>DFWO</v>
      </c>
      <c r="B8" s="206" t="str">
        <f>(Participants!B11)</f>
        <v>DFW O Scalers</v>
      </c>
      <c r="C8" s="206" t="str">
        <f>(Participants!G11)</f>
        <v>Ridhard Moore</v>
      </c>
    </row>
    <row r="9" spans="1:5" ht="20.100000000000001" customHeight="1" x14ac:dyDescent="0.25">
      <c r="A9" s="206" t="str">
        <f>(Participants!A12)</f>
        <v>LM</v>
      </c>
      <c r="B9" s="206" t="str">
        <f>(Participants!B12)</f>
        <v>Lionel Modular Group</v>
      </c>
      <c r="C9" s="206" t="str">
        <f>(Participants!G12)</f>
        <v>Rich Hildebrandt</v>
      </c>
    </row>
    <row r="10" spans="1:5" ht="20.100000000000001" customHeight="1" x14ac:dyDescent="0.25">
      <c r="A10" s="206" t="str">
        <f>(Participants!A13)</f>
        <v>LSF</v>
      </c>
      <c r="B10" s="206" t="str">
        <f>(Participants!B13)</f>
        <v>Lone Star Flyer</v>
      </c>
      <c r="C10" s="206" t="str">
        <f>(Participants!G13)</f>
        <v>George Miner</v>
      </c>
    </row>
    <row r="11" spans="1:5" ht="20.100000000000001" customHeight="1" x14ac:dyDescent="0.25">
      <c r="A11" s="206" t="str">
        <f>(Participants!A14)</f>
        <v>LSTR</v>
      </c>
      <c r="B11" s="206" t="str">
        <f>(Participants!B14)</f>
        <v>Lone Star High Railers / Three Railers</v>
      </c>
      <c r="C11" s="206" t="str">
        <f>(Participants!G14)</f>
        <v>John Read</v>
      </c>
    </row>
    <row r="12" spans="1:5" ht="20.100000000000001" customHeight="1" x14ac:dyDescent="0.25">
      <c r="A12" s="206" t="e">
        <f>(Participants!#REF!)</f>
        <v>#REF!</v>
      </c>
      <c r="B12" s="206" t="e">
        <f>(Participants!#REF!)</f>
        <v>#REF!</v>
      </c>
      <c r="C12" s="206" t="e">
        <f>(Participants!#REF!)</f>
        <v>#REF!</v>
      </c>
    </row>
    <row r="13" spans="1:5" ht="20.100000000000001" customHeight="1" x14ac:dyDescent="0.25">
      <c r="A13" s="206" t="str">
        <f>(Participants!A15)</f>
        <v>LSR</v>
      </c>
      <c r="B13" s="206" t="str">
        <f>(Participants!B15)</f>
        <v>Lone Star Region - NMRA</v>
      </c>
      <c r="C13" s="206" t="str">
        <f>(Participants!G15)</f>
        <v>Chris Atkins</v>
      </c>
    </row>
    <row r="14" spans="1:5" ht="20.100000000000001" customHeight="1" x14ac:dyDescent="0.25">
      <c r="A14" s="206" t="str">
        <f>(Participants!A16)</f>
        <v>NTXG</v>
      </c>
      <c r="B14" s="206" t="str">
        <f>(Participants!B16)</f>
        <v>N.Tx. Garden RR Consortium</v>
      </c>
      <c r="C14" s="206" t="str">
        <f>(Participants!G16)</f>
        <v>Pete Dahlberg</v>
      </c>
    </row>
    <row r="15" spans="1:5" ht="20.100000000000001" customHeight="1" x14ac:dyDescent="0.25">
      <c r="A15" s="206" t="str">
        <f>(Participants!A17)</f>
        <v>NRHS</v>
      </c>
      <c r="B15" s="206" t="str">
        <f>(Participants!B17)</f>
        <v>Nat'l R/W Historical Society of N/T</v>
      </c>
      <c r="C15" s="206" t="str">
        <f>(Participants!G17)</f>
        <v>David Podhrasky</v>
      </c>
    </row>
    <row r="16" spans="1:5" ht="20.100000000000001" customHeight="1" x14ac:dyDescent="0.25">
      <c r="A16" s="206" t="str">
        <f>(Participants!A19)</f>
        <v>NTNG</v>
      </c>
      <c r="B16" s="206" t="str">
        <f>(Participants!B19)</f>
        <v>North Texas Narrow Gauge</v>
      </c>
      <c r="C16" s="206" t="str">
        <f>(Participants!G19)</f>
        <v>Marc LaShey</v>
      </c>
    </row>
    <row r="17" spans="1:3" ht="20.100000000000001" customHeight="1" x14ac:dyDescent="0.25">
      <c r="A17" s="206" t="str">
        <f>(Participants!A20)</f>
        <v>NTNT</v>
      </c>
      <c r="B17" s="206" t="str">
        <f>(Participants!B20)</f>
        <v>North Texas NTRAK</v>
      </c>
      <c r="C17" s="206" t="str">
        <f>(Participants!G20)</f>
        <v>Keith Todd</v>
      </c>
    </row>
    <row r="18" spans="1:3" ht="20.100000000000001" customHeight="1" x14ac:dyDescent="0.25">
      <c r="A18" s="206" t="str">
        <f>(Participants!A21)</f>
        <v>BNRR</v>
      </c>
      <c r="B18" s="206" t="str">
        <f>(Participants!B21)</f>
        <v>North Texas Railroad Modelers</v>
      </c>
      <c r="C18" s="206" t="str">
        <f>(Participants!G21)</f>
        <v>Brian Lingle</v>
      </c>
    </row>
    <row r="19" spans="1:3" ht="20.100000000000001" customHeight="1" x14ac:dyDescent="0.25">
      <c r="A19" s="206" t="str">
        <f>(Participants!A22)</f>
        <v>NTTT</v>
      </c>
      <c r="B19" s="206" t="str">
        <f>(Participants!B22)</f>
        <v>North Texas T-Trak</v>
      </c>
      <c r="C19" s="206" t="str">
        <f>(Participants!G22)</f>
        <v>Vic McTee</v>
      </c>
    </row>
    <row r="20" spans="1:3" ht="20.100000000000001" customHeight="1" x14ac:dyDescent="0.25">
      <c r="A20" s="206" t="str">
        <f>(Participants!A23)</f>
        <v>RR</v>
      </c>
      <c r="B20" s="206" t="str">
        <f>(Participants!B23)</f>
        <v>Red River Railroad Club</v>
      </c>
      <c r="C20" s="206" t="str">
        <f>(Participants!G23)</f>
        <v>Harry Reynolds</v>
      </c>
    </row>
    <row r="21" spans="1:3" ht="20.100000000000001" customHeight="1" x14ac:dyDescent="0.25">
      <c r="A21" s="206" t="str">
        <f>(Participants!A24)</f>
        <v>SC</v>
      </c>
      <c r="B21" s="206" t="str">
        <f>(Participants!B24)</f>
        <v>Spring Creek Modular Group</v>
      </c>
      <c r="C21" s="206" t="str">
        <f>(Participants!G24)</f>
        <v>Kevin Buchanan</v>
      </c>
    </row>
    <row r="22" spans="1:3" ht="20.100000000000001" customHeight="1" x14ac:dyDescent="0.25">
      <c r="A22" s="206" t="str">
        <f>(Participants!A18)</f>
        <v>TRD</v>
      </c>
      <c r="B22" s="206" t="str">
        <f>(Participants!B18)</f>
        <v>NMRA Lone Star Region, Division 3</v>
      </c>
      <c r="C22" s="206" t="str">
        <f>(Participants!G18)</f>
        <v>Thomas Stephens</v>
      </c>
    </row>
    <row r="23" spans="1:3" ht="20.100000000000001" customHeight="1" x14ac:dyDescent="0.25">
      <c r="A23" s="206" t="e">
        <f>(Participants!#REF!)</f>
        <v>#REF!</v>
      </c>
      <c r="B23" s="206" t="e">
        <f>(Participants!#REF!)</f>
        <v>#REF!</v>
      </c>
      <c r="C23" s="206" t="e">
        <f>(Participants!#REF!)</f>
        <v>#REF!</v>
      </c>
    </row>
    <row r="24" spans="1:3" ht="20.100000000000001" customHeight="1" x14ac:dyDescent="0.25">
      <c r="A24" s="206" t="str">
        <f>(Participants!A25)</f>
        <v>SDCM</v>
      </c>
      <c r="B24" s="206" t="str">
        <f>(Participants!B25)</f>
        <v>SW Dallas County Modular Group</v>
      </c>
      <c r="C24" s="206" t="str">
        <f>(Participants!G25)</f>
        <v>Wayne Weehunt</v>
      </c>
    </row>
    <row r="25" spans="1:3" ht="20.100000000000001" customHeight="1" x14ac:dyDescent="0.25">
      <c r="A25" s="206" t="str">
        <f>(Participants!A26)</f>
        <v>TNOR</v>
      </c>
      <c r="B25" s="206" t="str">
        <f>(Participants!B26)</f>
        <v>Texas Northern Model Railroad Club</v>
      </c>
      <c r="C25" s="206" t="str">
        <f>(Participants!G26)</f>
        <v>Steele Craver</v>
      </c>
    </row>
    <row r="26" spans="1:3" ht="20.100000000000001" customHeight="1" x14ac:dyDescent="0.25">
      <c r="A26" s="206" t="str">
        <f>(Participants!A27)</f>
        <v>TSMG</v>
      </c>
      <c r="B26" s="206" t="str">
        <f>(Participants!B27)</f>
        <v>Texas Special Modular Group</v>
      </c>
      <c r="C26" s="206" t="str">
        <f>(Participants!G27)</f>
        <v>George Watson</v>
      </c>
    </row>
    <row r="27" spans="1:3" ht="20.100000000000001" customHeight="1" x14ac:dyDescent="0.25">
      <c r="A27" s="206" t="str">
        <f>(Participants!A29)</f>
        <v>TNT</v>
      </c>
      <c r="B27" s="206" t="str">
        <f>(Participants!B29)</f>
        <v>Trinity N -TRAK</v>
      </c>
      <c r="C27" s="206" t="str">
        <f>(Participants!G29)</f>
        <v>Joe Pritchard</v>
      </c>
    </row>
    <row r="28" spans="1:3" ht="20.100000000000001" customHeight="1" x14ac:dyDescent="0.25">
      <c r="A28" s="206" t="str">
        <f>(Participants!A30)</f>
        <v>TREX</v>
      </c>
      <c r="B28" s="206" t="str">
        <f>(Participants!B30)</f>
        <v>Trinity River Express</v>
      </c>
      <c r="C28" s="206" t="str">
        <f>(Participants!G30)</f>
        <v>Terry Bork</v>
      </c>
    </row>
    <row r="29" spans="1:3" ht="20.100000000000001" customHeight="1" x14ac:dyDescent="0.25">
      <c r="A29" s="206" t="e">
        <f>(Participants!#REF!)</f>
        <v>#REF!</v>
      </c>
      <c r="B29" s="206" t="e">
        <f>(Participants!#REF!)</f>
        <v>#REF!</v>
      </c>
      <c r="C29" s="206" t="e">
        <f>(Participants!#REF!)</f>
        <v>#REF!</v>
      </c>
    </row>
  </sheetData>
  <phoneticPr fontId="29" type="noConversion"/>
  <pageMargins left="0.7" right="0.7" top="0.75" bottom="0.75" header="0.3" footer="0.3"/>
  <pageSetup scale="94" orientation="portrait" r:id="rId1"/>
  <headerFooter>
    <oddHeader>&amp;R&amp;12&amp;D&amp;C_x000D__x000D_&amp;"Arial,Bold"&amp;16North Texas Council
Cross Reference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/>
  <dimension ref="A1"/>
  <sheetViews>
    <sheetView workbookViewId="0"/>
  </sheetViews>
  <sheetFormatPr defaultRowHeight="12.75" x14ac:dyDescent="0.2"/>
  <sheetData/>
  <phoneticPr fontId="29" type="noConversion"/>
  <pageMargins left="0.7" right="0.7" top="0.75" bottom="0.75" header="0.3" footer="0.3"/>
  <pageSetup orientation="portrait" r:id="rId1"/>
  <headerFooter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67</vt:i4>
      </vt:variant>
    </vt:vector>
  </HeadingPairs>
  <TitlesOfParts>
    <vt:vector size="85" baseType="lpstr">
      <vt:lpstr>Participants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Scrap</vt:lpstr>
      <vt:lpstr>Xref </vt:lpstr>
      <vt:lpstr>Sheet2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FALLFriday</vt:lpstr>
      <vt:lpstr>FALLSaturday</vt:lpstr>
      <vt:lpstr>FALLSaturdayRows</vt:lpstr>
      <vt:lpstr>FALLSunday</vt:lpstr>
      <vt:lpstr>GrandTotalHours</vt:lpstr>
      <vt:lpstr>HoursPerShare</vt:lpstr>
      <vt:lpstr>HTSDayWorkHours</vt:lpstr>
      <vt:lpstr>HTSFridayCols</vt:lpstr>
      <vt:lpstr>HTSFridayRows</vt:lpstr>
      <vt:lpstr>HTSPreShow</vt:lpstr>
      <vt:lpstr>HTSPreshowTaskClubs</vt:lpstr>
      <vt:lpstr>HTSPreshowTaskHours</vt:lpstr>
      <vt:lpstr>HTSSaturdayCols</vt:lpstr>
      <vt:lpstr>HTSSaturdayRows</vt:lpstr>
      <vt:lpstr>HTSSundayCols</vt:lpstr>
      <vt:lpstr>HTSSundayRows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MatrixHTSDay1</vt:lpstr>
      <vt:lpstr>MatrixHTSDayN</vt:lpstr>
      <vt:lpstr>MatrixHTSPre1</vt:lpstr>
      <vt:lpstr>MatrixHTSPreN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'Xref '!Print_Area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2023-07-23T16:35:37Z</cp:lastPrinted>
  <dcterms:created xsi:type="dcterms:W3CDTF">2005-10-16T17:50:13Z</dcterms:created>
  <dcterms:modified xsi:type="dcterms:W3CDTF">2024-03-04T19:19:53Z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