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F32690BF-D398-49D3-8FCF-B06EB5D69AC2}" xr6:coauthVersionLast="47" xr6:coauthVersionMax="47" xr10:uidLastSave="{00000000-0000-0000-0000-000000000000}"/>
  <bookViews>
    <workbookView xWindow="-108" yWindow="-108" windowWidth="23256" windowHeight="12456" tabRatio="881" activeTab="2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E3" i="2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C8" i="38"/>
  <c r="D8" i="38"/>
  <c r="D7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<sst xmlns="http://schemas.openxmlformats.org/spreadsheetml/2006/main" count="1937" uniqueCount="358">
  <si>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</si>
  <si>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</si>
  <si>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</si>
  <si>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</si>
  <si>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</si>
  <si>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</si>
  <si>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</si>
  <si>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</si>
  <si>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</si>
  <si>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</si>
  <si>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</si>
  <si>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</si>
  <si>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</si>
  <si>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</si>
  <si>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</si>
  <si>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</si>
  <si>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</si>
  <si>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</si>
  <si>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</si>
  <si>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</si>
  <si>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</si>
  <si>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</si>
  <si>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</si>
  <si>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</si>
  <si>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</si>
  <si>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</si>
  <si>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</si>
  <si>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</si>
  <si>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</si>
  <si>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</si>
  <si>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</si>
  <si>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</si>
  <si>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</si>
  <si>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</si>
  <si>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</si>
  <si>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</si>
  <si>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</si>
  <si>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</si>
  <si>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</si>
  <si>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</si>
  <si>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</si>
  <si>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</si>
  <si>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</si>
  <si>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</si>
  <si>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</si>
  <si>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</si>
  <si>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</si>
  <si>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</si>
  <si>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</si>
  <si>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</si>
  <si>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</si>
  <si>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</si>
  <si>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</si>
  <si>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</si>
  <si>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</si>
  <si>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</si>
  <si>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</si>
  <si>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</si>
  <si>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</si>
  <si>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</si>
  <si>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</si>
  <si>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</si>
  <si>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</si>
  <si>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</si>
  <si>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</si>
  <si>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</si>
  <si>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</si>
  <si>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</si>
  <si>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</si>
  <si>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</si>
  <si>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</si>
  <si>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</si>
  <si>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</si>
  <si>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</si>
  <si>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</si>
  <si>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</si>
  <si>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</si>
  <si>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</si>
  <si>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</si>
  <si>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</si>
  <si>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</si>
  <si>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</si>
  <si>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</si>
  <si>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</si>
  <si>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</si>
  <si>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</si>
  <si>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</si>
  <si>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</si>
  <si>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</si>
  <si>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</si>
  <si>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</si>
  <si>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</si>
  <si>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</si>
  <si>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</si>
  <si>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</si>
  <si>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</si>
  <si>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</si>
  <si>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</si>
  <si>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</si>
  <si>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</si>
  <si>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</si>
  <si>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</si>
  <si>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</si>
  <si>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</si>
  <si>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</si>
  <si>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</si>
  <si>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</si>
  <si>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</si>
  <si>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</si>
  <si>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</si>
  <si>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</si>
  <si>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</si>
  <si>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</si>
  <si>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</si>
  <si>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</si>
  <si>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</si>
  <si>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</si>
  <si>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</si>
  <si>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</si>
  <si>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</si>
  <si>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</si>
  <si>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</si>
  <si>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</si>
  <si>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</si>
  <si>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</si>
  <si>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</si>
  <si>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</si>
  <si>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</si>
  <si>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</si>
  <si>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</si>
  <si>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</si>
  <si>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</si>
  <si>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</si>
  <si>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</si>
  <si>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</si>
  <si>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</si>
  <si>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</si>
  <si>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</si>
  <si>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</si>
  <si>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</si>
  <si>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</si>
  <si>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</si>
  <si>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</si>
  <si>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</si>
  <si>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</si>
  <si>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</si>
  <si>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</si>
  <si>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</si>
  <si>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</si>
  <si>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</si>
  <si>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</si>
  <si>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</si>
  <si>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</si>
  <si>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</si>
  <si>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</si>
  <si>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</si>
  <si>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</si>
  <si>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</si>
  <si>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</si>
  <si>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</si>
  <si>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</si>
  <si>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</si>
  <si>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</si>
  <si>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</si>
  <si>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</si>
  <si>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</si>
  <si>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</si>
  <si>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</si>
  <si>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</si>
  <si>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</si>
  <si>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</si>
  <si>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</si>
  <si>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</si>
  <si>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</si>
  <si>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</si>
  <si>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</si>
  <si>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</si>
  <si>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</si>
  <si>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</si>
  <si>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</si>
  <si>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</si>
  <si>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</si>
  <si>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</si>
  <si>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</si>
  <si>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</si>
  <si>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</si>
  <si>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</si>
  <si>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</si>
  <si>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</si>
  <si>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</si>
  <si>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</si>
  <si>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</si>
  <si>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</si>
  <si>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</si>
  <si>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</si>
  <si>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</si>
  <si>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</si>
  <si>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</si>
  <si>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</si>
  <si>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</si>
  <si>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</si>
  <si>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</si>
  <si>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</si>
  <si>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</si>
  <si>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</si>
  <si>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</si>
  <si>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</si>
  <si>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</si>
  <si>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</si>
  <si>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</si>
  <si>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</si>
  <si>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</si>
  <si>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</si>
  <si>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</si>
  <si>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</si>
  <si>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</si>
  <si>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</si>
  <si>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</si>
  <si>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</si>
  <si>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</si>
  <si>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</si>
  <si>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</si>
  <si>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</si>
  <si>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</si>
  <si>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</si>
  <si>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</si>
  <si>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</si>
  <si>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</si>
  <si>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</si>
  <si>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</si>
  <si>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</si>
  <si>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</si>
  <si>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</si>
  <si>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</si>
  <si>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</si>
  <si>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</si>
  <si>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</si>
  <si>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</si>
  <si>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</si>
  <si>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</si>
  <si>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</si>
  <si>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</si>
  <si>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</si>
  <si>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</si>
  <si>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</si>
  <si>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</si>
  <si>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</si>
  <si>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</si>
  <si>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</si>
  <si>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</si>
  <si>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</si>
  <si>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</si>
  <si>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</si>
  <si>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</si>
  <si>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</si>
  <si>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</si>
  <si>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</si>
  <si>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</si>
  <si>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</si>
  <si>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</si>
  <si>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</si>
  <si>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</si>
  <si>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</si>
  <si>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</si>
  <si>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</si>
  <si>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</si>
  <si>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</si>
  <si>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</si>
  <si>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</si>
  <si>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</si>
  <si>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</si>
  <si>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</si>
  <si>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</si>
  <si>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</si>
  <si>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</si>
  <si>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</si>
  <si>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</si>
  <si>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</si>
  <si>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</si>
  <si>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</si>
  <si>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</si>
  <si>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</si>
  <si>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</si>
  <si>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</si>
  <si>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</si>
  <si>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</si>
  <si>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</si>
  <si>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</si>
  <si>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</si>
  <si>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</si>
  <si>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</si>
  <si>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</si>
  <si>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</si>
  <si>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</si>
  <si>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</si>
  <si>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</si>
  <si>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</si>
  <si>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</si>
  <si>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</si>
  <si>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</si>
  <si>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</si>
  <si>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</si>
  <si>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</si>
  <si>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</si>
  <si>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</si>
  <si>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</si>
  <si>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</si>
  <si>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</si>
  <si>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</si>
  <si>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</si>
  <si>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</si>
  <si>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</si>
  <si>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</si>
  <si>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</si>
  <si>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</si>
  <si>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</si>
  <si>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</si>
  <si>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</si>
  <si>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</si>
  <si>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</si>
  <si>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</si>
  <si>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</si>
  <si>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</si>
  <si>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</si>
  <si>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</si>
  <si>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</si>
  <si>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</si>
  <si>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</si>
  <si>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</si>
  <si>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</si>
  <si>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</si>
  <si>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</si>
  <si>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</si>
  <si>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</si>
  <si>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</si>
  <si>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</si>
  <si>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</si>
  <si>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</si>
  <si>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</si>
  <si>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</si>
  <si>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</si>
  <si>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</si>
  <si>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NTBR</t>
  </si>
  <si>
    <t>North Texas Brick Railroad</t>
  </si>
  <si>
    <t>Plano DAT</t>
  </si>
  <si>
    <t>VENDOR CHECKIN</t>
  </si>
  <si>
    <t>Lone Star Hi-Railers</t>
  </si>
  <si>
    <t>2025/26 Show Season (final)</t>
  </si>
  <si>
    <t>Club Name</t>
  </si>
  <si>
    <t>Sunday 9/28/2025</t>
  </si>
  <si>
    <t>Saturday 9/27/2025</t>
  </si>
  <si>
    <t>Friday 9/26/2025</t>
  </si>
  <si>
    <t>Friday 01/16/2026</t>
  </si>
  <si>
    <t>Saturday 01/17/2026</t>
  </si>
  <si>
    <t>Sunday 01/18/2026</t>
  </si>
  <si>
    <t>C:\GIT\dfwtrainshows\print\</t>
  </si>
  <si>
    <t>.\print\</t>
  </si>
  <si>
    <t>Clinics (6)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</si>
</sst>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0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2"/>
      <color indexed="10"/>
      <name val="Arial"/>
      <family val="2"/>
    </font>
    <font>
      <b/>
      <u/>
      <sz val="10"/>
      <color indexed="12"/>
      <name val="Arial"/>
      <family val="2"/>
    </font>
    <font>
      <b/>
      <sz val="12"/>
      <color theme="0" tint="-4.9989318521683403E-2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0000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83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7" fillId="0" borderId="0" xfId="0" applyFont="1"/>
    <xf numFmtId="0" fontId="4" fillId="0" borderId="0" xfId="0" applyFont="1"/>
    <xf numFmtId="16" fontId="7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7" fillId="3" borderId="0" xfId="0" applyFont="1" applyFill="1"/>
    <xf numFmtId="0" fontId="7" fillId="3" borderId="20" xfId="0" applyFont="1" applyFill="1" applyBorder="1"/>
    <xf numFmtId="0" fontId="7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16" fontId="2" fillId="4" borderId="22" xfId="0" quotePrefix="1" applyNumberFormat="1" applyFont="1" applyFill="1" applyBorder="1" applyAlignment="1">
      <alignment horizontal="center"/>
    </xf>
    <xf numFmtId="0" fontId="7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7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8" fillId="4" borderId="0" xfId="0" applyFont="1" applyFill="1" applyAlignment="1">
      <alignment horizontal="left"/>
    </xf>
    <xf numFmtId="0" fontId="8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7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2" fillId="0" borderId="36" xfId="0" applyFont="1" applyBorder="1"/>
    <xf numFmtId="0" fontId="3" fillId="0" borderId="0" xfId="0" applyFont="1"/>
    <xf numFmtId="0" fontId="5" fillId="0" borderId="0" xfId="0" applyFont="1"/>
    <xf numFmtId="0" fontId="11" fillId="4" borderId="0" xfId="0" applyFont="1" applyFill="1"/>
    <xf numFmtId="0" fontId="16" fillId="4" borderId="0" xfId="0" applyFont="1" applyFill="1" applyAlignment="1">
      <alignment horizontal="left"/>
    </xf>
    <xf numFmtId="0" fontId="10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7" fillId="0" borderId="0" xfId="0" applyNumberFormat="1" applyFont="1"/>
    <xf numFmtId="0" fontId="7" fillId="2" borderId="20" xfId="0" applyFont="1" applyFill="1" applyBorder="1"/>
    <xf numFmtId="0" fontId="7" fillId="2" borderId="19" xfId="0" applyFont="1" applyFill="1" applyBorder="1"/>
    <xf numFmtId="49" fontId="17" fillId="0" borderId="0" xfId="0" applyNumberFormat="1" applyFont="1"/>
    <xf numFmtId="0" fontId="0" fillId="3" borderId="9" xfId="0" applyFill="1" applyBorder="1"/>
    <xf numFmtId="0" fontId="7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" fillId="0" borderId="11" xfId="0" applyFont="1" applyBorder="1"/>
    <xf numFmtId="0" fontId="0" fillId="6" borderId="15" xfId="0" applyFill="1" applyBorder="1" applyAlignment="1">
      <alignment horizontal="center"/>
    </xf>
    <xf numFmtId="49" fontId="18" fillId="5" borderId="0" xfId="0" applyNumberFormat="1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7" fillId="4" borderId="9" xfId="0" applyFont="1" applyFill="1" applyBorder="1"/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19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0" fillId="0" borderId="11" xfId="0" applyFont="1" applyBorder="1"/>
    <xf numFmtId="0" fontId="4" fillId="0" borderId="26" xfId="0" applyFont="1" applyBorder="1"/>
    <xf numFmtId="0" fontId="7" fillId="0" borderId="24" xfId="0" applyFont="1" applyBorder="1"/>
    <xf numFmtId="0" fontId="7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22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7" fillId="17" borderId="0" xfId="0" applyFont="1" applyFill="1"/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7" fillId="31" borderId="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49" fontId="1" fillId="0" borderId="11" xfId="0" applyNumberFormat="1" applyFont="1" applyBorder="1"/>
    <xf numFmtId="0" fontId="23" fillId="19" borderId="9" xfId="0" applyFont="1" applyFill="1" applyBorder="1" applyAlignment="1">
      <alignment horizontal="center"/>
    </xf>
    <xf numFmtId="0" fontId="7" fillId="8" borderId="18" xfId="0" applyFont="1" applyFill="1" applyBorder="1" applyProtection="1">
      <protection locked="0"/>
    </xf>
    <xf numFmtId="0" fontId="21" fillId="8" borderId="13" xfId="0" applyFont="1" applyFill="1" applyBorder="1" applyAlignment="1">
      <alignment horizontal="center"/>
    </xf>
    <xf numFmtId="0" fontId="24" fillId="4" borderId="24" xfId="0" applyFont="1" applyFill="1" applyBorder="1"/>
    <xf numFmtId="0" fontId="24" fillId="31" borderId="0" xfId="0" applyFont="1" applyFill="1" applyProtection="1">
      <protection locked="0"/>
    </xf>
    <xf numFmtId="0" fontId="24" fillId="3" borderId="0" xfId="0" applyFont="1" applyFill="1"/>
    <xf numFmtId="0" fontId="24" fillId="4" borderId="0" xfId="0" applyFont="1" applyFill="1"/>
    <xf numFmtId="0" fontId="24" fillId="18" borderId="11" xfId="0" applyFont="1" applyFill="1" applyBorder="1"/>
    <xf numFmtId="0" fontId="24" fillId="18" borderId="0" xfId="0" applyFont="1" applyFill="1"/>
    <xf numFmtId="0" fontId="24" fillId="26" borderId="0" xfId="0" applyFont="1" applyFill="1"/>
    <xf numFmtId="0" fontId="24" fillId="26" borderId="11" xfId="0" applyFont="1" applyFill="1" applyBorder="1" applyProtection="1">
      <protection locked="0"/>
    </xf>
    <xf numFmtId="0" fontId="24" fillId="39" borderId="11" xfId="0" applyFont="1" applyFill="1" applyBorder="1" applyProtection="1">
      <protection locked="0"/>
    </xf>
    <xf numFmtId="0" fontId="24" fillId="37" borderId="11" xfId="0" applyFont="1" applyFill="1" applyBorder="1" applyProtection="1">
      <protection locked="0"/>
    </xf>
    <xf numFmtId="0" fontId="24" fillId="37" borderId="11" xfId="0" applyFont="1" applyFill="1" applyBorder="1"/>
    <xf numFmtId="0" fontId="24" fillId="28" borderId="0" xfId="0" applyFont="1" applyFill="1"/>
    <xf numFmtId="0" fontId="24" fillId="27" borderId="0" xfId="0" applyFont="1" applyFill="1" applyProtection="1">
      <protection locked="0"/>
    </xf>
    <xf numFmtId="0" fontId="24" fillId="8" borderId="0" xfId="0" applyFont="1" applyFill="1" applyProtection="1">
      <protection locked="0"/>
    </xf>
    <xf numFmtId="0" fontId="24" fillId="20" borderId="0" xfId="0" applyFont="1" applyFill="1" applyProtection="1">
      <protection locked="0"/>
    </xf>
    <xf numFmtId="0" fontId="24" fillId="19" borderId="0" xfId="0" applyFont="1" applyFill="1"/>
    <xf numFmtId="0" fontId="24" fillId="27" borderId="0" xfId="0" applyFont="1" applyFill="1"/>
    <xf numFmtId="0" fontId="24" fillId="4" borderId="14" xfId="0" applyFont="1" applyFill="1" applyBorder="1"/>
    <xf numFmtId="0" fontId="24" fillId="4" borderId="18" xfId="0" applyFont="1" applyFill="1" applyBorder="1"/>
    <xf numFmtId="0" fontId="24" fillId="40" borderId="18" xfId="0" applyFont="1" applyFill="1" applyBorder="1"/>
    <xf numFmtId="0" fontId="24" fillId="30" borderId="18" xfId="0" applyFont="1" applyFill="1" applyBorder="1" applyProtection="1">
      <protection locked="0"/>
    </xf>
    <xf numFmtId="0" fontId="24" fillId="30" borderId="19" xfId="0" applyFont="1" applyFill="1" applyBorder="1" applyProtection="1">
      <protection locked="0"/>
    </xf>
    <xf numFmtId="0" fontId="24" fillId="30" borderId="0" xfId="0" applyFont="1" applyFill="1"/>
    <xf numFmtId="0" fontId="24" fillId="18" borderId="18" xfId="0" applyFont="1" applyFill="1" applyBorder="1"/>
    <xf numFmtId="0" fontId="24" fillId="18" borderId="18" xfId="0" applyFont="1" applyFill="1" applyBorder="1" applyProtection="1">
      <protection locked="0"/>
    </xf>
    <xf numFmtId="0" fontId="24" fillId="27" borderId="18" xfId="0" applyFont="1" applyFill="1" applyBorder="1" applyProtection="1">
      <protection locked="0"/>
    </xf>
    <xf numFmtId="0" fontId="24" fillId="27" borderId="19" xfId="0" applyFont="1" applyFill="1" applyBorder="1" applyProtection="1">
      <protection locked="0"/>
    </xf>
    <xf numFmtId="0" fontId="24" fillId="4" borderId="11" xfId="0" applyFont="1" applyFill="1" applyBorder="1"/>
    <xf numFmtId="0" fontId="24" fillId="40" borderId="11" xfId="0" applyFont="1" applyFill="1" applyBorder="1"/>
    <xf numFmtId="0" fontId="24" fillId="21" borderId="0" xfId="0" applyFont="1" applyFill="1" applyProtection="1">
      <protection locked="0"/>
    </xf>
    <xf numFmtId="0" fontId="24" fillId="21" borderId="11" xfId="0" applyFont="1" applyFill="1" applyBorder="1" applyProtection="1">
      <protection locked="0"/>
    </xf>
    <xf numFmtId="0" fontId="24" fillId="3" borderId="8" xfId="0" applyFont="1" applyFill="1" applyBorder="1"/>
    <xf numFmtId="0" fontId="2" fillId="4" borderId="24" xfId="0" applyFont="1" applyFill="1" applyBorder="1"/>
    <xf numFmtId="0" fontId="2" fillId="41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8" borderId="9" xfId="0" applyFont="1" applyFill="1" applyBorder="1" applyProtection="1">
      <protection locked="0"/>
    </xf>
    <xf numFmtId="0" fontId="2" fillId="27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7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7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31" borderId="18" xfId="0" applyFont="1" applyFill="1" applyBorder="1" applyProtection="1">
      <protection locked="0"/>
    </xf>
    <xf numFmtId="0" fontId="2" fillId="30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24" fillId="8" borderId="13" xfId="0" applyFont="1" applyFill="1" applyBorder="1" applyAlignment="1">
      <alignment horizontal="center"/>
    </xf>
    <xf numFmtId="0" fontId="2" fillId="18" borderId="18" xfId="0" applyFont="1" applyFill="1" applyBorder="1" applyProtection="1">
      <protection locked="0"/>
    </xf>
    <xf numFmtId="0" fontId="2" fillId="33" borderId="18" xfId="0" applyFont="1" applyFill="1" applyBorder="1" applyProtection="1">
      <protection locked="0"/>
    </xf>
    <xf numFmtId="0" fontId="2" fillId="41" borderId="18" xfId="0" applyFont="1" applyFill="1" applyBorder="1" applyProtection="1">
      <protection locked="0"/>
    </xf>
    <xf numFmtId="0" fontId="2" fillId="31" borderId="0" xfId="0" applyFont="1" applyFill="1" applyProtection="1">
      <protection locked="0"/>
    </xf>
    <xf numFmtId="0" fontId="2" fillId="21" borderId="0" xfId="0" applyFont="1" applyFill="1" applyProtection="1">
      <protection locked="0"/>
    </xf>
    <xf numFmtId="0" fontId="2" fillId="28" borderId="18" xfId="0" applyFont="1" applyFill="1" applyBorder="1" applyProtection="1">
      <protection locked="0"/>
    </xf>
    <xf numFmtId="0" fontId="2" fillId="19" borderId="18" xfId="0" applyFont="1" applyFill="1" applyBorder="1" applyProtection="1">
      <protection locked="0"/>
    </xf>
    <xf numFmtId="0" fontId="24" fillId="40" borderId="13" xfId="0" applyFont="1" applyFill="1" applyBorder="1" applyAlignment="1">
      <alignment horizontal="center"/>
    </xf>
    <xf numFmtId="0" fontId="2" fillId="19" borderId="0" xfId="0" applyFont="1" applyFill="1" applyProtection="1">
      <protection locked="0"/>
    </xf>
    <xf numFmtId="0" fontId="2" fillId="29" borderId="0" xfId="0" applyFont="1" applyFill="1" applyProtection="1">
      <protection locked="0"/>
    </xf>
    <xf numFmtId="0" fontId="2" fillId="37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7" borderId="18" xfId="0" applyFont="1" applyFill="1" applyBorder="1" applyProtection="1">
      <protection locked="0"/>
    </xf>
    <xf numFmtId="0" fontId="2" fillId="29" borderId="18" xfId="0" applyFont="1" applyFill="1" applyBorder="1" applyProtection="1">
      <protection locked="0"/>
    </xf>
    <xf numFmtId="0" fontId="2" fillId="40" borderId="18" xfId="0" applyFont="1" applyFill="1" applyBorder="1" applyProtection="1">
      <protection locked="0"/>
    </xf>
    <xf numFmtId="0" fontId="2" fillId="21" borderId="18" xfId="0" applyFont="1" applyFill="1" applyBorder="1" applyProtection="1">
      <protection locked="0"/>
    </xf>
    <xf numFmtId="0" fontId="2" fillId="41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41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40" borderId="0" xfId="0" applyFont="1" applyFill="1" applyProtection="1">
      <protection locked="0"/>
    </xf>
    <xf numFmtId="0" fontId="19" fillId="9" borderId="14" xfId="0" applyFont="1" applyFill="1" applyBorder="1"/>
    <xf numFmtId="0" fontId="2" fillId="40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2" fillId="40" borderId="21" xfId="0" applyFont="1" applyFill="1" applyBorder="1" applyProtection="1">
      <protection locked="0"/>
    </xf>
    <xf numFmtId="0" fontId="5" fillId="0" borderId="3" xfId="0" applyFont="1" applyBorder="1" applyAlignment="1">
      <alignment horizontal="center"/>
    </xf>
    <xf numFmtId="0" fontId="2" fillId="4" borderId="23" xfId="0" applyFont="1" applyFill="1" applyBorder="1"/>
    <xf numFmtId="0" fontId="2" fillId="2" borderId="0" xfId="0" applyFont="1" applyFill="1"/>
    <xf numFmtId="0" fontId="2" fillId="40" borderId="11" xfId="0" applyFont="1" applyFill="1" applyBorder="1"/>
    <xf numFmtId="0" fontId="2" fillId="40" borderId="11" xfId="0" applyFont="1" applyFill="1" applyBorder="1" applyProtection="1">
      <protection locked="0"/>
    </xf>
    <xf numFmtId="0" fontId="2" fillId="18" borderId="11" xfId="0" applyFont="1" applyFill="1" applyBorder="1"/>
    <xf numFmtId="0" fontId="2" fillId="9" borderId="11" xfId="0" applyFont="1" applyFill="1" applyBorder="1" applyProtection="1">
      <protection locked="0"/>
    </xf>
    <xf numFmtId="0" fontId="2" fillId="20" borderId="11" xfId="0" applyFont="1" applyFill="1" applyBorder="1" applyProtection="1">
      <protection locked="0"/>
    </xf>
    <xf numFmtId="0" fontId="2" fillId="27" borderId="11" xfId="0" applyFont="1" applyFill="1" applyBorder="1"/>
    <xf numFmtId="0" fontId="2" fillId="28" borderId="11" xfId="0" applyFont="1" applyFill="1" applyBorder="1"/>
    <xf numFmtId="0" fontId="2" fillId="27" borderId="11" xfId="0" applyFont="1" applyFill="1" applyBorder="1" applyProtection="1">
      <protection locked="0"/>
    </xf>
    <xf numFmtId="0" fontId="2" fillId="29" borderId="11" xfId="0" applyFont="1" applyFill="1" applyBorder="1" applyProtection="1">
      <protection locked="0"/>
    </xf>
    <xf numFmtId="0" fontId="2" fillId="19" borderId="11" xfId="0" applyFont="1" applyFill="1" applyBorder="1"/>
    <xf numFmtId="0" fontId="2" fillId="2" borderId="18" xfId="0" applyFont="1" applyFill="1" applyBorder="1"/>
    <xf numFmtId="0" fontId="2" fillId="30" borderId="9" xfId="0" applyFont="1" applyFill="1" applyBorder="1"/>
    <xf numFmtId="0" fontId="3" fillId="7" borderId="9" xfId="0" applyFont="1" applyFill="1" applyBorder="1"/>
    <xf numFmtId="0" fontId="2" fillId="18" borderId="18" xfId="0" applyFont="1" applyFill="1" applyBorder="1"/>
    <xf numFmtId="0" fontId="3" fillId="7" borderId="0" xfId="0" applyFont="1" applyFill="1"/>
    <xf numFmtId="0" fontId="2" fillId="18" borderId="0" xfId="0" applyFont="1" applyFill="1"/>
    <xf numFmtId="0" fontId="3" fillId="2" borderId="20" xfId="0" applyFont="1" applyFill="1" applyBorder="1"/>
    <xf numFmtId="0" fontId="2" fillId="9" borderId="18" xfId="0" applyFont="1" applyFill="1" applyBorder="1"/>
    <xf numFmtId="0" fontId="3" fillId="2" borderId="19" xfId="0" applyFont="1" applyFill="1" applyBorder="1"/>
    <xf numFmtId="0" fontId="2" fillId="30" borderId="11" xfId="0" applyFont="1" applyFill="1" applyBorder="1" applyProtection="1">
      <protection locked="0"/>
    </xf>
    <xf numFmtId="0" fontId="2" fillId="40" borderId="18" xfId="0" quotePrefix="1" applyFont="1" applyFill="1" applyBorder="1" applyProtection="1">
      <protection locked="0"/>
    </xf>
    <xf numFmtId="0" fontId="2" fillId="27" borderId="0" xfId="0" applyFont="1" applyFill="1"/>
    <xf numFmtId="0" fontId="2" fillId="30" borderId="0" xfId="0" applyFont="1" applyFill="1" applyProtection="1">
      <protection locked="0"/>
    </xf>
    <xf numFmtId="0" fontId="2" fillId="9" borderId="0" xfId="0" applyFont="1" applyFill="1" applyProtection="1">
      <protection locked="0"/>
    </xf>
    <xf numFmtId="0" fontId="2" fillId="20" borderId="0" xfId="0" applyFont="1" applyFill="1" applyProtection="1">
      <protection locked="0"/>
    </xf>
    <xf numFmtId="0" fontId="2" fillId="28" borderId="0" xfId="0" applyFont="1" applyFill="1" applyProtection="1">
      <protection locked="0"/>
    </xf>
    <xf numFmtId="0" fontId="3" fillId="2" borderId="0" xfId="0" applyFont="1" applyFill="1"/>
    <xf numFmtId="0" fontId="2" fillId="31" borderId="11" xfId="0" applyFont="1" applyFill="1" applyBorder="1"/>
    <xf numFmtId="0" fontId="3" fillId="0" borderId="27" xfId="0" applyFont="1" applyBorder="1"/>
    <xf numFmtId="0" fontId="3" fillId="0" borderId="12" xfId="0" applyFont="1" applyBorder="1" applyAlignment="1">
      <alignment horizontal="center"/>
    </xf>
    <xf numFmtId="0" fontId="3" fillId="0" borderId="12" xfId="0" applyFont="1" applyBorder="1"/>
    <xf numFmtId="0" fontId="3" fillId="0" borderId="1" xfId="0" applyFont="1" applyBorder="1"/>
    <xf numFmtId="0" fontId="3" fillId="0" borderId="30" xfId="0" applyFont="1" applyBorder="1" applyAlignment="1">
      <alignment horizontal="center"/>
    </xf>
    <xf numFmtId="166" fontId="3" fillId="0" borderId="1" xfId="0" applyNumberFormat="1" applyFont="1" applyBorder="1" applyAlignment="1">
      <alignment horizontal="right"/>
    </xf>
    <xf numFmtId="166" fontId="3" fillId="16" borderId="0" xfId="0" applyNumberFormat="1" applyFont="1" applyFill="1" applyAlignment="1">
      <alignment horizontal="right"/>
    </xf>
    <xf numFmtId="0" fontId="5" fillId="0" borderId="28" xfId="0" applyFont="1" applyBorder="1" applyAlignment="1">
      <alignment horizontal="center"/>
    </xf>
    <xf numFmtId="166" fontId="5" fillId="0" borderId="3" xfId="0" applyNumberFormat="1" applyFont="1" applyBorder="1" applyAlignment="1">
      <alignment horizontal="right"/>
    </xf>
    <xf numFmtId="166" fontId="5" fillId="16" borderId="0" xfId="0" applyNumberFormat="1" applyFont="1" applyFill="1" applyAlignment="1">
      <alignment horizontal="right"/>
    </xf>
    <xf numFmtId="14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5" borderId="14" xfId="0" applyFont="1" applyFill="1" applyBorder="1" applyAlignment="1" applyProtection="1">
      <alignment horizontal="center"/>
      <protection locked="0"/>
    </xf>
    <xf numFmtId="0" fontId="2" fillId="0" borderId="3" xfId="0" applyFont="1" applyBorder="1"/>
    <xf numFmtId="0" fontId="2" fillId="0" borderId="28" xfId="0" applyFont="1" applyBorder="1" applyAlignment="1">
      <alignment horizontal="center"/>
    </xf>
    <xf numFmtId="166" fontId="2" fillId="0" borderId="3" xfId="0" applyNumberFormat="1" applyFont="1" applyBorder="1" applyAlignment="1">
      <alignment horizontal="right"/>
    </xf>
    <xf numFmtId="0" fontId="8" fillId="0" borderId="24" xfId="0" applyFont="1" applyBorder="1" applyAlignment="1" applyProtection="1">
      <alignment horizontal="center"/>
      <protection locked="0"/>
    </xf>
    <xf numFmtId="0" fontId="8" fillId="0" borderId="5" xfId="0" applyFont="1" applyBorder="1" applyAlignment="1">
      <alignment horizontal="center"/>
    </xf>
    <xf numFmtId="0" fontId="8" fillId="0" borderId="25" xfId="0" applyFont="1" applyBorder="1" applyAlignment="1" applyProtection="1">
      <alignment horizontal="center"/>
      <protection locked="0"/>
    </xf>
    <xf numFmtId="0" fontId="25" fillId="0" borderId="35" xfId="0" applyFont="1" applyBorder="1"/>
    <xf numFmtId="0" fontId="25" fillId="0" borderId="28" xfId="0" applyFont="1" applyBorder="1" applyAlignment="1">
      <alignment horizontal="center"/>
    </xf>
    <xf numFmtId="166" fontId="25" fillId="0" borderId="3" xfId="0" applyNumberFormat="1" applyFont="1" applyBorder="1" applyAlignment="1">
      <alignment horizontal="right"/>
    </xf>
    <xf numFmtId="166" fontId="25" fillId="16" borderId="0" xfId="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0" fontId="2" fillId="23" borderId="9" xfId="0" applyFont="1" applyFill="1" applyBorder="1" applyAlignment="1">
      <alignment horizontal="center"/>
    </xf>
    <xf numFmtId="0" fontId="2" fillId="8" borderId="11" xfId="0" applyFont="1" applyFill="1" applyBorder="1"/>
    <xf numFmtId="0" fontId="2" fillId="8" borderId="15" xfId="0" applyFont="1" applyFill="1" applyBorder="1" applyAlignment="1">
      <alignment horizontal="center"/>
    </xf>
    <xf numFmtId="0" fontId="2" fillId="35" borderId="28" xfId="0" applyFont="1" applyFill="1" applyBorder="1" applyAlignment="1">
      <alignment horizontal="center"/>
    </xf>
    <xf numFmtId="166" fontId="2" fillId="8" borderId="3" xfId="0" applyNumberFormat="1" applyFont="1" applyFill="1" applyBorder="1" applyAlignment="1">
      <alignment horizontal="right"/>
    </xf>
    <xf numFmtId="166" fontId="5" fillId="8" borderId="0" xfId="0" applyNumberFormat="1" applyFont="1" applyFill="1" applyAlignment="1">
      <alignment horizontal="right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24" borderId="9" xfId="0" applyFont="1" applyFill="1" applyBorder="1" applyAlignment="1">
      <alignment horizontal="center"/>
    </xf>
    <xf numFmtId="166" fontId="5" fillId="0" borderId="0" xfId="0" applyNumberFormat="1" applyFont="1" applyAlignment="1">
      <alignment horizontal="right"/>
    </xf>
    <xf numFmtId="166" fontId="3" fillId="0" borderId="0" xfId="0" applyNumberFormat="1" applyFont="1" applyProtection="1">
      <protection locked="0"/>
    </xf>
    <xf numFmtId="0" fontId="2" fillId="12" borderId="9" xfId="0" applyFont="1" applyFill="1" applyBorder="1" applyAlignment="1">
      <alignment horizontal="center"/>
    </xf>
    <xf numFmtId="0" fontId="2" fillId="5" borderId="11" xfId="0" applyFont="1" applyFill="1" applyBorder="1" applyAlignment="1" applyProtection="1">
      <alignment horizontal="center"/>
      <protection locked="0"/>
    </xf>
    <xf numFmtId="166" fontId="27" fillId="0" borderId="3" xfId="0" applyNumberFormat="1" applyFont="1" applyBorder="1" applyAlignment="1">
      <alignment horizontal="right"/>
    </xf>
    <xf numFmtId="0" fontId="3" fillId="5" borderId="0" xfId="0" applyFont="1" applyFill="1" applyProtection="1">
      <protection locked="0"/>
    </xf>
    <xf numFmtId="0" fontId="2" fillId="9" borderId="9" xfId="0" applyFont="1" applyFill="1" applyBorder="1" applyAlignment="1">
      <alignment horizontal="center"/>
    </xf>
    <xf numFmtId="0" fontId="2" fillId="22" borderId="11" xfId="0" applyFont="1" applyFill="1" applyBorder="1" applyAlignment="1" applyProtection="1">
      <alignment horizontal="center"/>
      <protection locked="0"/>
    </xf>
    <xf numFmtId="0" fontId="2" fillId="41" borderId="9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166" fontId="2" fillId="22" borderId="3" xfId="0" applyNumberFormat="1" applyFont="1" applyFill="1" applyBorder="1" applyAlignment="1">
      <alignment horizontal="right"/>
    </xf>
    <xf numFmtId="0" fontId="3" fillId="8" borderId="0" xfId="0" applyFont="1" applyFill="1" applyProtection="1">
      <protection locked="0"/>
    </xf>
    <xf numFmtId="0" fontId="2" fillId="34" borderId="9" xfId="0" applyFont="1" applyFill="1" applyBorder="1" applyAlignment="1">
      <alignment horizontal="center"/>
    </xf>
    <xf numFmtId="0" fontId="2" fillId="0" borderId="11" xfId="0" applyFont="1" applyBorder="1" applyAlignment="1">
      <alignment horizontal="left"/>
    </xf>
    <xf numFmtId="166" fontId="27" fillId="22" borderId="3" xfId="0" applyNumberFormat="1" applyFont="1" applyFill="1" applyBorder="1" applyAlignment="1">
      <alignment horizontal="right"/>
    </xf>
    <xf numFmtId="0" fontId="2" fillId="13" borderId="9" xfId="0" applyFont="1" applyFill="1" applyBorder="1" applyAlignment="1">
      <alignment horizontal="center"/>
    </xf>
    <xf numFmtId="0" fontId="2" fillId="32" borderId="9" xfId="0" applyFont="1" applyFill="1" applyBorder="1" applyAlignment="1">
      <alignment horizontal="center"/>
    </xf>
    <xf numFmtId="166" fontId="2" fillId="17" borderId="3" xfId="0" applyNumberFormat="1" applyFont="1" applyFill="1" applyBorder="1" applyAlignment="1">
      <alignment horizontal="right"/>
    </xf>
    <xf numFmtId="0" fontId="2" fillId="8" borderId="11" xfId="0" applyFont="1" applyFill="1" applyBorder="1" applyAlignment="1">
      <alignment wrapText="1"/>
    </xf>
    <xf numFmtId="0" fontId="2" fillId="11" borderId="9" xfId="0" applyFont="1" applyFill="1" applyBorder="1" applyAlignment="1">
      <alignment horizontal="center"/>
    </xf>
    <xf numFmtId="0" fontId="2" fillId="40" borderId="9" xfId="0" applyFont="1" applyFill="1" applyBorder="1" applyAlignment="1">
      <alignment horizontal="center"/>
    </xf>
    <xf numFmtId="0" fontId="2" fillId="14" borderId="9" xfId="0" applyFont="1" applyFill="1" applyBorder="1" applyAlignment="1">
      <alignment horizontal="center"/>
    </xf>
    <xf numFmtId="0" fontId="3" fillId="5" borderId="0" xfId="0" applyFont="1" applyFill="1" applyAlignment="1" applyProtection="1">
      <alignment wrapText="1"/>
      <protection locked="0"/>
    </xf>
    <xf numFmtId="0" fontId="2" fillId="15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0" fontId="2" fillId="31" borderId="9" xfId="0" applyFont="1" applyFill="1" applyBorder="1" applyAlignment="1">
      <alignment horizontal="center"/>
    </xf>
    <xf numFmtId="0" fontId="2" fillId="38" borderId="9" xfId="0" applyFont="1" applyFill="1" applyBorder="1" applyAlignment="1">
      <alignment horizontal="center"/>
    </xf>
    <xf numFmtId="0" fontId="2" fillId="38" borderId="11" xfId="0" applyFont="1" applyFill="1" applyBorder="1"/>
    <xf numFmtId="0" fontId="2" fillId="17" borderId="9" xfId="0" applyFont="1" applyFill="1" applyBorder="1" applyAlignment="1">
      <alignment horizontal="center"/>
    </xf>
    <xf numFmtId="0" fontId="28" fillId="0" borderId="0" xfId="1" applyFont="1" applyFill="1" applyAlignment="1" applyProtection="1">
      <protection locked="0"/>
    </xf>
    <xf numFmtId="0" fontId="2" fillId="36" borderId="9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5" borderId="0" xfId="0" applyFont="1" applyFill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3" fillId="0" borderId="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66" fontId="3" fillId="0" borderId="16" xfId="0" applyNumberFormat="1" applyFont="1" applyBorder="1" applyAlignment="1">
      <alignment horizontal="right"/>
    </xf>
    <xf numFmtId="166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right"/>
    </xf>
    <xf numFmtId="0" fontId="2" fillId="0" borderId="9" xfId="0" applyFont="1" applyBorder="1" applyAlignment="1">
      <alignment horizontal="left"/>
    </xf>
    <xf numFmtId="0" fontId="13" fillId="11" borderId="0" xfId="0" applyFont="1" applyFill="1" applyAlignment="1">
      <alignment horizontal="center" vertical="center"/>
    </xf>
    <xf numFmtId="49" fontId="1" fillId="19" borderId="25" xfId="0" applyNumberFormat="1" applyFont="1" applyFill="1" applyBorder="1"/>
    <xf numFmtId="49" fontId="1" fillId="19" borderId="11" xfId="0" applyNumberFormat="1" applyFont="1" applyFill="1" applyBorder="1"/>
    <xf numFmtId="0" fontId="2" fillId="43" borderId="11" xfId="0" applyFont="1" applyFill="1" applyBorder="1" applyAlignment="1" applyProtection="1">
      <alignment horizontal="center"/>
      <protection locked="0"/>
    </xf>
    <xf numFmtId="0" fontId="2" fillId="31" borderId="11" xfId="0" applyFont="1" applyFill="1" applyBorder="1" applyAlignment="1" applyProtection="1">
      <alignment horizontal="center"/>
      <protection locked="0"/>
    </xf>
    <xf numFmtId="0" fontId="29" fillId="42" borderId="9" xfId="0" applyFont="1" applyFill="1" applyBorder="1" applyAlignment="1">
      <alignment horizontal="center"/>
    </xf>
    <xf numFmtId="0" fontId="2" fillId="41" borderId="11" xfId="0" applyFont="1" applyFill="1" applyBorder="1" applyProtection="1">
      <protection locked="0"/>
    </xf>
    <xf numFmtId="0" fontId="2" fillId="23" borderId="11" xfId="0" applyFont="1" applyFill="1" applyBorder="1" applyProtection="1">
      <protection locked="0"/>
    </xf>
    <xf numFmtId="0" fontId="2" fillId="23" borderId="0" xfId="0" applyFont="1" applyFill="1" applyProtection="1">
      <protection locked="0"/>
    </xf>
    <xf numFmtId="0" fontId="2" fillId="23" borderId="18" xfId="0" applyFont="1" applyFill="1" applyBorder="1" applyProtection="1">
      <protection locked="0"/>
    </xf>
    <xf numFmtId="0" fontId="2" fillId="0" borderId="18" xfId="0" applyFont="1" applyBorder="1" applyProtection="1">
      <protection locked="0"/>
    </xf>
    <xf numFmtId="0" fontId="2" fillId="23" borderId="18" xfId="0" applyFont="1" applyFill="1" applyBorder="1" applyAlignment="1" applyProtection="1">
      <alignment horizontal="center"/>
      <protection locked="0"/>
    </xf>
    <xf numFmtId="0" fontId="2" fillId="44" borderId="21" xfId="0" applyFont="1" applyFill="1" applyBorder="1" applyProtection="1">
      <protection locked="0"/>
    </xf>
    <xf numFmtId="0" fontId="1" fillId="0" borderId="0" xfId="0" applyFont="1"/>
    <xf numFmtId="0" fontId="0" fillId="8" borderId="15" xfId="0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</cellXfs>
  <cellStyles count="2">
    <cellStyle name="Hy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FF8F9C"/>
      <color rgb="FFCC9900"/>
      <color rgb="FFCCCC00"/>
      <color rgb="FFFF66CC"/>
      <color rgb="FFCC0000"/>
      <color rgb="FFFFCC66"/>
      <color rgb="FFFFC5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30480</xdr:rowOff>
        </xdr:from>
        <xdr:to>
          <xdr:col>7</xdr:col>
          <xdr:colOff>1569720</xdr:colOff>
          <xdr:row>2</xdr:row>
          <xdr:rowOff>137160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</xdr:row>
          <xdr:rowOff>0</xdr:rowOff>
        </xdr:from>
        <xdr:to>
          <xdr:col>7</xdr:col>
          <xdr:colOff>1569720</xdr:colOff>
          <xdr:row>4</xdr:row>
          <xdr:rowOff>121920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0</xdr:rowOff>
        </xdr:from>
        <xdr:to>
          <xdr:col>5</xdr:col>
          <xdr:colOff>678180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0</xdr:row>
          <xdr:rowOff>137160</xdr:rowOff>
        </xdr:from>
        <xdr:to>
          <xdr:col>9</xdr:col>
          <xdr:colOff>304800</xdr:colOff>
          <xdr:row>1</xdr:row>
          <xdr:rowOff>259080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7620</xdr:rowOff>
        </xdr:from>
        <xdr:to>
          <xdr:col>12</xdr:col>
          <xdr:colOff>594360</xdr:colOff>
          <xdr:row>2</xdr:row>
          <xdr:rowOff>266700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594360</xdr:colOff>
          <xdr:row>6</xdr:row>
          <xdr:rowOff>91440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129540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213360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3</xdr:row>
          <xdr:rowOff>7620</xdr:rowOff>
        </xdr:from>
        <xdr:to>
          <xdr:col>12</xdr:col>
          <xdr:colOff>594360</xdr:colOff>
          <xdr:row>4</xdr:row>
          <xdr:rowOff>137160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144780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2827020</xdr:colOff>
          <xdr:row>1</xdr:row>
          <xdr:rowOff>7620</xdr:rowOff>
        </xdr:from>
        <xdr:to>
          <xdr:col>3</xdr:col>
          <xdr:colOff>228600</xdr:colOff>
          <xdr:row>2</xdr:row>
          <xdr:rowOff>114300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</xdr:row>
          <xdr:rowOff>7620</xdr:rowOff>
        </xdr:from>
        <xdr:to>
          <xdr:col>7</xdr:col>
          <xdr:colOff>220980</xdr:colOff>
          <xdr:row>2</xdr:row>
          <xdr:rowOff>137160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1</xdr:row>
          <xdr:rowOff>22860</xdr:rowOff>
        </xdr:from>
        <xdr:to>
          <xdr:col>11</xdr:col>
          <xdr:colOff>251460</xdr:colOff>
          <xdr:row>2</xdr:row>
          <xdr:rowOff>121920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15</xdr:col>
          <xdr:colOff>190500</xdr:colOff>
          <xdr:row>2</xdr:row>
          <xdr:rowOff>129540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274320</xdr:colOff>
          <xdr:row>0</xdr:row>
          <xdr:rowOff>152400</xdr:rowOff>
        </xdr:from>
        <xdr:to>
          <xdr:col>18</xdr:col>
          <xdr:colOff>144780</xdr:colOff>
          <xdr:row>2</xdr:row>
          <xdr:rowOff>121920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topLeftCell="A10" zoomScaleNormal="100" workbookViewId="0">
      <selection activeCell="A21" sqref="A21"/>
    </sheetView>
  </sheetViews>
  <sheetFormatPr defaultColWidth="9.109375" defaultRowHeight="13.2" x14ac:dyDescent="0.25"/>
  <cols>
    <col min="1" max="1" width="15.109375" style="65" customWidth="1"/>
    <col min="2" max="2" width="41.6640625" style="65" bestFit="1" customWidth="1"/>
    <col min="3" max="4" width="11.44140625" style="65" customWidth="1"/>
    <col min="5" max="5" width="11.44140625" style="5" customWidth="1"/>
    <col min="6" max="6" width="11.44140625" style="359" customWidth="1"/>
    <col min="7" max="7" width="33.5546875" style="287" customWidth="1"/>
    <col min="8" max="8" width="64.33203125" style="65" customWidth="1"/>
    <col min="9" max="9" width="12.33203125" style="65" bestFit="1" customWidth="1"/>
    <col min="10" max="16384" width="9.109375" style="65"/>
  </cols>
  <sheetData>
    <row r="1" spans="1:18" x14ac:dyDescent="0.25">
      <c r="A1" s="281"/>
      <c r="B1" s="282"/>
      <c r="C1" s="283"/>
      <c r="D1" s="284"/>
      <c r="E1" s="285"/>
      <c r="F1" s="286"/>
      <c r="K1" s="5"/>
    </row>
    <row r="2" spans="1:18" ht="17.399999999999999" x14ac:dyDescent="0.3">
      <c r="A2" s="376" t="s">
        <v>71</v>
      </c>
      <c r="B2" s="377"/>
      <c r="C2" s="377"/>
      <c r="D2" s="378"/>
      <c r="E2" s="288"/>
      <c r="F2" s="289"/>
      <c r="G2" s="290"/>
      <c r="H2" s="58"/>
    </row>
    <row r="3" spans="1:18" ht="17.399999999999999" x14ac:dyDescent="0.3">
      <c r="A3" s="376"/>
      <c r="B3" s="377"/>
      <c r="C3" s="377"/>
      <c r="D3" s="378"/>
      <c r="E3" s="288"/>
      <c r="F3" s="289"/>
      <c r="G3" s="290"/>
      <c r="H3" s="58"/>
      <c r="I3" s="65" t="s">
        <v>267</v>
      </c>
    </row>
    <row r="4" spans="1:18" ht="17.399999999999999" x14ac:dyDescent="0.3">
      <c r="A4" s="291"/>
      <c r="B4" s="58"/>
      <c r="C4" s="58"/>
      <c r="D4" s="250"/>
      <c r="E4" s="288"/>
      <c r="F4" s="289"/>
      <c r="G4" s="290"/>
      <c r="H4" s="58"/>
      <c r="I4" s="58"/>
      <c r="J4" s="58"/>
      <c r="K4" s="58"/>
    </row>
    <row r="5" spans="1:18" ht="16.2" thickBot="1" x14ac:dyDescent="0.35">
      <c r="A5" s="292"/>
      <c r="B5" s="47" t="str">
        <f>Issue</f>
        <v>2025/26 Show Season (final)</v>
      </c>
      <c r="C5" s="293" t="s">
        <v>325</v>
      </c>
      <c r="D5" s="294"/>
      <c r="E5" s="295"/>
      <c r="F5" s="296"/>
      <c r="K5" s="5"/>
    </row>
    <row r="6" spans="1:18" ht="16.2" thickBot="1" x14ac:dyDescent="0.35">
      <c r="A6" s="292"/>
      <c r="B6" s="47"/>
      <c r="C6" s="297" t="s">
        <v>72</v>
      </c>
      <c r="D6" s="294"/>
      <c r="E6" s="295" t="s">
        <v>4</v>
      </c>
      <c r="F6" s="296"/>
      <c r="H6" s="64" t="s">
        <v>191</v>
      </c>
      <c r="I6" s="379" t="s">
        <v>347</v>
      </c>
      <c r="J6" s="379"/>
      <c r="K6" s="379"/>
      <c r="L6" s="380"/>
    </row>
    <row r="7" spans="1:18" ht="15.6" x14ac:dyDescent="0.3">
      <c r="A7" s="298" t="s">
        <v>73</v>
      </c>
      <c r="B7" s="241" t="s">
        <v>348</v>
      </c>
      <c r="C7" s="299" t="s">
        <v>74</v>
      </c>
      <c r="D7" s="300"/>
      <c r="E7" s="301" t="s">
        <v>158</v>
      </c>
      <c r="F7" s="302" t="s">
        <v>160</v>
      </c>
      <c r="G7" s="303" t="s">
        <v>204</v>
      </c>
      <c r="K7" s="304"/>
    </row>
    <row r="8" spans="1:18" ht="17.399999999999999" x14ac:dyDescent="0.3">
      <c r="A8" s="366" t="s">
        <v>216</v>
      </c>
      <c r="B8" s="306" t="s">
        <v>217</v>
      </c>
      <c r="C8" s="364">
        <v>0</v>
      </c>
      <c r="D8" s="307">
        <v>1</v>
      </c>
      <c r="E8" s="308">
        <v>0</v>
      </c>
      <c r="F8" s="309">
        <v>0</v>
      </c>
      <c r="G8" s="310" t="s">
        <v>240</v>
      </c>
      <c r="H8" s="311"/>
      <c r="I8" s="311"/>
      <c r="J8" s="311"/>
      <c r="K8" s="312"/>
      <c r="L8" s="311"/>
      <c r="M8" s="311"/>
      <c r="N8" s="311"/>
      <c r="O8" s="311"/>
      <c r="P8" s="311"/>
      <c r="Q8" s="311"/>
      <c r="R8" s="311"/>
    </row>
    <row r="9" spans="1:18" ht="17.399999999999999" x14ac:dyDescent="0.3">
      <c r="A9" s="313" t="s">
        <v>16</v>
      </c>
      <c r="B9" s="241" t="s">
        <v>149</v>
      </c>
      <c r="C9" s="321">
        <v>2</v>
      </c>
      <c r="D9" s="307">
        <v>2</v>
      </c>
      <c r="E9" s="295">
        <v>35</v>
      </c>
      <c r="F9" s="296">
        <v>0.17073170731707421</v>
      </c>
      <c r="G9" s="314" t="s">
        <v>198</v>
      </c>
      <c r="H9" s="311" t="s">
        <v>205</v>
      </c>
      <c r="I9" s="311"/>
      <c r="J9" s="311"/>
      <c r="K9" s="312"/>
      <c r="L9" s="311"/>
      <c r="M9" s="315"/>
      <c r="N9" s="311"/>
      <c r="O9" s="311"/>
      <c r="P9" s="311"/>
      <c r="Q9" s="311"/>
      <c r="R9" s="311"/>
    </row>
    <row r="10" spans="1:18" ht="17.399999999999999" x14ac:dyDescent="0.3">
      <c r="A10" s="316" t="s">
        <v>75</v>
      </c>
      <c r="B10" s="241" t="s">
        <v>76</v>
      </c>
      <c r="C10" s="317">
        <v>1</v>
      </c>
      <c r="D10" s="307">
        <v>3</v>
      </c>
      <c r="E10" s="295">
        <v>17</v>
      </c>
      <c r="F10" s="318">
        <v>-0.41463414634146289</v>
      </c>
      <c r="G10" s="290" t="s">
        <v>333</v>
      </c>
      <c r="H10" s="319" t="s">
        <v>296</v>
      </c>
      <c r="I10" s="311"/>
      <c r="J10" s="311"/>
      <c r="K10" s="312"/>
      <c r="L10" s="311"/>
      <c r="M10" s="311"/>
      <c r="N10" s="311"/>
      <c r="O10" s="311"/>
      <c r="P10" s="311"/>
      <c r="Q10" s="311"/>
      <c r="R10" s="311"/>
    </row>
    <row r="11" spans="1:18" ht="17.399999999999999" x14ac:dyDescent="0.3">
      <c r="A11" s="320" t="s">
        <v>12</v>
      </c>
      <c r="B11" s="241" t="s">
        <v>77</v>
      </c>
      <c r="C11" s="321">
        <v>2</v>
      </c>
      <c r="D11" s="307">
        <v>4</v>
      </c>
      <c r="E11" s="295">
        <v>33</v>
      </c>
      <c r="F11" s="318">
        <v>-1.8292682926829258</v>
      </c>
      <c r="G11" s="290" t="s">
        <v>326</v>
      </c>
      <c r="H11" s="319"/>
      <c r="I11" s="311"/>
      <c r="J11" s="311"/>
      <c r="K11" s="312"/>
      <c r="L11" s="311"/>
      <c r="M11" s="311"/>
      <c r="N11" s="311"/>
      <c r="O11" s="311"/>
      <c r="P11" s="311"/>
      <c r="Q11" s="311"/>
      <c r="R11" s="311"/>
    </row>
    <row r="12" spans="1:18" ht="17.399999999999999" x14ac:dyDescent="0.3">
      <c r="A12" s="322" t="s">
        <v>32</v>
      </c>
      <c r="B12" s="241" t="s">
        <v>78</v>
      </c>
      <c r="C12" s="365">
        <v>3</v>
      </c>
      <c r="D12" s="307">
        <v>5</v>
      </c>
      <c r="E12" s="295">
        <v>52</v>
      </c>
      <c r="F12" s="318">
        <v>-0.24390243902438868</v>
      </c>
      <c r="G12" s="290" t="s">
        <v>220</v>
      </c>
      <c r="H12" s="319"/>
      <c r="I12" s="311"/>
      <c r="J12" s="311"/>
      <c r="K12" s="312"/>
      <c r="L12" s="311"/>
      <c r="M12" s="311"/>
      <c r="N12" s="311"/>
      <c r="O12" s="311"/>
      <c r="P12" s="311"/>
      <c r="Q12" s="311"/>
      <c r="R12" s="311"/>
    </row>
    <row r="13" spans="1:18" ht="17.399999999999999" x14ac:dyDescent="0.3">
      <c r="A13" s="323" t="s">
        <v>320</v>
      </c>
      <c r="B13" s="241" t="s">
        <v>346</v>
      </c>
      <c r="C13" s="365">
        <v>3</v>
      </c>
      <c r="D13" s="307">
        <v>6</v>
      </c>
      <c r="E13" s="295">
        <v>51</v>
      </c>
      <c r="F13" s="318">
        <v>-1.2439024390243887</v>
      </c>
      <c r="G13" s="290" t="s">
        <v>319</v>
      </c>
      <c r="H13" s="319"/>
      <c r="I13" s="311"/>
      <c r="J13" s="311"/>
      <c r="K13" s="312"/>
      <c r="L13" s="311"/>
      <c r="M13" s="311"/>
      <c r="N13" s="311"/>
      <c r="O13" s="311"/>
      <c r="P13" s="311"/>
      <c r="Q13" s="311"/>
      <c r="R13" s="311"/>
    </row>
    <row r="14" spans="1:18" ht="17.399999999999999" x14ac:dyDescent="0.3">
      <c r="A14" s="324" t="s">
        <v>25</v>
      </c>
      <c r="B14" s="241" t="s">
        <v>79</v>
      </c>
      <c r="C14" s="321">
        <v>2</v>
      </c>
      <c r="D14" s="307">
        <v>7</v>
      </c>
      <c r="E14" s="295">
        <v>42</v>
      </c>
      <c r="F14" s="325">
        <v>7.1707317073170742</v>
      </c>
      <c r="G14" s="290" t="s">
        <v>327</v>
      </c>
      <c r="H14" s="326" t="s">
        <v>243</v>
      </c>
      <c r="I14" s="311"/>
      <c r="J14" s="311"/>
      <c r="K14" s="312"/>
      <c r="L14" s="311"/>
      <c r="M14" s="311"/>
      <c r="N14" s="311"/>
      <c r="O14" s="311"/>
      <c r="P14" s="311"/>
      <c r="Q14" s="311"/>
      <c r="R14" s="311"/>
    </row>
    <row r="15" spans="1:18" ht="17.399999999999999" x14ac:dyDescent="0.3">
      <c r="A15" s="327" t="s">
        <v>81</v>
      </c>
      <c r="B15" s="328" t="s">
        <v>82</v>
      </c>
      <c r="C15" s="321">
        <v>2</v>
      </c>
      <c r="D15" s="307">
        <v>8</v>
      </c>
      <c r="E15" s="295">
        <v>32</v>
      </c>
      <c r="F15" s="329">
        <v>-2.8292682926829258</v>
      </c>
      <c r="G15" s="290" t="s">
        <v>215</v>
      </c>
      <c r="H15" s="319"/>
      <c r="I15" s="311"/>
      <c r="J15" s="311"/>
      <c r="K15" s="312"/>
      <c r="L15" s="311"/>
      <c r="M15" s="311"/>
      <c r="N15" s="311"/>
      <c r="O15" s="311"/>
      <c r="P15" s="311"/>
      <c r="Q15" s="311"/>
      <c r="R15" s="311"/>
    </row>
    <row r="16" spans="1:18" ht="17.399999999999999" x14ac:dyDescent="0.3">
      <c r="A16" s="330" t="s">
        <v>80</v>
      </c>
      <c r="B16" s="241" t="s">
        <v>147</v>
      </c>
      <c r="C16" s="321">
        <v>2</v>
      </c>
      <c r="D16" s="307">
        <v>9</v>
      </c>
      <c r="E16" s="295">
        <v>31</v>
      </c>
      <c r="F16" s="318">
        <v>-3.8292682926829258</v>
      </c>
      <c r="G16" s="290" t="s">
        <v>203</v>
      </c>
      <c r="H16" s="319"/>
      <c r="I16" s="311"/>
      <c r="J16" s="311"/>
      <c r="K16" s="312"/>
      <c r="L16" s="311"/>
      <c r="M16" s="311"/>
      <c r="N16" s="311"/>
      <c r="O16" s="311"/>
      <c r="P16" s="311"/>
      <c r="Q16" s="311"/>
      <c r="R16" s="311"/>
    </row>
    <row r="17" spans="1:18" ht="17.399999999999999" x14ac:dyDescent="0.3">
      <c r="A17" s="331" t="s">
        <v>218</v>
      </c>
      <c r="B17" s="241" t="s">
        <v>219</v>
      </c>
      <c r="C17" s="317">
        <v>1</v>
      </c>
      <c r="D17" s="307">
        <v>10</v>
      </c>
      <c r="E17" s="295">
        <v>18</v>
      </c>
      <c r="F17" s="332">
        <v>0.58536585365853711</v>
      </c>
      <c r="G17" s="290" t="s">
        <v>242</v>
      </c>
      <c r="H17" s="319"/>
      <c r="I17" s="311"/>
      <c r="J17" s="311"/>
      <c r="K17" s="312"/>
      <c r="L17" s="311"/>
      <c r="M17" s="311"/>
      <c r="N17" s="311"/>
      <c r="O17" s="311"/>
      <c r="P17" s="311"/>
      <c r="Q17" s="311"/>
      <c r="R17" s="311"/>
    </row>
    <row r="18" spans="1:18" ht="17.399999999999999" x14ac:dyDescent="0.3">
      <c r="A18" s="366" t="s">
        <v>342</v>
      </c>
      <c r="B18" s="333" t="s">
        <v>343</v>
      </c>
      <c r="C18" s="364">
        <v>0</v>
      </c>
      <c r="D18" s="307">
        <v>11</v>
      </c>
      <c r="E18" s="308">
        <v>0</v>
      </c>
      <c r="F18" s="332">
        <v>0</v>
      </c>
      <c r="G18" s="290"/>
      <c r="H18" s="319"/>
      <c r="I18" s="311"/>
      <c r="J18" s="311"/>
      <c r="K18" s="312"/>
      <c r="L18" s="311"/>
      <c r="M18" s="311"/>
      <c r="N18" s="311"/>
      <c r="O18" s="311"/>
      <c r="P18" s="311"/>
      <c r="Q18" s="311"/>
      <c r="R18" s="311"/>
    </row>
    <row r="19" spans="1:18" ht="17.399999999999999" x14ac:dyDescent="0.3">
      <c r="A19" s="334" t="s">
        <v>144</v>
      </c>
      <c r="B19" s="241" t="s">
        <v>145</v>
      </c>
      <c r="C19" s="317">
        <v>1</v>
      </c>
      <c r="D19" s="307">
        <v>12</v>
      </c>
      <c r="E19" s="295">
        <v>26</v>
      </c>
      <c r="F19" s="325">
        <v>8.5853658536585371</v>
      </c>
      <c r="G19" s="290" t="s">
        <v>318</v>
      </c>
      <c r="H19" s="319"/>
      <c r="I19" s="311"/>
      <c r="J19" s="311"/>
      <c r="K19" s="312"/>
      <c r="L19" s="311"/>
      <c r="M19" s="311"/>
      <c r="N19" s="311"/>
      <c r="O19" s="311"/>
      <c r="P19" s="311"/>
      <c r="Q19" s="311"/>
      <c r="R19" s="311"/>
    </row>
    <row r="20" spans="1:18" ht="17.399999999999999" x14ac:dyDescent="0.3">
      <c r="A20" s="335" t="s">
        <v>20</v>
      </c>
      <c r="B20" s="241" t="s">
        <v>146</v>
      </c>
      <c r="C20" s="321">
        <v>2</v>
      </c>
      <c r="D20" s="307">
        <v>13</v>
      </c>
      <c r="E20" s="295">
        <v>33</v>
      </c>
      <c r="F20" s="318">
        <v>-1.8292682926829258</v>
      </c>
      <c r="G20" s="290" t="s">
        <v>214</v>
      </c>
      <c r="H20" s="319" t="s">
        <v>193</v>
      </c>
      <c r="I20" s="311"/>
      <c r="J20" s="311"/>
      <c r="K20" s="312"/>
      <c r="L20" s="311"/>
      <c r="M20" s="311"/>
      <c r="N20" s="311"/>
      <c r="O20" s="311"/>
      <c r="P20" s="311"/>
      <c r="Q20" s="311"/>
      <c r="R20" s="311"/>
    </row>
    <row r="21" spans="1:18" ht="17.399999999999999" x14ac:dyDescent="0.3">
      <c r="A21" s="305" t="s">
        <v>83</v>
      </c>
      <c r="B21" s="241" t="s">
        <v>304</v>
      </c>
      <c r="C21" s="321">
        <v>2</v>
      </c>
      <c r="D21" s="307">
        <v>14</v>
      </c>
      <c r="E21" s="295">
        <v>34</v>
      </c>
      <c r="F21" s="318">
        <v>-0.82926829268292579</v>
      </c>
      <c r="G21" s="290" t="s">
        <v>245</v>
      </c>
      <c r="H21" s="319" t="s">
        <v>266</v>
      </c>
      <c r="I21" s="311"/>
      <c r="J21" s="311"/>
      <c r="K21" s="312"/>
      <c r="L21" s="311"/>
      <c r="M21" s="311"/>
      <c r="N21" s="311"/>
      <c r="O21" s="311"/>
      <c r="P21" s="311"/>
      <c r="Q21" s="311"/>
      <c r="R21" s="311"/>
    </row>
    <row r="22" spans="1:18" ht="27" x14ac:dyDescent="0.3">
      <c r="A22" s="336" t="s">
        <v>253</v>
      </c>
      <c r="B22" s="241" t="s">
        <v>252</v>
      </c>
      <c r="C22" s="321">
        <v>2</v>
      </c>
      <c r="D22" s="307">
        <v>15</v>
      </c>
      <c r="E22" s="295">
        <v>35</v>
      </c>
      <c r="F22" s="296">
        <v>0.17073170731707421</v>
      </c>
      <c r="G22" s="290" t="s">
        <v>255</v>
      </c>
      <c r="H22" s="337" t="s">
        <v>256</v>
      </c>
      <c r="I22" s="311"/>
      <c r="J22" s="311"/>
      <c r="K22" s="312"/>
      <c r="L22" s="311"/>
      <c r="M22" s="311"/>
      <c r="N22" s="311"/>
      <c r="O22" s="311"/>
      <c r="P22" s="311"/>
      <c r="Q22" s="311"/>
      <c r="R22" s="311"/>
    </row>
    <row r="23" spans="1:18" ht="17.399999999999999" x14ac:dyDescent="0.3">
      <c r="A23" s="338" t="s">
        <v>88</v>
      </c>
      <c r="B23" s="241" t="s">
        <v>89</v>
      </c>
      <c r="C23" s="321">
        <v>2</v>
      </c>
      <c r="D23" s="307">
        <v>16</v>
      </c>
      <c r="E23" s="295">
        <v>35</v>
      </c>
      <c r="F23" s="296">
        <v>0.17073170731707421</v>
      </c>
      <c r="G23" s="290" t="s">
        <v>244</v>
      </c>
      <c r="H23" s="319"/>
      <c r="I23" s="311"/>
      <c r="J23" s="311"/>
      <c r="K23" s="312"/>
      <c r="L23" s="311"/>
      <c r="M23" s="311"/>
      <c r="N23" s="311"/>
      <c r="O23" s="311"/>
      <c r="P23" s="311"/>
      <c r="Q23" s="311"/>
      <c r="R23" s="311"/>
    </row>
    <row r="24" spans="1:18" ht="17.399999999999999" x14ac:dyDescent="0.3">
      <c r="A24" s="339" t="s">
        <v>84</v>
      </c>
      <c r="B24" s="241" t="s">
        <v>148</v>
      </c>
      <c r="C24" s="317">
        <v>1</v>
      </c>
      <c r="D24" s="307">
        <v>17</v>
      </c>
      <c r="E24" s="295">
        <v>17</v>
      </c>
      <c r="F24" s="318">
        <v>-0.41463414634146289</v>
      </c>
      <c r="G24" s="290" t="s">
        <v>241</v>
      </c>
      <c r="H24" s="319"/>
      <c r="I24" s="311"/>
      <c r="J24" s="311"/>
      <c r="K24" s="312"/>
      <c r="L24" s="311"/>
      <c r="M24" s="311"/>
      <c r="N24" s="311"/>
      <c r="O24" s="311"/>
      <c r="P24" s="311"/>
      <c r="Q24" s="311"/>
      <c r="R24" s="311"/>
    </row>
    <row r="25" spans="1:18" ht="17.399999999999999" x14ac:dyDescent="0.3">
      <c r="A25" s="340" t="s">
        <v>34</v>
      </c>
      <c r="B25" s="241" t="s">
        <v>85</v>
      </c>
      <c r="C25" s="365">
        <v>3</v>
      </c>
      <c r="D25" s="307">
        <v>18</v>
      </c>
      <c r="E25" s="295">
        <v>51</v>
      </c>
      <c r="F25" s="318">
        <v>-1.2439024390243887</v>
      </c>
      <c r="G25" s="290" t="s">
        <v>254</v>
      </c>
      <c r="H25" s="319"/>
      <c r="I25" s="311"/>
      <c r="J25" s="311"/>
      <c r="K25" s="312"/>
      <c r="L25" s="311"/>
      <c r="M25" s="311"/>
      <c r="N25" s="311"/>
      <c r="O25" s="311"/>
      <c r="P25" s="311"/>
      <c r="Q25" s="311"/>
      <c r="R25" s="311"/>
    </row>
    <row r="26" spans="1:18" ht="17.399999999999999" x14ac:dyDescent="0.3">
      <c r="A26" s="322" t="s">
        <v>338</v>
      </c>
      <c r="B26" s="241" t="s">
        <v>337</v>
      </c>
      <c r="C26" s="321">
        <v>2</v>
      </c>
      <c r="D26" s="307">
        <v>19</v>
      </c>
      <c r="E26" s="295">
        <v>32</v>
      </c>
      <c r="F26" s="318">
        <v>-2.8292682926829258</v>
      </c>
      <c r="G26" s="290" t="s">
        <v>334</v>
      </c>
      <c r="H26" s="319"/>
      <c r="I26" s="311"/>
      <c r="J26" s="311"/>
      <c r="K26" s="312"/>
      <c r="L26" s="311"/>
      <c r="M26" s="311"/>
      <c r="N26" s="311"/>
      <c r="O26" s="311"/>
      <c r="P26" s="311"/>
      <c r="Q26" s="311"/>
      <c r="R26" s="311"/>
    </row>
    <row r="27" spans="1:18" ht="17.399999999999999" x14ac:dyDescent="0.3">
      <c r="A27" s="316" t="s">
        <v>41</v>
      </c>
      <c r="B27" s="241" t="s">
        <v>156</v>
      </c>
      <c r="C27" s="365">
        <v>3</v>
      </c>
      <c r="D27" s="307">
        <v>20</v>
      </c>
      <c r="E27" s="295">
        <v>52</v>
      </c>
      <c r="F27" s="318">
        <v>-0.24390243902438868</v>
      </c>
      <c r="G27" s="290" t="s">
        <v>200</v>
      </c>
      <c r="H27" s="319"/>
      <c r="I27" s="311"/>
      <c r="J27" s="311"/>
      <c r="K27" s="312"/>
      <c r="L27" s="311"/>
      <c r="M27" s="311"/>
      <c r="N27" s="311"/>
      <c r="O27" s="311"/>
      <c r="P27" s="311"/>
      <c r="Q27" s="311"/>
      <c r="R27" s="311"/>
    </row>
    <row r="28" spans="1:18" ht="17.399999999999999" x14ac:dyDescent="0.3">
      <c r="A28" s="341" t="s">
        <v>212</v>
      </c>
      <c r="B28" s="342" t="s">
        <v>213</v>
      </c>
      <c r="C28" s="364">
        <v>0</v>
      </c>
      <c r="D28" s="307">
        <v>21</v>
      </c>
      <c r="E28" s="295">
        <v>0</v>
      </c>
      <c r="F28" s="296">
        <v>0</v>
      </c>
      <c r="G28" s="290" t="s">
        <v>199</v>
      </c>
      <c r="H28" s="319"/>
      <c r="I28" s="311"/>
      <c r="J28" s="311"/>
      <c r="K28" s="312"/>
      <c r="L28" s="311"/>
      <c r="M28" s="311"/>
      <c r="N28" s="311"/>
      <c r="O28" s="311"/>
      <c r="P28" s="311"/>
      <c r="Q28" s="311"/>
      <c r="R28" s="311"/>
    </row>
    <row r="29" spans="1:18" ht="17.399999999999999" x14ac:dyDescent="0.3">
      <c r="A29" s="343" t="s">
        <v>37</v>
      </c>
      <c r="B29" s="241" t="s">
        <v>87</v>
      </c>
      <c r="C29" s="321">
        <v>2</v>
      </c>
      <c r="D29" s="307">
        <v>22</v>
      </c>
      <c r="E29" s="295">
        <v>36</v>
      </c>
      <c r="F29" s="296">
        <v>1.1707317073170742</v>
      </c>
      <c r="G29" s="290" t="s">
        <v>247</v>
      </c>
      <c r="H29" s="319">
        <v>0</v>
      </c>
      <c r="I29" s="311"/>
      <c r="J29" s="311"/>
      <c r="K29" s="312"/>
      <c r="L29" s="344"/>
      <c r="M29" s="311"/>
      <c r="N29" s="311"/>
      <c r="O29" s="311"/>
      <c r="P29" s="311"/>
      <c r="Q29" s="311"/>
      <c r="R29" s="311"/>
    </row>
    <row r="30" spans="1:18" ht="17.399999999999999" x14ac:dyDescent="0.3">
      <c r="A30" s="345" t="s">
        <v>7</v>
      </c>
      <c r="B30" s="360" t="s">
        <v>202</v>
      </c>
      <c r="C30" s="321">
        <v>2</v>
      </c>
      <c r="D30" s="307">
        <v>23</v>
      </c>
      <c r="E30" s="295">
        <v>35</v>
      </c>
      <c r="F30" s="296">
        <v>0.17073170731707421</v>
      </c>
      <c r="G30" s="290" t="s">
        <v>246</v>
      </c>
      <c r="H30" s="319"/>
      <c r="I30" s="311"/>
      <c r="J30" s="311"/>
      <c r="K30" s="312"/>
      <c r="L30" s="311"/>
      <c r="M30" s="311"/>
      <c r="N30" s="311"/>
      <c r="O30" s="311"/>
      <c r="P30" s="311"/>
      <c r="Q30" s="311"/>
      <c r="R30" s="311"/>
    </row>
    <row r="31" spans="1:18" ht="17.399999999999999" x14ac:dyDescent="0.3">
      <c r="A31" s="346" t="s">
        <v>18</v>
      </c>
      <c r="B31" s="241" t="s">
        <v>86</v>
      </c>
      <c r="C31" s="317">
        <v>1</v>
      </c>
      <c r="D31" s="307">
        <v>24</v>
      </c>
      <c r="E31" s="295">
        <v>17</v>
      </c>
      <c r="F31" s="318">
        <v>-0.41463414634146289</v>
      </c>
      <c r="G31" s="290" t="s">
        <v>201</v>
      </c>
      <c r="H31" s="319"/>
      <c r="I31" s="311"/>
      <c r="J31" s="311"/>
      <c r="K31" s="312"/>
      <c r="L31" s="311"/>
      <c r="M31" s="311"/>
      <c r="N31" s="311"/>
      <c r="O31" s="311"/>
      <c r="P31" s="311"/>
      <c r="Q31" s="311"/>
      <c r="R31" s="311"/>
    </row>
    <row r="32" spans="1:18" ht="15.6" x14ac:dyDescent="0.3">
      <c r="A32" s="347"/>
      <c r="B32" s="241"/>
      <c r="C32" s="317"/>
      <c r="D32" s="348"/>
      <c r="E32" s="295"/>
      <c r="F32" s="318"/>
      <c r="H32" s="319"/>
      <c r="I32" s="311"/>
      <c r="J32" s="311"/>
      <c r="K32" s="312"/>
      <c r="L32" s="311"/>
      <c r="M32" s="311"/>
      <c r="N32" s="311"/>
      <c r="O32" s="311"/>
      <c r="P32" s="311"/>
      <c r="Q32" s="311"/>
      <c r="R32" s="311"/>
    </row>
    <row r="33" spans="1:18" ht="15.6" x14ac:dyDescent="0.3">
      <c r="A33" s="292"/>
      <c r="B33" s="47"/>
      <c r="C33" s="349"/>
      <c r="D33" s="350"/>
      <c r="E33" s="295"/>
      <c r="F33" s="318"/>
      <c r="H33" s="319"/>
      <c r="I33" s="311"/>
      <c r="J33" s="311"/>
      <c r="K33" s="312"/>
      <c r="L33" s="311"/>
      <c r="M33" s="311"/>
      <c r="N33" s="311"/>
      <c r="O33" s="311"/>
      <c r="P33" s="311"/>
      <c r="Q33" s="311"/>
      <c r="R33" s="311"/>
    </row>
    <row r="34" spans="1:18" ht="16.2" thickBot="1" x14ac:dyDescent="0.35">
      <c r="A34" s="292"/>
      <c r="B34" s="47"/>
      <c r="C34" s="351"/>
      <c r="D34" s="350"/>
      <c r="E34" s="295"/>
      <c r="F34" s="296"/>
      <c r="H34" s="65" t="s">
        <v>335</v>
      </c>
      <c r="K34" s="5"/>
    </row>
    <row r="35" spans="1:18" ht="16.2" thickBot="1" x14ac:dyDescent="0.35">
      <c r="A35" s="352"/>
      <c r="B35" s="64" t="s">
        <v>90</v>
      </c>
      <c r="C35" s="353">
        <f>SUM(C8:C34)</f>
        <v>41</v>
      </c>
      <c r="D35" s="354"/>
      <c r="E35" s="355"/>
      <c r="F35" s="356"/>
      <c r="K35" s="5"/>
    </row>
    <row r="36" spans="1:18" ht="15.6" x14ac:dyDescent="0.3">
      <c r="A36" s="47"/>
      <c r="B36" s="47"/>
      <c r="C36" s="50"/>
      <c r="D36" s="47"/>
      <c r="E36" s="50" t="s">
        <v>158</v>
      </c>
      <c r="F36" s="357"/>
    </row>
    <row r="37" spans="1:18" ht="15.6" x14ac:dyDescent="0.3">
      <c r="A37" s="47"/>
      <c r="B37" s="47" t="s">
        <v>128</v>
      </c>
      <c r="C37" s="50">
        <f>GrandTotalHours</f>
        <v>714</v>
      </c>
      <c r="D37" s="47"/>
      <c r="E37" s="50">
        <f>SUM(E7:E36)</f>
        <v>714</v>
      </c>
      <c r="F37" s="357"/>
    </row>
    <row r="38" spans="1:18" ht="15.6" x14ac:dyDescent="0.3">
      <c r="A38" s="47"/>
      <c r="B38" s="47"/>
      <c r="C38" s="50"/>
      <c r="D38" s="47"/>
      <c r="E38" s="50"/>
      <c r="F38" s="357"/>
    </row>
    <row r="39" spans="1:18" ht="15.6" x14ac:dyDescent="0.3">
      <c r="A39" s="47"/>
      <c r="B39" s="47" t="s">
        <v>129</v>
      </c>
      <c r="C39" s="358">
        <f>GrandTotalHours/TotalShowShares</f>
        <v>17.414634146341463</v>
      </c>
      <c r="D39" s="47"/>
      <c r="E39" s="50"/>
      <c r="F39" s="357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7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30480</xdr:colOff>
                <xdr:row>1</xdr:row>
                <xdr:rowOff>30480</xdr:rowOff>
              </from>
              <to>
                <xdr:col>7</xdr:col>
                <xdr:colOff>1569720</xdr:colOff>
                <xdr:row>2</xdr:row>
                <xdr:rowOff>137160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30480</xdr:colOff>
                <xdr:row>3</xdr:row>
                <xdr:rowOff>0</xdr:rowOff>
              </from>
              <to>
                <xdr:col>7</xdr:col>
                <xdr:colOff>1569720</xdr:colOff>
                <xdr:row>4</xdr:row>
                <xdr:rowOff>121920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topLeftCell="A13" workbookViewId="0">
      <selection activeCell="A22" sqref="A22"/>
    </sheetView>
  </sheetViews>
  <sheetFormatPr defaultRowHeight="13.2" x14ac:dyDescent="0.25"/>
  <cols>
    <col min="1" max="1" width="40.5546875" bestFit="1" customWidth="1"/>
    <col min="3" max="4" width="8.5546875" bestFit="1" customWidth="1"/>
    <col min="6" max="6" width="22.5546875" bestFit="1" customWidth="1"/>
    <col min="8" max="8" width="18.44140625" bestFit="1" customWidth="1"/>
    <col min="9" max="9" width="45.109375" bestFit="1" customWidth="1"/>
    <col min="10" max="10" width="14.109375" customWidth="1"/>
  </cols>
  <sheetData>
    <row r="1" spans="1:10" x14ac:dyDescent="0.25">
      <c r="A1" t="s">
        <v>139</v>
      </c>
      <c r="I1" t="s">
        <v>159</v>
      </c>
    </row>
    <row r="3" spans="1:10" x14ac:dyDescent="0.25">
      <c r="C3" t="s">
        <v>134</v>
      </c>
      <c r="D3" t="s">
        <v>135</v>
      </c>
    </row>
    <row r="4" spans="1:10" x14ac:dyDescent="0.25">
      <c r="A4" t="s">
        <v>263</v>
      </c>
      <c r="C4" s="92">
        <v>7</v>
      </c>
      <c r="D4" s="92">
        <v>16</v>
      </c>
      <c r="F4" s="13" t="s">
        <v>257</v>
      </c>
      <c r="H4" s="92" t="str">
        <f>FALLFriday</f>
        <v>Friday 9/26/2025</v>
      </c>
      <c r="J4">
        <f>ROW(FALLFriday)</f>
        <v>5</v>
      </c>
    </row>
    <row r="5" spans="1:10" x14ac:dyDescent="0.25">
      <c r="A5" t="s">
        <v>264</v>
      </c>
      <c r="C5" s="92">
        <v>25</v>
      </c>
      <c r="D5" s="92">
        <v>12</v>
      </c>
      <c r="F5" s="13" t="s">
        <v>258</v>
      </c>
      <c r="H5" s="92" t="str">
        <f>FALLSaturday</f>
        <v>Saturday 9/27/2025</v>
      </c>
      <c r="J5">
        <f>ROW(FALLSaturday)</f>
        <v>5</v>
      </c>
    </row>
    <row r="6" spans="1:10" x14ac:dyDescent="0.25">
      <c r="A6" t="s">
        <v>265</v>
      </c>
      <c r="C6" s="92">
        <v>26</v>
      </c>
      <c r="D6" s="92">
        <v>12</v>
      </c>
      <c r="F6" s="13" t="s">
        <v>259</v>
      </c>
      <c r="H6" s="92" t="str">
        <f>FALLSunday</f>
        <v>Sunday 9/28/2025</v>
      </c>
      <c r="J6">
        <f>ROW(FALLSunday)</f>
        <v>5</v>
      </c>
    </row>
    <row r="7" spans="1:10" x14ac:dyDescent="0.25">
      <c r="A7" t="s">
        <v>136</v>
      </c>
      <c r="C7" s="92">
        <v>7</v>
      </c>
      <c r="D7" s="92">
        <f>FindHourlyCols("DAT Friday",DATFriday)</f>
        <v>16</v>
      </c>
      <c r="F7" t="s">
        <v>260</v>
      </c>
      <c r="H7" s="92" t="str">
        <f>DATFriday</f>
        <v>Friday 01/16/2026</v>
      </c>
      <c r="J7">
        <f>ROW(DATFriday)</f>
        <v>5</v>
      </c>
    </row>
    <row r="8" spans="1:10" x14ac:dyDescent="0.25">
      <c r="A8" t="s">
        <v>137</v>
      </c>
      <c r="C8" s="92">
        <f>FindHourlyRows("DAT Saturday",DATSaturday)</f>
        <v>24</v>
      </c>
      <c r="D8" s="92">
        <f>FindHourlyCols("DAT Saturday",DATSaturday)</f>
        <v>12</v>
      </c>
      <c r="F8" t="s">
        <v>261</v>
      </c>
      <c r="H8" s="92" t="str">
        <f>DATSaturday</f>
        <v>Saturday 01/17/2026</v>
      </c>
      <c r="J8">
        <f>ROW(DATSaturday)</f>
        <v>5</v>
      </c>
    </row>
    <row r="9" spans="1:10" x14ac:dyDescent="0.25">
      <c r="A9" t="s">
        <v>138</v>
      </c>
      <c r="C9" s="92">
        <v>26</v>
      </c>
      <c r="D9" s="92">
        <v>12</v>
      </c>
      <c r="F9" t="s">
        <v>262</v>
      </c>
      <c r="H9" s="92" t="str">
        <f>DATSunday</f>
        <v>Sunday 01/18/2026</v>
      </c>
      <c r="J9">
        <f>ROW(DATSunday)</f>
        <v>5</v>
      </c>
    </row>
    <row r="12" spans="1:10" x14ac:dyDescent="0.25">
      <c r="D12" s="92">
        <v>1</v>
      </c>
    </row>
    <row r="13" spans="1:10" x14ac:dyDescent="0.25">
      <c r="D13" s="92">
        <v>1</v>
      </c>
      <c r="F13" t="s">
        <v>208</v>
      </c>
      <c r="I13" s="92">
        <v>1</v>
      </c>
    </row>
    <row r="15" spans="1:10" x14ac:dyDescent="0.25">
      <c r="C15" t="s">
        <v>190</v>
      </c>
      <c r="D15" t="s">
        <v>189</v>
      </c>
    </row>
    <row r="16" spans="1:10" x14ac:dyDescent="0.25">
      <c r="A16" t="s">
        <v>186</v>
      </c>
      <c r="C16" s="92">
        <v>1</v>
      </c>
      <c r="D16" s="92">
        <v>28</v>
      </c>
    </row>
    <row r="17" spans="1:4" x14ac:dyDescent="0.25">
      <c r="A17" s="13" t="s">
        <v>269</v>
      </c>
      <c r="C17" s="92">
        <v>4</v>
      </c>
      <c r="D17" s="92">
        <v>42</v>
      </c>
    </row>
    <row r="18" spans="1:4" x14ac:dyDescent="0.25">
      <c r="A18" s="13" t="s">
        <v>270</v>
      </c>
      <c r="C18" s="92">
        <v>46</v>
      </c>
      <c r="D18" s="92">
        <v>86</v>
      </c>
    </row>
    <row r="19" spans="1:4" x14ac:dyDescent="0.25">
      <c r="A19" t="s">
        <v>187</v>
      </c>
      <c r="C19" s="92">
        <v>90</v>
      </c>
      <c r="D19" s="92">
        <v>125</v>
      </c>
    </row>
    <row r="20" spans="1:4" x14ac:dyDescent="0.25">
      <c r="A20" t="s">
        <v>188</v>
      </c>
      <c r="C20" s="92">
        <v>129</v>
      </c>
      <c r="D20" s="92">
        <v>176</v>
      </c>
    </row>
    <row r="22" spans="1:4" x14ac:dyDescent="0.25">
      <c r="A22" s="374" t="s">
        <v>356</v>
      </c>
    </row>
    <row r="23" spans="1:4" x14ac:dyDescent="0.25">
      <c r="A23" t="s">
        <v>355</v>
      </c>
    </row>
  </sheetData>
  <phoneticPr fontId="12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abSelected="1" topLeftCell="A37" workbookViewId="0">
      <selection activeCell="B26" sqref="B26"/>
    </sheetView>
  </sheetViews>
  <sheetFormatPr defaultRowHeight="13.2" x14ac:dyDescent="0.25"/>
  <cols>
    <col min="1" max="1" width="17.33203125" customWidth="1"/>
    <col min="2" max="2" width="45.6640625" bestFit="1" customWidth="1"/>
    <col min="4" max="4" width="14.33203125" bestFit="1" customWidth="1"/>
  </cols>
  <sheetData>
    <row r="1" spans="1:8" ht="17.399999999999999" x14ac:dyDescent="0.3">
      <c r="A1" s="94" t="s">
        <v>232</v>
      </c>
      <c r="B1" s="91"/>
      <c r="C1" s="91"/>
      <c r="D1" s="95"/>
    </row>
    <row r="2" spans="1:8" x14ac:dyDescent="0.25">
      <c r="A2" s="1"/>
      <c r="B2" s="2" t="str">
        <f>Issue</f>
        <v>2025/26 Show Season (final)</v>
      </c>
      <c r="C2" s="2"/>
      <c r="D2" s="96"/>
    </row>
    <row r="3" spans="1:8" ht="15.6" x14ac:dyDescent="0.3">
      <c r="A3" s="3"/>
      <c r="B3" s="107" t="str">
        <f>Season</f>
        <v>2024/2025</v>
      </c>
      <c r="C3" s="2"/>
      <c r="D3" s="97"/>
    </row>
    <row r="4" spans="1:8" x14ac:dyDescent="0.25">
      <c r="A4" s="4"/>
      <c r="C4" s="5" t="s">
        <v>0</v>
      </c>
      <c r="D4" s="97" t="s">
        <v>1</v>
      </c>
    </row>
    <row r="5" spans="1:8" x14ac:dyDescent="0.25">
      <c r="A5" s="6" t="s">
        <v>2</v>
      </c>
      <c r="B5" s="108" t="s">
        <v>3</v>
      </c>
      <c r="C5" s="7" t="s">
        <v>4</v>
      </c>
      <c r="D5" s="98" t="s">
        <v>5</v>
      </c>
    </row>
    <row r="6" spans="1:8" x14ac:dyDescent="0.25">
      <c r="A6" s="59" t="s">
        <v>6</v>
      </c>
      <c r="B6" s="109" t="s">
        <v>271</v>
      </c>
      <c r="C6" s="19">
        <v>4</v>
      </c>
      <c r="D6" s="99" t="s">
        <v>144</v>
      </c>
      <c r="F6" s="9"/>
      <c r="H6" s="2"/>
    </row>
    <row r="7" spans="1:8" x14ac:dyDescent="0.25">
      <c r="A7" s="59" t="s">
        <v>8</v>
      </c>
      <c r="B7" s="109" t="s">
        <v>272</v>
      </c>
      <c r="C7" s="19">
        <v>2</v>
      </c>
      <c r="D7" s="99" t="s">
        <v>144</v>
      </c>
      <c r="F7" s="9"/>
      <c r="H7" s="2"/>
    </row>
    <row r="8" spans="1:8" x14ac:dyDescent="0.25">
      <c r="A8" s="59" t="s">
        <v>9</v>
      </c>
      <c r="B8" s="109" t="s">
        <v>273</v>
      </c>
      <c r="C8" s="19">
        <v>2</v>
      </c>
      <c r="D8" s="99" t="s">
        <v>144</v>
      </c>
      <c r="F8" s="9"/>
      <c r="H8" s="2"/>
    </row>
    <row r="9" spans="1:8" x14ac:dyDescent="0.25">
      <c r="A9" s="160" t="s">
        <v>9</v>
      </c>
      <c r="B9" s="153" t="s">
        <v>339</v>
      </c>
      <c r="C9" s="19">
        <v>9</v>
      </c>
      <c r="D9" s="99" t="s">
        <v>253</v>
      </c>
      <c r="F9" s="9"/>
      <c r="H9" s="2"/>
    </row>
    <row r="10" spans="1:8" x14ac:dyDescent="0.25">
      <c r="A10" s="59" t="s">
        <v>10</v>
      </c>
      <c r="B10" s="109" t="s">
        <v>274</v>
      </c>
      <c r="C10" s="19">
        <v>2</v>
      </c>
      <c r="D10" s="126" t="s">
        <v>32</v>
      </c>
      <c r="F10" s="9"/>
      <c r="H10" s="2"/>
    </row>
    <row r="11" spans="1:8" x14ac:dyDescent="0.25">
      <c r="A11" s="59" t="s">
        <v>11</v>
      </c>
      <c r="B11" s="109" t="s">
        <v>288</v>
      </c>
      <c r="C11" s="19">
        <v>8</v>
      </c>
      <c r="D11" s="126" t="s">
        <v>144</v>
      </c>
      <c r="F11" s="9"/>
      <c r="H11" s="2"/>
    </row>
    <row r="12" spans="1:8" x14ac:dyDescent="0.25">
      <c r="A12" s="59"/>
      <c r="B12" s="110"/>
      <c r="C12" s="19"/>
      <c r="D12" s="99"/>
      <c r="F12" s="9"/>
      <c r="H12" s="2"/>
    </row>
    <row r="13" spans="1:8" x14ac:dyDescent="0.25">
      <c r="A13" s="59" t="s">
        <v>13</v>
      </c>
      <c r="B13" s="109" t="s">
        <v>275</v>
      </c>
      <c r="C13" s="19">
        <v>6</v>
      </c>
      <c r="D13" s="126" t="s">
        <v>12</v>
      </c>
      <c r="F13" s="9"/>
      <c r="H13" s="2"/>
    </row>
    <row r="14" spans="1:8" x14ac:dyDescent="0.25">
      <c r="A14" s="59" t="s">
        <v>14</v>
      </c>
      <c r="B14" s="110"/>
      <c r="C14" s="19"/>
      <c r="D14" s="99"/>
      <c r="F14" s="9"/>
      <c r="H14" s="2"/>
    </row>
    <row r="15" spans="1:8" x14ac:dyDescent="0.25">
      <c r="A15" s="59" t="s">
        <v>15</v>
      </c>
      <c r="B15" s="110"/>
      <c r="C15" s="19"/>
      <c r="D15" s="99"/>
      <c r="F15" s="9"/>
      <c r="H15" s="2"/>
    </row>
    <row r="16" spans="1:8" x14ac:dyDescent="0.25">
      <c r="A16" s="59" t="s">
        <v>209</v>
      </c>
      <c r="B16" s="18" t="s">
        <v>210</v>
      </c>
      <c r="C16" s="19">
        <v>8</v>
      </c>
      <c r="D16" s="99" t="s">
        <v>16</v>
      </c>
      <c r="F16" s="9"/>
      <c r="H16" s="2"/>
    </row>
    <row r="17" spans="1:8" x14ac:dyDescent="0.25">
      <c r="A17" s="59" t="s">
        <v>17</v>
      </c>
      <c r="B17" s="13" t="s">
        <v>289</v>
      </c>
      <c r="C17" s="158">
        <v>10</v>
      </c>
      <c r="D17" s="100" t="s">
        <v>32</v>
      </c>
      <c r="F17" s="88"/>
      <c r="H17" s="2"/>
    </row>
    <row r="18" spans="1:8" x14ac:dyDescent="0.25">
      <c r="A18" s="59" t="s">
        <v>19</v>
      </c>
      <c r="B18" s="110"/>
      <c r="C18" s="19"/>
      <c r="D18" s="99"/>
      <c r="F18" s="9"/>
      <c r="H18" s="2"/>
    </row>
    <row r="19" spans="1:8" x14ac:dyDescent="0.25">
      <c r="A19" s="59" t="s">
        <v>21</v>
      </c>
      <c r="B19" s="153"/>
      <c r="C19" s="19"/>
      <c r="D19" s="99"/>
      <c r="F19" s="9"/>
      <c r="H19" s="2"/>
    </row>
    <row r="20" spans="1:8" x14ac:dyDescent="0.25">
      <c r="A20" s="59" t="s">
        <v>22</v>
      </c>
      <c r="B20" s="18" t="s">
        <v>23</v>
      </c>
      <c r="C20" s="19">
        <v>8</v>
      </c>
      <c r="D20" s="99" t="s">
        <v>25</v>
      </c>
      <c r="F20" s="9"/>
      <c r="H20" s="2"/>
    </row>
    <row r="21" spans="1:8" x14ac:dyDescent="0.25">
      <c r="A21" s="59" t="s">
        <v>24</v>
      </c>
      <c r="B21" s="153" t="s">
        <v>336</v>
      </c>
      <c r="C21" s="19">
        <v>4</v>
      </c>
      <c r="D21" s="126" t="s">
        <v>7</v>
      </c>
      <c r="F21" s="88"/>
      <c r="H21" s="2"/>
    </row>
    <row r="22" spans="1:8" x14ac:dyDescent="0.25">
      <c r="A22" s="59" t="s">
        <v>26</v>
      </c>
      <c r="B22" s="18" t="s">
        <v>27</v>
      </c>
      <c r="C22" s="19">
        <v>12</v>
      </c>
      <c r="D22" s="99" t="s">
        <v>7</v>
      </c>
      <c r="F22" s="9"/>
      <c r="H22" s="2"/>
    </row>
    <row r="23" spans="1:8" x14ac:dyDescent="0.25">
      <c r="A23" s="59" t="s">
        <v>28</v>
      </c>
      <c r="B23" s="110"/>
      <c r="C23" s="19"/>
      <c r="D23" s="99"/>
      <c r="F23" s="9"/>
      <c r="H23" s="2"/>
    </row>
    <row r="24" spans="1:8" x14ac:dyDescent="0.25">
      <c r="A24" s="59" t="s">
        <v>29</v>
      </c>
      <c r="B24" s="110"/>
      <c r="C24" s="19"/>
      <c r="D24" s="99"/>
      <c r="F24" s="9"/>
      <c r="H24" s="2"/>
    </row>
    <row r="25" spans="1:8" x14ac:dyDescent="0.25">
      <c r="A25" s="59" t="s">
        <v>30</v>
      </c>
      <c r="B25" s="18" t="s">
        <v>31</v>
      </c>
      <c r="C25" s="19">
        <v>10</v>
      </c>
      <c r="D25" s="100" t="s">
        <v>218</v>
      </c>
      <c r="F25" s="9"/>
      <c r="H25" s="2"/>
    </row>
    <row r="26" spans="1:8" x14ac:dyDescent="0.25">
      <c r="A26" s="80" t="s">
        <v>33</v>
      </c>
      <c r="B26" s="153" t="s">
        <v>357</v>
      </c>
      <c r="C26" s="19">
        <v>6</v>
      </c>
      <c r="D26" s="99" t="s">
        <v>7</v>
      </c>
      <c r="F26" s="9"/>
      <c r="H26" s="2"/>
    </row>
    <row r="27" spans="1:8" x14ac:dyDescent="0.25">
      <c r="A27" s="59" t="s">
        <v>35</v>
      </c>
      <c r="B27" s="18" t="s">
        <v>36</v>
      </c>
      <c r="C27" s="19">
        <v>4</v>
      </c>
      <c r="D27" s="99" t="s">
        <v>81</v>
      </c>
      <c r="F27" s="9"/>
      <c r="H27" s="2"/>
    </row>
    <row r="28" spans="1:8" x14ac:dyDescent="0.25">
      <c r="A28" s="59" t="s">
        <v>38</v>
      </c>
      <c r="B28" s="110"/>
      <c r="C28" s="19"/>
      <c r="D28" s="99"/>
      <c r="F28" s="9"/>
      <c r="H28" s="2"/>
    </row>
    <row r="29" spans="1:8" x14ac:dyDescent="0.25">
      <c r="A29" s="80" t="s">
        <v>211</v>
      </c>
      <c r="B29" t="s">
        <v>290</v>
      </c>
      <c r="C29" s="158">
        <v>0</v>
      </c>
      <c r="D29" s="156"/>
      <c r="F29" s="88"/>
      <c r="H29" s="2"/>
    </row>
    <row r="30" spans="1:8" x14ac:dyDescent="0.25">
      <c r="A30" s="80"/>
      <c r="B30" t="s">
        <v>291</v>
      </c>
      <c r="C30" s="158">
        <v>0</v>
      </c>
      <c r="D30" s="156"/>
      <c r="F30" s="88"/>
      <c r="H30" s="2"/>
    </row>
    <row r="31" spans="1:8" x14ac:dyDescent="0.25">
      <c r="A31" s="59" t="s">
        <v>39</v>
      </c>
      <c r="B31" s="18" t="s">
        <v>40</v>
      </c>
      <c r="C31" s="19">
        <v>1</v>
      </c>
      <c r="D31" s="126" t="s">
        <v>41</v>
      </c>
      <c r="F31" s="9"/>
      <c r="H31" s="2"/>
    </row>
    <row r="32" spans="1:8" x14ac:dyDescent="0.25">
      <c r="A32" s="59" t="s">
        <v>42</v>
      </c>
      <c r="B32" s="18" t="s">
        <v>43</v>
      </c>
      <c r="C32" s="19">
        <v>12</v>
      </c>
      <c r="D32" s="99" t="s">
        <v>81</v>
      </c>
      <c r="F32" s="88"/>
      <c r="H32" s="2"/>
    </row>
    <row r="33" spans="1:8" x14ac:dyDescent="0.25">
      <c r="A33" s="59" t="s">
        <v>44</v>
      </c>
      <c r="B33" s="18" t="s">
        <v>278</v>
      </c>
      <c r="C33" s="19">
        <v>1</v>
      </c>
      <c r="D33" s="100" t="s">
        <v>18</v>
      </c>
      <c r="F33" s="88"/>
      <c r="H33" s="2"/>
    </row>
    <row r="34" spans="1:8" ht="15" x14ac:dyDescent="0.25">
      <c r="A34" s="59" t="s">
        <v>45</v>
      </c>
      <c r="B34" s="18" t="s">
        <v>46</v>
      </c>
      <c r="C34" s="19">
        <v>2</v>
      </c>
      <c r="D34" s="163" t="s">
        <v>320</v>
      </c>
      <c r="F34" s="88"/>
      <c r="H34" s="2"/>
    </row>
    <row r="35" spans="1:8" x14ac:dyDescent="0.25">
      <c r="A35" s="59" t="s">
        <v>47</v>
      </c>
      <c r="B35" s="109" t="s">
        <v>279</v>
      </c>
      <c r="C35" s="19">
        <v>2</v>
      </c>
      <c r="D35" s="99" t="s">
        <v>338</v>
      </c>
      <c r="F35" s="9"/>
      <c r="H35" s="2"/>
    </row>
    <row r="36" spans="1:8" ht="15" x14ac:dyDescent="0.25">
      <c r="A36" s="59" t="s">
        <v>48</v>
      </c>
      <c r="B36" s="109" t="s">
        <v>287</v>
      </c>
      <c r="C36" s="19">
        <v>2</v>
      </c>
      <c r="D36" s="163" t="s">
        <v>320</v>
      </c>
      <c r="F36" s="9"/>
      <c r="H36" s="2"/>
    </row>
    <row r="37" spans="1:8" x14ac:dyDescent="0.25">
      <c r="A37" s="59" t="s">
        <v>50</v>
      </c>
      <c r="B37" s="153" t="s">
        <v>328</v>
      </c>
      <c r="C37" s="19">
        <v>12</v>
      </c>
      <c r="D37" s="99" t="s">
        <v>25</v>
      </c>
      <c r="F37" s="9"/>
      <c r="H37" s="2"/>
    </row>
    <row r="38" spans="1:8" x14ac:dyDescent="0.25">
      <c r="A38" s="59"/>
      <c r="B38" s="110"/>
      <c r="C38" s="19"/>
      <c r="D38" s="99"/>
      <c r="F38" s="9"/>
      <c r="H38" s="2"/>
    </row>
    <row r="39" spans="1:8" x14ac:dyDescent="0.25">
      <c r="A39" s="59" t="s">
        <v>194</v>
      </c>
      <c r="B39" s="109" t="s">
        <v>195</v>
      </c>
      <c r="C39" s="19">
        <v>1</v>
      </c>
      <c r="D39" s="99" t="s">
        <v>84</v>
      </c>
      <c r="F39" s="9"/>
      <c r="H39" s="2"/>
    </row>
    <row r="40" spans="1:8" x14ac:dyDescent="0.25">
      <c r="A40" s="59" t="s">
        <v>196</v>
      </c>
      <c r="B40" s="18" t="s">
        <v>197</v>
      </c>
      <c r="C40" s="19">
        <v>1</v>
      </c>
      <c r="D40" s="99" t="s">
        <v>218</v>
      </c>
      <c r="F40" s="9"/>
      <c r="H40" s="2"/>
    </row>
    <row r="41" spans="1:8" x14ac:dyDescent="0.25">
      <c r="A41" s="4"/>
      <c r="C41" s="2"/>
      <c r="D41" s="96"/>
    </row>
    <row r="42" spans="1:8" ht="13.8" thickBot="1" x14ac:dyDescent="0.3">
      <c r="A42" s="60"/>
      <c r="B42" s="111" t="s">
        <v>285</v>
      </c>
      <c r="C42" s="71">
        <f>SUM(C5:C41)</f>
        <v>129</v>
      </c>
      <c r="D42" s="101"/>
    </row>
    <row r="43" spans="1:8" x14ac:dyDescent="0.25">
      <c r="D43" s="9"/>
    </row>
    <row r="44" spans="1:8" x14ac:dyDescent="0.25">
      <c r="D44" s="9"/>
    </row>
    <row r="45" spans="1:8" ht="13.8" thickBot="1" x14ac:dyDescent="0.3">
      <c r="C45" s="2"/>
      <c r="D45" s="9"/>
    </row>
    <row r="46" spans="1:8" ht="17.399999999999999" x14ac:dyDescent="0.3">
      <c r="A46" s="94" t="s">
        <v>233</v>
      </c>
      <c r="B46" s="91"/>
      <c r="C46" s="91"/>
      <c r="D46" s="95"/>
    </row>
    <row r="47" spans="1:8" x14ac:dyDescent="0.25">
      <c r="A47" s="4"/>
      <c r="B47" s="2" t="str">
        <f>Issue</f>
        <v>2025/26 Show Season (final)</v>
      </c>
      <c r="C47" s="2"/>
      <c r="D47" s="96"/>
    </row>
    <row r="48" spans="1:8" ht="15.6" x14ac:dyDescent="0.3">
      <c r="A48" s="4"/>
      <c r="B48" s="50" t="str">
        <f>Season</f>
        <v>2024/2025</v>
      </c>
      <c r="C48" s="2" t="s">
        <v>51</v>
      </c>
      <c r="D48" s="102" t="s">
        <v>161</v>
      </c>
    </row>
    <row r="49" spans="1:8" x14ac:dyDescent="0.25">
      <c r="A49" s="6" t="s">
        <v>2</v>
      </c>
      <c r="B49" s="108" t="s">
        <v>3</v>
      </c>
      <c r="C49" s="10" t="s">
        <v>4</v>
      </c>
      <c r="D49" s="103" t="s">
        <v>162</v>
      </c>
    </row>
    <row r="50" spans="1:8" x14ac:dyDescent="0.25">
      <c r="A50" s="59"/>
      <c r="B50" s="18"/>
      <c r="C50" s="93">
        <v>0</v>
      </c>
      <c r="D50" s="82">
        <v>0</v>
      </c>
      <c r="H50" s="2"/>
    </row>
    <row r="51" spans="1:8" x14ac:dyDescent="0.25">
      <c r="A51" s="59"/>
      <c r="B51" s="18"/>
      <c r="C51" s="93">
        <v>0</v>
      </c>
      <c r="D51" s="82">
        <v>0</v>
      </c>
      <c r="H51" s="2"/>
    </row>
    <row r="52" spans="1:8" x14ac:dyDescent="0.25">
      <c r="A52" s="59" t="s">
        <v>49</v>
      </c>
      <c r="B52" s="18" t="s">
        <v>157</v>
      </c>
      <c r="C52" s="19">
        <v>9</v>
      </c>
      <c r="D52" s="82">
        <v>9</v>
      </c>
      <c r="H52" s="2"/>
    </row>
    <row r="53" spans="1:8" ht="15" x14ac:dyDescent="0.25">
      <c r="A53" s="59" t="s">
        <v>52</v>
      </c>
      <c r="B53" s="112" t="s">
        <v>345</v>
      </c>
      <c r="C53" s="19">
        <v>24</v>
      </c>
      <c r="D53" s="82">
        <v>24</v>
      </c>
    </row>
    <row r="54" spans="1:8" ht="15" x14ac:dyDescent="0.25">
      <c r="A54" s="59" t="s">
        <v>294</v>
      </c>
      <c r="B54" s="112"/>
      <c r="C54" s="19"/>
      <c r="D54" s="82">
        <v>0</v>
      </c>
    </row>
    <row r="55" spans="1:8" ht="15" x14ac:dyDescent="0.25">
      <c r="A55" s="59" t="s">
        <v>237</v>
      </c>
      <c r="B55" s="112" t="s">
        <v>286</v>
      </c>
      <c r="C55" s="19">
        <v>2</v>
      </c>
      <c r="D55" s="82">
        <v>2</v>
      </c>
    </row>
    <row r="56" spans="1:8" x14ac:dyDescent="0.25">
      <c r="A56" s="59" t="s">
        <v>105</v>
      </c>
      <c r="B56" s="18" t="s">
        <v>172</v>
      </c>
      <c r="C56" s="19">
        <v>3</v>
      </c>
      <c r="D56" s="82">
        <v>3</v>
      </c>
    </row>
    <row r="57" spans="1:8" x14ac:dyDescent="0.25">
      <c r="A57" s="59" t="s">
        <v>104</v>
      </c>
      <c r="B57" s="18" t="s">
        <v>173</v>
      </c>
      <c r="C57" s="19">
        <v>1</v>
      </c>
      <c r="D57" s="82">
        <v>1</v>
      </c>
    </row>
    <row r="58" spans="1:8" x14ac:dyDescent="0.25">
      <c r="A58" s="59" t="s">
        <v>106</v>
      </c>
      <c r="B58" s="18" t="s">
        <v>174</v>
      </c>
      <c r="C58" s="19">
        <v>3</v>
      </c>
      <c r="D58" s="82">
        <v>3</v>
      </c>
    </row>
    <row r="59" spans="1:8" x14ac:dyDescent="0.25">
      <c r="A59" s="59" t="s">
        <v>107</v>
      </c>
      <c r="B59" s="109" t="s">
        <v>175</v>
      </c>
      <c r="C59" s="19">
        <v>1</v>
      </c>
      <c r="D59" s="82">
        <v>1</v>
      </c>
    </row>
    <row r="60" spans="1:8" x14ac:dyDescent="0.25">
      <c r="A60" s="59" t="s">
        <v>130</v>
      </c>
      <c r="B60" s="18" t="s">
        <v>221</v>
      </c>
      <c r="C60" s="19">
        <v>7</v>
      </c>
      <c r="D60" s="82">
        <v>7</v>
      </c>
    </row>
    <row r="61" spans="1:8" x14ac:dyDescent="0.25">
      <c r="A61" s="59" t="s">
        <v>131</v>
      </c>
      <c r="B61" s="109" t="s">
        <v>229</v>
      </c>
      <c r="C61" s="19">
        <v>6</v>
      </c>
      <c r="D61" s="82">
        <v>6</v>
      </c>
    </row>
    <row r="62" spans="1:8" x14ac:dyDescent="0.25">
      <c r="A62" s="59" t="s">
        <v>53</v>
      </c>
      <c r="B62" s="18" t="s">
        <v>91</v>
      </c>
      <c r="C62" s="19">
        <v>7</v>
      </c>
      <c r="D62" s="82">
        <v>7</v>
      </c>
    </row>
    <row r="63" spans="1:8" x14ac:dyDescent="0.25">
      <c r="A63" s="59" t="s">
        <v>54</v>
      </c>
      <c r="B63" s="18" t="s">
        <v>102</v>
      </c>
      <c r="C63" s="19">
        <v>10</v>
      </c>
      <c r="D63" s="82">
        <v>10</v>
      </c>
    </row>
    <row r="64" spans="1:8" x14ac:dyDescent="0.25">
      <c r="A64" s="59" t="s">
        <v>55</v>
      </c>
      <c r="B64" s="18" t="s">
        <v>111</v>
      </c>
      <c r="C64" s="19">
        <v>7</v>
      </c>
      <c r="D64" s="82">
        <v>7</v>
      </c>
    </row>
    <row r="65" spans="1:4" x14ac:dyDescent="0.25">
      <c r="A65" s="59" t="s">
        <v>56</v>
      </c>
      <c r="B65" s="18" t="s">
        <v>163</v>
      </c>
      <c r="C65" s="19">
        <v>9</v>
      </c>
      <c r="D65" s="82">
        <v>9</v>
      </c>
    </row>
    <row r="66" spans="1:4" x14ac:dyDescent="0.25">
      <c r="A66" s="59" t="s">
        <v>57</v>
      </c>
      <c r="B66" s="18" t="s">
        <v>164</v>
      </c>
      <c r="C66" s="19">
        <v>10</v>
      </c>
      <c r="D66" s="82">
        <v>10</v>
      </c>
    </row>
    <row r="67" spans="1:4" x14ac:dyDescent="0.25">
      <c r="A67" s="59" t="s">
        <v>58</v>
      </c>
      <c r="B67" s="18" t="s">
        <v>165</v>
      </c>
      <c r="C67" s="19">
        <v>7</v>
      </c>
      <c r="D67" s="82">
        <v>7</v>
      </c>
    </row>
    <row r="68" spans="1:4" x14ac:dyDescent="0.25">
      <c r="A68" s="59" t="s">
        <v>59</v>
      </c>
      <c r="B68" s="18" t="s">
        <v>222</v>
      </c>
      <c r="C68" s="19">
        <v>22</v>
      </c>
      <c r="D68" s="82">
        <v>22</v>
      </c>
    </row>
    <row r="69" spans="1:4" x14ac:dyDescent="0.25">
      <c r="A69" s="59" t="s">
        <v>59</v>
      </c>
      <c r="B69" s="18" t="s">
        <v>223</v>
      </c>
      <c r="C69" s="19">
        <v>14</v>
      </c>
      <c r="D69" s="82">
        <v>14</v>
      </c>
    </row>
    <row r="70" spans="1:4" x14ac:dyDescent="0.25">
      <c r="A70" s="59" t="s">
        <v>226</v>
      </c>
      <c r="B70" s="18" t="s">
        <v>224</v>
      </c>
      <c r="C70" s="19">
        <v>22</v>
      </c>
      <c r="D70" s="82">
        <v>22</v>
      </c>
    </row>
    <row r="71" spans="1:4" x14ac:dyDescent="0.25">
      <c r="A71" s="59" t="s">
        <v>226</v>
      </c>
      <c r="B71" s="18" t="s">
        <v>225</v>
      </c>
      <c r="C71" s="19">
        <v>14</v>
      </c>
      <c r="D71" s="82">
        <v>14</v>
      </c>
    </row>
    <row r="72" spans="1:4" x14ac:dyDescent="0.25">
      <c r="A72" s="59" t="s">
        <v>60</v>
      </c>
      <c r="B72" s="18" t="s">
        <v>166</v>
      </c>
      <c r="C72" s="19">
        <v>7</v>
      </c>
      <c r="D72" s="82">
        <v>7</v>
      </c>
    </row>
    <row r="73" spans="1:4" x14ac:dyDescent="0.25">
      <c r="A73" s="59" t="s">
        <v>60</v>
      </c>
      <c r="B73" s="18" t="s">
        <v>167</v>
      </c>
      <c r="C73" s="19">
        <v>6</v>
      </c>
      <c r="D73" s="82">
        <v>6</v>
      </c>
    </row>
    <row r="74" spans="1:4" ht="15" x14ac:dyDescent="0.25">
      <c r="A74" s="59" t="s">
        <v>183</v>
      </c>
      <c r="B74" s="113" t="s">
        <v>293</v>
      </c>
      <c r="C74" s="19">
        <v>7</v>
      </c>
      <c r="D74" s="82">
        <v>7</v>
      </c>
    </row>
    <row r="75" spans="1:4" ht="15" x14ac:dyDescent="0.25">
      <c r="A75" s="59" t="s">
        <v>122</v>
      </c>
      <c r="B75" s="113" t="s">
        <v>292</v>
      </c>
      <c r="C75" s="19">
        <v>5</v>
      </c>
      <c r="D75" s="82">
        <v>5</v>
      </c>
    </row>
    <row r="76" spans="1:4" x14ac:dyDescent="0.25">
      <c r="A76" s="59" t="s">
        <v>61</v>
      </c>
      <c r="B76" s="18" t="s">
        <v>171</v>
      </c>
      <c r="C76" s="19">
        <v>7</v>
      </c>
      <c r="D76" s="82">
        <v>7</v>
      </c>
    </row>
    <row r="77" spans="1:4" x14ac:dyDescent="0.25">
      <c r="A77" s="59" t="s">
        <v>61</v>
      </c>
      <c r="B77" s="18" t="s">
        <v>170</v>
      </c>
      <c r="C77" s="19">
        <v>6</v>
      </c>
      <c r="D77" s="82">
        <v>6</v>
      </c>
    </row>
    <row r="78" spans="1:4" x14ac:dyDescent="0.25">
      <c r="A78" s="59" t="s">
        <v>248</v>
      </c>
      <c r="B78" s="157" t="s">
        <v>250</v>
      </c>
      <c r="C78" s="158">
        <v>0</v>
      </c>
      <c r="D78" s="82">
        <v>0</v>
      </c>
    </row>
    <row r="79" spans="1:4" x14ac:dyDescent="0.25">
      <c r="A79" s="59" t="s">
        <v>249</v>
      </c>
      <c r="B79" s="157" t="s">
        <v>251</v>
      </c>
      <c r="C79" s="158">
        <v>0</v>
      </c>
      <c r="D79" s="82">
        <v>0</v>
      </c>
    </row>
    <row r="80" spans="1:4" x14ac:dyDescent="0.25">
      <c r="A80" s="59" t="s">
        <v>108</v>
      </c>
      <c r="B80" s="18" t="s">
        <v>168</v>
      </c>
      <c r="C80" s="19">
        <v>3</v>
      </c>
      <c r="D80" s="82">
        <v>3</v>
      </c>
    </row>
    <row r="81" spans="1:7" x14ac:dyDescent="0.25">
      <c r="A81" s="59" t="s">
        <v>109</v>
      </c>
      <c r="B81" s="18" t="s">
        <v>169</v>
      </c>
      <c r="C81" s="19">
        <v>1</v>
      </c>
      <c r="D81" s="82">
        <v>1</v>
      </c>
    </row>
    <row r="82" spans="1:7" x14ac:dyDescent="0.25">
      <c r="A82" s="59" t="s">
        <v>238</v>
      </c>
      <c r="B82" s="18" t="s">
        <v>239</v>
      </c>
      <c r="C82" s="19">
        <v>9</v>
      </c>
      <c r="D82" s="82">
        <v>9</v>
      </c>
      <c r="G82" s="9"/>
    </row>
    <row r="83" spans="1:7" x14ac:dyDescent="0.25">
      <c r="A83" s="59" t="s">
        <v>227</v>
      </c>
      <c r="B83" s="18" t="s">
        <v>69</v>
      </c>
      <c r="C83" s="19">
        <v>2</v>
      </c>
      <c r="D83" s="82">
        <v>2</v>
      </c>
    </row>
    <row r="84" spans="1:7" ht="15" x14ac:dyDescent="0.25">
      <c r="A84" s="59" t="s">
        <v>228</v>
      </c>
      <c r="B84" s="113" t="s">
        <v>182</v>
      </c>
      <c r="C84" s="19">
        <v>6</v>
      </c>
      <c r="D84" s="375">
        <v>4</v>
      </c>
    </row>
    <row r="85" spans="1:7" x14ac:dyDescent="0.25">
      <c r="A85" s="8"/>
      <c r="C85" s="19"/>
      <c r="D85" s="102" t="s">
        <v>158</v>
      </c>
    </row>
    <row r="86" spans="1:7" x14ac:dyDescent="0.25">
      <c r="A86" s="59"/>
      <c r="B86" s="114" t="s">
        <v>63</v>
      </c>
      <c r="C86" s="70">
        <f>SUM(C49:C85)</f>
        <v>237</v>
      </c>
      <c r="D86" s="104">
        <f>SUM(D49:D85)</f>
        <v>235</v>
      </c>
    </row>
    <row r="87" spans="1:7" x14ac:dyDescent="0.25">
      <c r="A87" s="8"/>
      <c r="C87" s="21"/>
      <c r="D87" s="102"/>
    </row>
    <row r="88" spans="1:7" ht="13.8" thickBot="1" x14ac:dyDescent="0.3">
      <c r="A88" s="60"/>
      <c r="B88" s="111" t="s">
        <v>284</v>
      </c>
      <c r="C88" s="71">
        <f>C42+C86</f>
        <v>366</v>
      </c>
      <c r="D88" s="105"/>
    </row>
    <row r="89" spans="1:7" x14ac:dyDescent="0.25">
      <c r="C89" s="2"/>
      <c r="D89" s="9"/>
    </row>
    <row r="90" spans="1:7" x14ac:dyDescent="0.25">
      <c r="C90" s="2"/>
      <c r="D90" s="9"/>
    </row>
    <row r="91" spans="1:7" x14ac:dyDescent="0.25">
      <c r="C91" s="2"/>
      <c r="D91" s="9"/>
    </row>
    <row r="92" spans="1:7" x14ac:dyDescent="0.25">
      <c r="C92" s="2"/>
      <c r="D92" s="9"/>
      <c r="E92" t="s">
        <v>295</v>
      </c>
    </row>
    <row r="93" spans="1:7" x14ac:dyDescent="0.25">
      <c r="C93" s="2"/>
      <c r="D93" s="9"/>
    </row>
    <row r="94" spans="1:7" x14ac:dyDescent="0.25">
      <c r="C94" s="2"/>
      <c r="D94" s="9"/>
    </row>
    <row r="95" spans="1:7" ht="13.8" thickBot="1" x14ac:dyDescent="0.3"/>
    <row r="96" spans="1:7" ht="17.399999999999999" x14ac:dyDescent="0.3">
      <c r="A96" s="94" t="s">
        <v>234</v>
      </c>
      <c r="B96" s="115"/>
      <c r="C96" s="91"/>
      <c r="D96" s="95"/>
    </row>
    <row r="97" spans="1:4" ht="17.399999999999999" x14ac:dyDescent="0.3">
      <c r="A97" s="57"/>
      <c r="B97" s="2" t="str">
        <f>Issue</f>
        <v>2025/26 Show Season (final)</v>
      </c>
      <c r="C97" s="58"/>
      <c r="D97" s="96"/>
    </row>
    <row r="98" spans="1:4" ht="15.6" x14ac:dyDescent="0.3">
      <c r="A98" s="4"/>
      <c r="B98" s="50" t="str">
        <f>Season</f>
        <v>2024/2025</v>
      </c>
      <c r="C98" s="5" t="str">
        <f>C4</f>
        <v>Current</v>
      </c>
      <c r="D98" s="97" t="str">
        <f>D4</f>
        <v>RESPONSIBLE</v>
      </c>
    </row>
    <row r="99" spans="1:4" x14ac:dyDescent="0.25">
      <c r="A99" s="6" t="s">
        <v>2</v>
      </c>
      <c r="B99" s="108" t="s">
        <v>3</v>
      </c>
      <c r="C99" s="7" t="s">
        <v>4</v>
      </c>
      <c r="D99" s="98" t="s">
        <v>5</v>
      </c>
    </row>
    <row r="100" spans="1:4" x14ac:dyDescent="0.25">
      <c r="A100" s="59" t="s">
        <v>6</v>
      </c>
      <c r="B100" s="109" t="s">
        <v>271</v>
      </c>
      <c r="C100" s="19">
        <v>4</v>
      </c>
      <c r="D100" s="99" t="s">
        <v>144</v>
      </c>
    </row>
    <row r="101" spans="1:4" x14ac:dyDescent="0.25">
      <c r="A101" s="59" t="s">
        <v>8</v>
      </c>
      <c r="B101" s="109" t="s">
        <v>272</v>
      </c>
      <c r="C101" s="19">
        <v>2</v>
      </c>
      <c r="D101" s="100" t="s">
        <v>144</v>
      </c>
    </row>
    <row r="102" spans="1:4" x14ac:dyDescent="0.25">
      <c r="A102" s="59"/>
      <c r="B102" s="109" t="s">
        <v>273</v>
      </c>
      <c r="C102" s="19">
        <v>2</v>
      </c>
      <c r="D102" s="100" t="s">
        <v>144</v>
      </c>
    </row>
    <row r="103" spans="1:4" x14ac:dyDescent="0.25">
      <c r="A103" s="160" t="s">
        <v>9</v>
      </c>
      <c r="B103" s="153" t="s">
        <v>339</v>
      </c>
      <c r="C103" s="19">
        <v>9</v>
      </c>
      <c r="D103" s="99" t="s">
        <v>253</v>
      </c>
    </row>
    <row r="104" spans="1:4" x14ac:dyDescent="0.25">
      <c r="A104" s="59" t="s">
        <v>10</v>
      </c>
      <c r="B104" s="109" t="s">
        <v>274</v>
      </c>
      <c r="C104" s="19">
        <v>2</v>
      </c>
      <c r="D104" s="126" t="s">
        <v>32</v>
      </c>
    </row>
    <row r="105" spans="1:4" x14ac:dyDescent="0.25">
      <c r="A105" s="59" t="s">
        <v>11</v>
      </c>
      <c r="B105" s="109" t="s">
        <v>288</v>
      </c>
      <c r="C105" s="19">
        <v>2</v>
      </c>
      <c r="D105" s="126" t="s">
        <v>144</v>
      </c>
    </row>
    <row r="106" spans="1:4" x14ac:dyDescent="0.25">
      <c r="A106" s="59" t="s">
        <v>13</v>
      </c>
      <c r="B106" s="109" t="s">
        <v>275</v>
      </c>
      <c r="C106" s="19">
        <v>6</v>
      </c>
      <c r="D106" s="99" t="s">
        <v>12</v>
      </c>
    </row>
    <row r="107" spans="1:4" x14ac:dyDescent="0.25">
      <c r="A107" s="59"/>
      <c r="B107" s="18"/>
      <c r="C107" s="19"/>
      <c r="D107" s="100"/>
    </row>
    <row r="108" spans="1:4" x14ac:dyDescent="0.25">
      <c r="A108" s="59"/>
      <c r="B108" s="18"/>
      <c r="C108" s="19"/>
      <c r="D108" s="99"/>
    </row>
    <row r="109" spans="1:4" x14ac:dyDescent="0.25">
      <c r="A109" s="59" t="s">
        <v>209</v>
      </c>
      <c r="B109" s="109" t="s">
        <v>210</v>
      </c>
      <c r="C109" s="19">
        <v>8</v>
      </c>
      <c r="D109" s="99" t="s">
        <v>16</v>
      </c>
    </row>
    <row r="110" spans="1:4" x14ac:dyDescent="0.25">
      <c r="A110" s="59" t="s">
        <v>17</v>
      </c>
      <c r="B110" s="13" t="s">
        <v>289</v>
      </c>
      <c r="C110" s="158">
        <v>10</v>
      </c>
      <c r="D110" s="156" t="s">
        <v>32</v>
      </c>
    </row>
    <row r="111" spans="1:4" x14ac:dyDescent="0.25">
      <c r="A111" s="59"/>
      <c r="B111" s="18"/>
      <c r="C111" s="19"/>
      <c r="D111" s="99"/>
    </row>
    <row r="112" spans="1:4" x14ac:dyDescent="0.25">
      <c r="A112" s="59" t="s">
        <v>22</v>
      </c>
      <c r="B112" s="18" t="s">
        <v>23</v>
      </c>
      <c r="C112" s="19">
        <v>8</v>
      </c>
      <c r="D112" s="99" t="s">
        <v>25</v>
      </c>
    </row>
    <row r="113" spans="1:7" x14ac:dyDescent="0.25">
      <c r="A113" s="59" t="s">
        <v>24</v>
      </c>
      <c r="B113" s="153" t="s">
        <v>276</v>
      </c>
      <c r="C113" s="19">
        <v>4</v>
      </c>
      <c r="D113" s="100" t="s">
        <v>34</v>
      </c>
    </row>
    <row r="114" spans="1:7" x14ac:dyDescent="0.25">
      <c r="A114" s="59" t="s">
        <v>26</v>
      </c>
      <c r="B114" s="18" t="s">
        <v>27</v>
      </c>
      <c r="C114" s="19">
        <v>12</v>
      </c>
      <c r="D114" s="100" t="s">
        <v>34</v>
      </c>
    </row>
    <row r="115" spans="1:7" x14ac:dyDescent="0.25">
      <c r="A115" s="59"/>
      <c r="B115" s="18"/>
      <c r="C115" s="19"/>
      <c r="D115" s="100"/>
    </row>
    <row r="116" spans="1:7" x14ac:dyDescent="0.25">
      <c r="A116" s="59"/>
      <c r="B116" s="18"/>
      <c r="C116" s="19"/>
      <c r="D116" s="100"/>
    </row>
    <row r="117" spans="1:7" x14ac:dyDescent="0.25">
      <c r="A117" s="59" t="s">
        <v>30</v>
      </c>
      <c r="B117" s="18" t="s">
        <v>64</v>
      </c>
      <c r="C117" s="19">
        <v>1</v>
      </c>
      <c r="D117" s="100" t="s">
        <v>218</v>
      </c>
    </row>
    <row r="118" spans="1:7" x14ac:dyDescent="0.25">
      <c r="A118" s="59" t="s">
        <v>33</v>
      </c>
      <c r="B118" s="109" t="s">
        <v>277</v>
      </c>
      <c r="C118" s="19">
        <v>6</v>
      </c>
      <c r="D118" s="100" t="s">
        <v>25</v>
      </c>
    </row>
    <row r="119" spans="1:7" x14ac:dyDescent="0.25">
      <c r="A119" s="59" t="s">
        <v>35</v>
      </c>
      <c r="B119" s="18" t="s">
        <v>36</v>
      </c>
      <c r="C119" s="19">
        <v>4</v>
      </c>
      <c r="D119" s="100" t="s">
        <v>81</v>
      </c>
    </row>
    <row r="120" spans="1:7" x14ac:dyDescent="0.25">
      <c r="A120" s="59" t="s">
        <v>38</v>
      </c>
      <c r="B120" t="s">
        <v>291</v>
      </c>
      <c r="C120" s="158">
        <v>0</v>
      </c>
      <c r="D120" s="156"/>
    </row>
    <row r="121" spans="1:7" x14ac:dyDescent="0.25">
      <c r="A121" s="80" t="s">
        <v>211</v>
      </c>
      <c r="B121" t="s">
        <v>290</v>
      </c>
      <c r="C121" s="158">
        <v>0</v>
      </c>
      <c r="D121" s="156"/>
    </row>
    <row r="122" spans="1:7" x14ac:dyDescent="0.25">
      <c r="A122" s="59" t="s">
        <v>39</v>
      </c>
      <c r="B122" s="18" t="s">
        <v>40</v>
      </c>
      <c r="C122" s="19">
        <v>1</v>
      </c>
      <c r="D122" s="100" t="s">
        <v>41</v>
      </c>
      <c r="F122" s="19"/>
      <c r="G122" s="100"/>
    </row>
    <row r="123" spans="1:7" x14ac:dyDescent="0.25">
      <c r="A123" s="59" t="s">
        <v>42</v>
      </c>
      <c r="B123" s="18" t="s">
        <v>65</v>
      </c>
      <c r="C123" s="19">
        <v>12</v>
      </c>
      <c r="D123" s="100" t="s">
        <v>81</v>
      </c>
    </row>
    <row r="124" spans="1:7" x14ac:dyDescent="0.25">
      <c r="A124" s="59" t="s">
        <v>44</v>
      </c>
      <c r="B124" s="18" t="s">
        <v>278</v>
      </c>
      <c r="C124" s="19">
        <v>1</v>
      </c>
      <c r="D124" s="100" t="s">
        <v>18</v>
      </c>
    </row>
    <row r="125" spans="1:7" ht="15" x14ac:dyDescent="0.25">
      <c r="A125" s="59" t="s">
        <v>45</v>
      </c>
      <c r="B125" s="18" t="s">
        <v>46</v>
      </c>
      <c r="C125" s="19">
        <v>2</v>
      </c>
      <c r="D125" s="164" t="s">
        <v>320</v>
      </c>
    </row>
    <row r="126" spans="1:7" x14ac:dyDescent="0.25">
      <c r="A126" s="59" t="s">
        <v>47</v>
      </c>
      <c r="B126" s="109" t="s">
        <v>279</v>
      </c>
      <c r="C126" s="19">
        <v>2</v>
      </c>
      <c r="D126" s="99" t="s">
        <v>338</v>
      </c>
    </row>
    <row r="127" spans="1:7" ht="15" x14ac:dyDescent="0.25">
      <c r="A127" s="59" t="s">
        <v>48</v>
      </c>
      <c r="B127" s="109" t="s">
        <v>287</v>
      </c>
      <c r="C127" s="19">
        <v>2</v>
      </c>
      <c r="D127" s="164" t="s">
        <v>320</v>
      </c>
    </row>
    <row r="128" spans="1:7" x14ac:dyDescent="0.25">
      <c r="A128" s="59" t="s">
        <v>50</v>
      </c>
      <c r="B128" s="153" t="s">
        <v>328</v>
      </c>
      <c r="C128" s="19">
        <v>8</v>
      </c>
      <c r="D128" s="99" t="s">
        <v>25</v>
      </c>
    </row>
    <row r="129" spans="1:4" x14ac:dyDescent="0.25">
      <c r="A129" s="59"/>
      <c r="B129" s="18"/>
      <c r="C129" s="22"/>
      <c r="D129" s="99"/>
    </row>
    <row r="130" spans="1:4" x14ac:dyDescent="0.25">
      <c r="A130" s="59" t="s">
        <v>194</v>
      </c>
      <c r="B130" s="18" t="s">
        <v>195</v>
      </c>
      <c r="C130" s="19">
        <v>1</v>
      </c>
      <c r="D130" s="99" t="s">
        <v>84</v>
      </c>
    </row>
    <row r="131" spans="1:4" x14ac:dyDescent="0.25">
      <c r="A131" s="59" t="s">
        <v>196</v>
      </c>
      <c r="B131" s="18" t="s">
        <v>197</v>
      </c>
      <c r="C131" s="19">
        <v>1</v>
      </c>
      <c r="D131" s="99" t="s">
        <v>218</v>
      </c>
    </row>
    <row r="132" spans="1:4" x14ac:dyDescent="0.25">
      <c r="A132" s="79"/>
      <c r="C132" s="2"/>
      <c r="D132" s="96"/>
    </row>
    <row r="133" spans="1:4" ht="13.8" thickBot="1" x14ac:dyDescent="0.3">
      <c r="A133" s="62"/>
      <c r="B133" s="61" t="s">
        <v>66</v>
      </c>
      <c r="C133" s="71">
        <f>SUM(C99:C132)</f>
        <v>110</v>
      </c>
      <c r="D133" s="101"/>
    </row>
    <row r="134" spans="1:4" x14ac:dyDescent="0.25">
      <c r="A134" s="2"/>
      <c r="C134" s="2"/>
      <c r="D134" s="9"/>
    </row>
    <row r="135" spans="1:4" x14ac:dyDescent="0.25">
      <c r="A135" s="2"/>
      <c r="C135" s="2"/>
      <c r="D135" s="9"/>
    </row>
    <row r="136" spans="1:4" ht="13.8" thickBot="1" x14ac:dyDescent="0.3">
      <c r="A136" s="2"/>
      <c r="C136" s="2"/>
      <c r="D136" s="9"/>
    </row>
    <row r="137" spans="1:4" ht="17.399999999999999" x14ac:dyDescent="0.3">
      <c r="A137" s="94" t="s">
        <v>235</v>
      </c>
      <c r="B137" s="91"/>
      <c r="C137" s="91"/>
      <c r="D137" s="95"/>
    </row>
    <row r="138" spans="1:4" x14ac:dyDescent="0.25">
      <c r="A138" s="8"/>
      <c r="B138" s="2" t="str">
        <f>Issue</f>
        <v>2025/26 Show Season (final)</v>
      </c>
      <c r="C138" s="2"/>
      <c r="D138" s="96"/>
    </row>
    <row r="139" spans="1:4" ht="15.6" x14ac:dyDescent="0.3">
      <c r="A139" s="11"/>
      <c r="B139" s="50" t="str">
        <f>Season</f>
        <v>2024/2025</v>
      </c>
      <c r="C139" s="2"/>
      <c r="D139" s="96"/>
    </row>
    <row r="140" spans="1:4" x14ac:dyDescent="0.25">
      <c r="A140" s="11"/>
      <c r="C140" s="2" t="s">
        <v>51</v>
      </c>
      <c r="D140" s="102" t="s">
        <v>161</v>
      </c>
    </row>
    <row r="141" spans="1:4" x14ac:dyDescent="0.25">
      <c r="A141" s="6" t="s">
        <v>2</v>
      </c>
      <c r="B141" s="108" t="s">
        <v>3</v>
      </c>
      <c r="C141" s="10" t="s">
        <v>4</v>
      </c>
      <c r="D141" s="103" t="s">
        <v>162</v>
      </c>
    </row>
    <row r="142" spans="1:4" x14ac:dyDescent="0.25">
      <c r="A142" s="87" t="s">
        <v>49</v>
      </c>
      <c r="B142" s="18" t="s">
        <v>157</v>
      </c>
      <c r="C142" s="19">
        <v>8</v>
      </c>
      <c r="D142" s="82">
        <v>8</v>
      </c>
    </row>
    <row r="143" spans="1:4" ht="15" x14ac:dyDescent="0.25">
      <c r="A143" s="20" t="s">
        <v>52</v>
      </c>
      <c r="B143" s="112" t="s">
        <v>345</v>
      </c>
      <c r="C143" s="19">
        <v>24</v>
      </c>
      <c r="D143" s="82">
        <v>24</v>
      </c>
    </row>
    <row r="144" spans="1:4" ht="15" x14ac:dyDescent="0.25">
      <c r="A144" s="20" t="s">
        <v>237</v>
      </c>
      <c r="B144" s="112"/>
      <c r="C144" s="19">
        <v>0</v>
      </c>
      <c r="D144" s="82">
        <v>0</v>
      </c>
    </row>
    <row r="145" spans="1:4" ht="15" x14ac:dyDescent="0.25">
      <c r="A145" s="20" t="s">
        <v>303</v>
      </c>
      <c r="B145" s="112" t="s">
        <v>286</v>
      </c>
      <c r="C145" s="19">
        <v>2</v>
      </c>
      <c r="D145" s="82">
        <v>2</v>
      </c>
    </row>
    <row r="146" spans="1:4" x14ac:dyDescent="0.25">
      <c r="A146" s="20" t="s">
        <v>105</v>
      </c>
      <c r="B146" s="18" t="s">
        <v>172</v>
      </c>
      <c r="C146" s="19">
        <v>3</v>
      </c>
      <c r="D146" s="82">
        <v>3</v>
      </c>
    </row>
    <row r="147" spans="1:4" x14ac:dyDescent="0.25">
      <c r="A147" s="20" t="s">
        <v>104</v>
      </c>
      <c r="B147" s="18" t="s">
        <v>173</v>
      </c>
      <c r="C147" s="19">
        <v>1</v>
      </c>
      <c r="D147" s="82">
        <v>1</v>
      </c>
    </row>
    <row r="148" spans="1:4" x14ac:dyDescent="0.25">
      <c r="A148" s="20" t="s">
        <v>106</v>
      </c>
      <c r="B148" s="18" t="s">
        <v>174</v>
      </c>
      <c r="C148" s="19">
        <v>3</v>
      </c>
      <c r="D148" s="82">
        <v>3</v>
      </c>
    </row>
    <row r="149" spans="1:4" x14ac:dyDescent="0.25">
      <c r="A149" s="20" t="s">
        <v>107</v>
      </c>
      <c r="B149" s="18" t="s">
        <v>175</v>
      </c>
      <c r="C149" s="19">
        <v>1</v>
      </c>
      <c r="D149" s="82">
        <v>1</v>
      </c>
    </row>
    <row r="150" spans="1:4" x14ac:dyDescent="0.25">
      <c r="A150" s="20" t="s">
        <v>130</v>
      </c>
      <c r="B150" s="18" t="s">
        <v>176</v>
      </c>
      <c r="C150" s="19">
        <v>7</v>
      </c>
      <c r="D150" s="82">
        <v>7</v>
      </c>
    </row>
    <row r="151" spans="1:4" x14ac:dyDescent="0.25">
      <c r="A151" s="20" t="s">
        <v>131</v>
      </c>
      <c r="B151" s="18" t="s">
        <v>177</v>
      </c>
      <c r="C151" s="19">
        <v>6</v>
      </c>
      <c r="D151" s="82">
        <v>6</v>
      </c>
    </row>
    <row r="152" spans="1:4" x14ac:dyDescent="0.25">
      <c r="A152" s="20" t="s">
        <v>53</v>
      </c>
      <c r="B152" s="18" t="s">
        <v>91</v>
      </c>
      <c r="C152" s="19">
        <v>9</v>
      </c>
      <c r="D152" s="82">
        <v>9</v>
      </c>
    </row>
    <row r="153" spans="1:4" x14ac:dyDescent="0.25">
      <c r="A153" s="20" t="s">
        <v>54</v>
      </c>
      <c r="B153" s="18" t="s">
        <v>102</v>
      </c>
      <c r="C153" s="19">
        <v>10</v>
      </c>
      <c r="D153" s="82">
        <v>10</v>
      </c>
    </row>
    <row r="154" spans="1:4" x14ac:dyDescent="0.25">
      <c r="A154" s="20" t="s">
        <v>55</v>
      </c>
      <c r="B154" s="18" t="s">
        <v>111</v>
      </c>
      <c r="C154" s="19">
        <v>7</v>
      </c>
      <c r="D154" s="82">
        <v>7</v>
      </c>
    </row>
    <row r="155" spans="1:4" x14ac:dyDescent="0.25">
      <c r="A155" s="20" t="s">
        <v>56</v>
      </c>
      <c r="B155" s="18" t="s">
        <v>163</v>
      </c>
      <c r="C155" s="19">
        <v>9</v>
      </c>
      <c r="D155" s="82">
        <v>9</v>
      </c>
    </row>
    <row r="156" spans="1:4" x14ac:dyDescent="0.25">
      <c r="A156" s="20" t="s">
        <v>57</v>
      </c>
      <c r="B156" s="18" t="s">
        <v>164</v>
      </c>
      <c r="C156" s="19">
        <v>10</v>
      </c>
      <c r="D156" s="82">
        <v>10</v>
      </c>
    </row>
    <row r="157" spans="1:4" x14ac:dyDescent="0.25">
      <c r="A157" s="20" t="s">
        <v>58</v>
      </c>
      <c r="B157" s="18" t="s">
        <v>165</v>
      </c>
      <c r="C157" s="19">
        <v>7</v>
      </c>
      <c r="D157" s="82">
        <v>7</v>
      </c>
    </row>
    <row r="158" spans="1:4" x14ac:dyDescent="0.25">
      <c r="A158" s="20" t="s">
        <v>67</v>
      </c>
      <c r="B158" s="18" t="s">
        <v>178</v>
      </c>
      <c r="C158" s="19">
        <v>22</v>
      </c>
      <c r="D158" s="82">
        <v>22</v>
      </c>
    </row>
    <row r="159" spans="1:4" x14ac:dyDescent="0.25">
      <c r="A159" s="20" t="s">
        <v>67</v>
      </c>
      <c r="B159" s="18" t="s">
        <v>179</v>
      </c>
      <c r="C159" s="19">
        <v>14</v>
      </c>
      <c r="D159" s="82">
        <v>14</v>
      </c>
    </row>
    <row r="160" spans="1:4" x14ac:dyDescent="0.25">
      <c r="A160" s="20" t="s">
        <v>68</v>
      </c>
      <c r="B160" s="18" t="s">
        <v>180</v>
      </c>
      <c r="C160" s="19">
        <v>22</v>
      </c>
      <c r="D160" s="82">
        <v>22</v>
      </c>
    </row>
    <row r="161" spans="1:4" x14ac:dyDescent="0.25">
      <c r="A161" s="20" t="s">
        <v>68</v>
      </c>
      <c r="B161" s="18" t="s">
        <v>181</v>
      </c>
      <c r="C161" s="19">
        <v>14</v>
      </c>
      <c r="D161" s="82">
        <v>14</v>
      </c>
    </row>
    <row r="162" spans="1:4" x14ac:dyDescent="0.25">
      <c r="A162" s="20" t="s">
        <v>119</v>
      </c>
      <c r="B162" s="18" t="s">
        <v>166</v>
      </c>
      <c r="C162" s="19">
        <v>7</v>
      </c>
      <c r="D162" s="82">
        <v>7</v>
      </c>
    </row>
    <row r="163" spans="1:4" x14ac:dyDescent="0.25">
      <c r="A163" s="20" t="s">
        <v>120</v>
      </c>
      <c r="B163" s="18" t="s">
        <v>167</v>
      </c>
      <c r="C163" s="19">
        <v>6</v>
      </c>
      <c r="D163" s="82">
        <v>6</v>
      </c>
    </row>
    <row r="164" spans="1:4" x14ac:dyDescent="0.25">
      <c r="A164" s="20" t="s">
        <v>183</v>
      </c>
      <c r="B164" s="18" t="s">
        <v>293</v>
      </c>
      <c r="C164" s="19">
        <v>7</v>
      </c>
      <c r="D164" s="82">
        <v>7</v>
      </c>
    </row>
    <row r="165" spans="1:4" x14ac:dyDescent="0.25">
      <c r="A165" s="20" t="s">
        <v>122</v>
      </c>
      <c r="B165" s="18" t="s">
        <v>292</v>
      </c>
      <c r="C165" s="19">
        <v>5</v>
      </c>
      <c r="D165" s="82">
        <v>5</v>
      </c>
    </row>
    <row r="166" spans="1:4" x14ac:dyDescent="0.25">
      <c r="A166" s="20" t="s">
        <v>61</v>
      </c>
      <c r="B166" s="18" t="s">
        <v>171</v>
      </c>
      <c r="C166" s="19">
        <v>7</v>
      </c>
      <c r="D166" s="82">
        <v>7</v>
      </c>
    </row>
    <row r="167" spans="1:4" x14ac:dyDescent="0.25">
      <c r="A167" s="20" t="s">
        <v>61</v>
      </c>
      <c r="B167" s="18" t="s">
        <v>170</v>
      </c>
      <c r="C167" s="19">
        <v>6</v>
      </c>
      <c r="D167" s="82">
        <v>6</v>
      </c>
    </row>
    <row r="168" spans="1:4" x14ac:dyDescent="0.25">
      <c r="A168" s="20" t="s">
        <v>248</v>
      </c>
      <c r="B168" s="18" t="s">
        <v>250</v>
      </c>
      <c r="C168" s="19">
        <v>0</v>
      </c>
      <c r="D168" s="82">
        <v>0</v>
      </c>
    </row>
    <row r="169" spans="1:4" x14ac:dyDescent="0.25">
      <c r="A169" s="20" t="s">
        <v>249</v>
      </c>
      <c r="B169" s="109" t="s">
        <v>251</v>
      </c>
      <c r="C169" s="19">
        <v>0</v>
      </c>
      <c r="D169" s="82">
        <v>0</v>
      </c>
    </row>
    <row r="170" spans="1:4" x14ac:dyDescent="0.25">
      <c r="A170" s="20" t="s">
        <v>123</v>
      </c>
      <c r="B170" s="18" t="s">
        <v>168</v>
      </c>
      <c r="C170" s="19">
        <v>3</v>
      </c>
      <c r="D170" s="82">
        <v>3</v>
      </c>
    </row>
    <row r="171" spans="1:4" x14ac:dyDescent="0.25">
      <c r="A171" s="20" t="s">
        <v>124</v>
      </c>
      <c r="B171" s="18" t="s">
        <v>169</v>
      </c>
      <c r="C171" s="19">
        <v>1</v>
      </c>
      <c r="D171" s="82">
        <v>1</v>
      </c>
    </row>
    <row r="172" spans="1:4" x14ac:dyDescent="0.25">
      <c r="A172" s="20" t="s">
        <v>238</v>
      </c>
      <c r="B172" s="18" t="s">
        <v>239</v>
      </c>
      <c r="C172" s="19">
        <v>9</v>
      </c>
      <c r="D172" s="82">
        <v>9</v>
      </c>
    </row>
    <row r="173" spans="1:4" x14ac:dyDescent="0.25">
      <c r="A173" s="20" t="s">
        <v>62</v>
      </c>
      <c r="B173" s="18" t="s">
        <v>69</v>
      </c>
      <c r="C173" s="19">
        <v>2</v>
      </c>
      <c r="D173" s="82">
        <v>2</v>
      </c>
    </row>
    <row r="174" spans="1:4" x14ac:dyDescent="0.25">
      <c r="A174" s="20" t="s">
        <v>84</v>
      </c>
      <c r="B174" s="18" t="s">
        <v>182</v>
      </c>
      <c r="C174" s="19">
        <v>6</v>
      </c>
      <c r="D174" s="82">
        <v>6</v>
      </c>
    </row>
    <row r="175" spans="1:4" x14ac:dyDescent="0.25">
      <c r="A175" s="63"/>
      <c r="C175" s="2"/>
      <c r="D175" s="106" t="s">
        <v>158</v>
      </c>
    </row>
    <row r="176" spans="1:4" x14ac:dyDescent="0.25">
      <c r="A176" s="59"/>
      <c r="B176" s="114" t="s">
        <v>63</v>
      </c>
      <c r="C176" s="70">
        <f>SUM(C141:C175)</f>
        <v>238</v>
      </c>
      <c r="D176" s="104">
        <f>SUM(D141:D175)</f>
        <v>238</v>
      </c>
    </row>
    <row r="177" spans="1:4" x14ac:dyDescent="0.25">
      <c r="A177" s="4"/>
      <c r="C177" s="2"/>
      <c r="D177" s="102"/>
    </row>
    <row r="178" spans="1:4" x14ac:dyDescent="0.25">
      <c r="A178" s="20"/>
      <c r="B178" s="116" t="s">
        <v>70</v>
      </c>
      <c r="C178" s="70">
        <f>C133+C176</f>
        <v>348</v>
      </c>
      <c r="D178" s="104"/>
    </row>
    <row r="179" spans="1:4" x14ac:dyDescent="0.25">
      <c r="A179" s="4"/>
      <c r="C179" s="2"/>
      <c r="D179" s="102"/>
    </row>
    <row r="180" spans="1:4" ht="13.8" thickBot="1" x14ac:dyDescent="0.3">
      <c r="A180" s="60"/>
      <c r="B180" s="117" t="s">
        <v>121</v>
      </c>
      <c r="C180" s="71">
        <f>C88+C178</f>
        <v>714</v>
      </c>
      <c r="D180" s="105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F22" sqref="F22"/>
    </sheetView>
  </sheetViews>
  <sheetFormatPr defaultRowHeight="13.2" x14ac:dyDescent="0.25"/>
  <cols>
    <col min="1" max="1" width="29" customWidth="1"/>
    <col min="2" max="3" width="4.5546875" bestFit="1" customWidth="1"/>
    <col min="4" max="4" width="7" bestFit="1" customWidth="1"/>
    <col min="5" max="6" width="9.109375" customWidth="1"/>
    <col min="18" max="18" width="3.44140625" customWidth="1"/>
    <col min="19" max="19" width="33.6640625" bestFit="1" customWidth="1"/>
  </cols>
  <sheetData>
    <row r="1" spans="1:51" ht="15.6" x14ac:dyDescent="0.3">
      <c r="A1" s="32" t="s">
        <v>230</v>
      </c>
      <c r="B1" s="32"/>
      <c r="C1" s="32"/>
      <c r="D1" s="32"/>
      <c r="E1" s="32"/>
      <c r="F1" s="32"/>
      <c r="G1" s="33"/>
      <c r="H1" s="34"/>
      <c r="I1" s="34"/>
      <c r="J1" s="34"/>
      <c r="K1" s="34"/>
      <c r="L1" s="34"/>
      <c r="M1" s="34" t="s">
        <v>191</v>
      </c>
      <c r="N1" s="31" t="str">
        <f>Issue</f>
        <v>2025/26 Show Season (final)</v>
      </c>
      <c r="O1" s="31"/>
      <c r="P1" s="31"/>
      <c r="Q1" s="31"/>
      <c r="R1" s="33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</row>
    <row r="2" spans="1:51" ht="15.6" x14ac:dyDescent="0.3">
      <c r="A2" s="32" t="s">
        <v>231</v>
      </c>
      <c r="B2" s="32"/>
      <c r="C2" s="32"/>
      <c r="D2" s="32"/>
      <c r="E2" s="32"/>
      <c r="F2" s="32"/>
      <c r="G2" s="33"/>
      <c r="H2" s="35"/>
      <c r="I2" s="36"/>
      <c r="J2" s="35"/>
      <c r="K2" s="35"/>
      <c r="L2" s="35"/>
      <c r="M2" s="35"/>
      <c r="N2" s="31"/>
      <c r="O2" s="31"/>
      <c r="P2" s="31"/>
      <c r="Q2" s="31"/>
      <c r="R2" s="3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39" t="s">
        <v>351</v>
      </c>
      <c r="B3" s="86"/>
      <c r="C3" s="86"/>
      <c r="D3" s="86"/>
      <c r="E3" s="86"/>
      <c r="F3" s="86"/>
      <c r="G3" s="33"/>
      <c r="H3" s="35"/>
      <c r="I3" s="36"/>
      <c r="J3" s="68" t="s">
        <v>332</v>
      </c>
      <c r="K3" s="38"/>
      <c r="L3" s="37"/>
      <c r="M3" s="37"/>
      <c r="N3" s="31"/>
      <c r="O3" s="31"/>
      <c r="P3" s="31"/>
      <c r="Q3" s="31"/>
      <c r="R3" s="33"/>
      <c r="S3" s="12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1:51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3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</row>
    <row r="5" spans="1:51" ht="16.2" thickBot="1" x14ac:dyDescent="0.35">
      <c r="A5" s="26" t="str">
        <f>A3</f>
        <v>Friday 9/26/2025</v>
      </c>
      <c r="B5" s="85" t="s">
        <v>92</v>
      </c>
      <c r="C5" s="85" t="s">
        <v>93</v>
      </c>
      <c r="D5" s="89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27" t="s">
        <v>324</v>
      </c>
      <c r="R5" s="33"/>
      <c r="S5" s="12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1:51" ht="15.6" x14ac:dyDescent="0.3">
      <c r="A6" s="251" t="s">
        <v>157</v>
      </c>
      <c r="B6" s="224" t="s">
        <v>34</v>
      </c>
      <c r="C6" s="224" t="s">
        <v>34</v>
      </c>
      <c r="D6" s="224" t="s">
        <v>34</v>
      </c>
      <c r="E6" s="224" t="s">
        <v>34</v>
      </c>
      <c r="F6" s="224" t="s">
        <v>34</v>
      </c>
      <c r="G6" s="224" t="s">
        <v>34</v>
      </c>
      <c r="H6" s="224" t="s">
        <v>34</v>
      </c>
      <c r="I6" s="224" t="s">
        <v>34</v>
      </c>
      <c r="J6" s="224" t="s">
        <v>34</v>
      </c>
      <c r="K6" s="252"/>
      <c r="L6" s="252"/>
      <c r="M6" s="252"/>
      <c r="N6" s="252"/>
      <c r="O6" s="252"/>
      <c r="P6" s="252"/>
      <c r="Q6" s="73"/>
      <c r="R6" s="69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</row>
    <row r="7" spans="1:51" ht="15.6" x14ac:dyDescent="0.3">
      <c r="A7" s="197" t="s">
        <v>239</v>
      </c>
      <c r="B7" s="197"/>
      <c r="C7" s="197"/>
      <c r="D7" s="253" t="s">
        <v>20</v>
      </c>
      <c r="E7" s="254" t="s">
        <v>20</v>
      </c>
      <c r="F7" s="254" t="s">
        <v>20</v>
      </c>
      <c r="G7" s="254" t="s">
        <v>20</v>
      </c>
      <c r="H7" s="254" t="s">
        <v>20</v>
      </c>
      <c r="I7" s="254" t="s">
        <v>20</v>
      </c>
      <c r="J7" s="254" t="s">
        <v>20</v>
      </c>
      <c r="K7" s="254" t="s">
        <v>20</v>
      </c>
      <c r="L7" s="253" t="s">
        <v>20</v>
      </c>
      <c r="M7" s="252"/>
      <c r="N7" s="252"/>
      <c r="O7" s="252"/>
      <c r="P7" s="252"/>
      <c r="Q7" s="73"/>
      <c r="R7" s="33"/>
      <c r="S7" s="12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Y7" s="12"/>
    </row>
    <row r="8" spans="1:51" ht="15.6" x14ac:dyDescent="0.3">
      <c r="A8" s="197" t="s">
        <v>345</v>
      </c>
      <c r="B8" s="197"/>
      <c r="C8" s="197"/>
      <c r="D8" s="197"/>
      <c r="E8" s="255" t="s">
        <v>37</v>
      </c>
      <c r="F8" s="255" t="s">
        <v>37</v>
      </c>
      <c r="G8" s="367" t="s">
        <v>338</v>
      </c>
      <c r="H8" s="256" t="s">
        <v>12</v>
      </c>
      <c r="I8" s="257" t="s">
        <v>84</v>
      </c>
      <c r="J8" s="368" t="s">
        <v>83</v>
      </c>
      <c r="K8" s="368" t="s">
        <v>83</v>
      </c>
      <c r="L8" s="368" t="s">
        <v>83</v>
      </c>
      <c r="M8" s="258" t="s">
        <v>75</v>
      </c>
      <c r="N8" s="252"/>
      <c r="O8" s="252"/>
      <c r="P8" s="252"/>
      <c r="Q8" s="73"/>
      <c r="R8" s="33"/>
      <c r="S8" s="12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Y8" s="12"/>
    </row>
    <row r="9" spans="1:51" ht="15.6" x14ac:dyDescent="0.3">
      <c r="A9" s="197" t="s">
        <v>345</v>
      </c>
      <c r="B9" s="197"/>
      <c r="C9" s="197"/>
      <c r="D9" s="197"/>
      <c r="E9" s="259" t="s">
        <v>253</v>
      </c>
      <c r="F9" s="258" t="s">
        <v>41</v>
      </c>
      <c r="G9" s="260" t="s">
        <v>41</v>
      </c>
      <c r="H9" s="261" t="s">
        <v>16</v>
      </c>
      <c r="I9" s="261" t="s">
        <v>16</v>
      </c>
      <c r="J9" s="261" t="s">
        <v>16</v>
      </c>
      <c r="K9" s="255" t="s">
        <v>37</v>
      </c>
      <c r="L9" s="260" t="s">
        <v>75</v>
      </c>
      <c r="M9" s="262" t="s">
        <v>18</v>
      </c>
      <c r="N9" s="252"/>
      <c r="O9" s="252"/>
      <c r="P9" s="252"/>
      <c r="Q9" s="73"/>
      <c r="R9" s="33"/>
      <c r="S9" s="12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Y9" s="12"/>
    </row>
    <row r="10" spans="1:51" ht="15.6" x14ac:dyDescent="0.3">
      <c r="A10" s="211" t="s">
        <v>91</v>
      </c>
      <c r="B10" s="243"/>
      <c r="C10" s="243"/>
      <c r="D10" s="243"/>
      <c r="E10" s="243"/>
      <c r="F10" s="243"/>
      <c r="G10" s="263"/>
      <c r="H10" s="263"/>
      <c r="I10" s="218" t="s">
        <v>80</v>
      </c>
      <c r="J10" s="218" t="s">
        <v>80</v>
      </c>
      <c r="K10" s="218" t="s">
        <v>80</v>
      </c>
      <c r="L10" s="218" t="s">
        <v>80</v>
      </c>
      <c r="M10" s="218" t="s">
        <v>80</v>
      </c>
      <c r="N10" s="264" t="s">
        <v>80</v>
      </c>
      <c r="O10" s="264" t="s">
        <v>80</v>
      </c>
      <c r="P10" s="265"/>
      <c r="Q10" s="74"/>
      <c r="R10" s="3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2"/>
    </row>
    <row r="11" spans="1:51" ht="15.6" x14ac:dyDescent="0.3">
      <c r="A11" s="211" t="s">
        <v>163</v>
      </c>
      <c r="B11" s="243"/>
      <c r="C11" s="243"/>
      <c r="D11" s="243"/>
      <c r="E11" s="243"/>
      <c r="F11" s="243"/>
      <c r="G11" s="266" t="s">
        <v>37</v>
      </c>
      <c r="H11" s="266" t="s">
        <v>37</v>
      </c>
      <c r="I11" s="221" t="s">
        <v>37</v>
      </c>
      <c r="J11" s="221" t="s">
        <v>37</v>
      </c>
      <c r="K11" s="213" t="s">
        <v>41</v>
      </c>
      <c r="L11" s="213" t="s">
        <v>41</v>
      </c>
      <c r="M11" s="213" t="s">
        <v>41</v>
      </c>
      <c r="N11" s="209" t="s">
        <v>41</v>
      </c>
      <c r="O11" s="209" t="s">
        <v>41</v>
      </c>
      <c r="P11" s="267"/>
      <c r="Q11" s="74"/>
      <c r="R11" s="33"/>
      <c r="S11" s="12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Y11" s="12"/>
    </row>
    <row r="12" spans="1:51" ht="15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Y12" s="12"/>
    </row>
    <row r="17" spans="12:12" ht="15" x14ac:dyDescent="0.25">
      <c r="L17" s="81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4" workbookViewId="0">
      <selection activeCell="A3" sqref="A3"/>
    </sheetView>
  </sheetViews>
  <sheetFormatPr defaultRowHeight="13.2" x14ac:dyDescent="0.25"/>
  <cols>
    <col min="1" max="1" width="35.6640625" customWidth="1"/>
    <col min="13" max="13" width="3.44140625" customWidth="1"/>
    <col min="14" max="14" width="31.5546875" style="13" bestFit="1" customWidth="1"/>
  </cols>
  <sheetData>
    <row r="1" spans="1:43" ht="15.6" x14ac:dyDescent="0.3">
      <c r="A1" s="32" t="s">
        <v>230</v>
      </c>
      <c r="B1" s="33"/>
      <c r="C1" s="32"/>
      <c r="D1" s="32"/>
      <c r="E1" s="32"/>
      <c r="F1" s="32"/>
      <c r="G1" s="32"/>
      <c r="H1" s="32" t="s">
        <v>191</v>
      </c>
      <c r="I1" s="31" t="str">
        <f>Issue</f>
        <v>2025/26 Show Season (final)</v>
      </c>
      <c r="J1" s="31"/>
      <c r="K1" s="31"/>
      <c r="L1" s="31"/>
      <c r="M1" s="33"/>
    </row>
    <row r="2" spans="1:43" ht="15.6" x14ac:dyDescent="0.3">
      <c r="A2" s="32" t="s">
        <v>231</v>
      </c>
      <c r="B2" s="35"/>
      <c r="C2" s="31"/>
      <c r="D2" s="31"/>
      <c r="E2" s="31"/>
      <c r="F2" s="31"/>
      <c r="G2" s="31"/>
      <c r="H2" s="31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39" t="s">
        <v>350</v>
      </c>
      <c r="B3" s="31"/>
      <c r="C3" s="31"/>
      <c r="D3" s="31"/>
      <c r="E3" s="68" t="s">
        <v>331</v>
      </c>
      <c r="F3" s="37"/>
      <c r="G3" s="37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34"/>
      <c r="B4" s="31"/>
      <c r="C4" s="31"/>
      <c r="D4" s="31"/>
      <c r="E4" s="31"/>
      <c r="F4" s="31"/>
      <c r="G4" s="31"/>
      <c r="H4" s="31"/>
      <c r="I4" s="31"/>
      <c r="J4" s="31"/>
      <c r="K4" s="31"/>
      <c r="L4" s="42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26" t="str">
        <f>A3</f>
        <v>Saturday 9/27/2025</v>
      </c>
      <c r="B5" s="28" t="s">
        <v>92</v>
      </c>
      <c r="C5" s="28" t="s">
        <v>93</v>
      </c>
      <c r="D5" s="28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8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97" t="s">
        <v>345</v>
      </c>
      <c r="B6" s="232" t="s">
        <v>320</v>
      </c>
      <c r="C6" s="209" t="s">
        <v>41</v>
      </c>
      <c r="D6" s="268" t="s">
        <v>37</v>
      </c>
      <c r="E6" s="252"/>
      <c r="F6" s="252"/>
      <c r="G6" s="252"/>
      <c r="H6" s="252"/>
      <c r="I6" s="252"/>
      <c r="J6" s="252"/>
      <c r="K6" s="252"/>
      <c r="L6" s="269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97" t="s">
        <v>345</v>
      </c>
      <c r="B7" s="231" t="s">
        <v>7</v>
      </c>
      <c r="C7" s="231" t="s">
        <v>7</v>
      </c>
      <c r="D7" s="268" t="s">
        <v>37</v>
      </c>
      <c r="E7" s="252"/>
      <c r="F7" s="252"/>
      <c r="G7" s="252"/>
      <c r="H7" s="252"/>
      <c r="I7" s="252"/>
      <c r="J7" s="252"/>
      <c r="K7" s="252"/>
      <c r="L7" s="269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211" t="s">
        <v>172</v>
      </c>
      <c r="B8" s="236" t="s">
        <v>88</v>
      </c>
      <c r="C8" s="223" t="s">
        <v>338</v>
      </c>
      <c r="D8" s="270" t="s">
        <v>12</v>
      </c>
      <c r="E8" s="263"/>
      <c r="F8" s="263"/>
      <c r="G8" s="263"/>
      <c r="H8" s="263"/>
      <c r="I8" s="263"/>
      <c r="J8" s="263"/>
      <c r="K8" s="263"/>
      <c r="L8" s="271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97" t="s">
        <v>174</v>
      </c>
      <c r="B9" s="369" t="s">
        <v>83</v>
      </c>
      <c r="C9" s="369" t="s">
        <v>83</v>
      </c>
      <c r="D9" s="370" t="s">
        <v>83</v>
      </c>
      <c r="E9" s="263"/>
      <c r="F9" s="252"/>
      <c r="G9" s="252"/>
      <c r="H9" s="252"/>
      <c r="I9" s="252"/>
      <c r="J9" s="252"/>
      <c r="K9" s="252"/>
      <c r="L9" s="269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11" t="s">
        <v>221</v>
      </c>
      <c r="B10" s="263"/>
      <c r="C10" s="263"/>
      <c r="D10" s="263"/>
      <c r="E10" s="227" t="s">
        <v>18</v>
      </c>
      <c r="F10" s="227" t="s">
        <v>18</v>
      </c>
      <c r="G10" s="214" t="s">
        <v>12</v>
      </c>
      <c r="H10" s="221" t="s">
        <v>37</v>
      </c>
      <c r="I10" s="221" t="s">
        <v>37</v>
      </c>
      <c r="J10" s="227" t="s">
        <v>18</v>
      </c>
      <c r="K10" s="221" t="s">
        <v>37</v>
      </c>
      <c r="L10" s="271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11" t="s">
        <v>102</v>
      </c>
      <c r="B11" s="218" t="s">
        <v>80</v>
      </c>
      <c r="C11" s="218" t="s">
        <v>80</v>
      </c>
      <c r="D11" s="272" t="s">
        <v>80</v>
      </c>
      <c r="E11" s="234" t="s">
        <v>16</v>
      </c>
      <c r="F11" s="234" t="s">
        <v>16</v>
      </c>
      <c r="G11" s="234" t="s">
        <v>16</v>
      </c>
      <c r="H11" s="219" t="s">
        <v>84</v>
      </c>
      <c r="I11" s="213" t="s">
        <v>75</v>
      </c>
      <c r="J11" s="233" t="s">
        <v>7</v>
      </c>
      <c r="K11" s="273" t="s">
        <v>20</v>
      </c>
      <c r="L11" s="271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11" t="s">
        <v>164</v>
      </c>
      <c r="B12" s="226" t="s">
        <v>253</v>
      </c>
      <c r="C12" s="226" t="s">
        <v>253</v>
      </c>
      <c r="D12" s="226" t="s">
        <v>253</v>
      </c>
      <c r="E12" s="223" t="s">
        <v>338</v>
      </c>
      <c r="F12" s="236" t="s">
        <v>88</v>
      </c>
      <c r="G12" s="236" t="s">
        <v>88</v>
      </c>
      <c r="H12" s="215" t="s">
        <v>320</v>
      </c>
      <c r="I12" s="223" t="s">
        <v>338</v>
      </c>
      <c r="J12" s="219" t="s">
        <v>84</v>
      </c>
      <c r="K12" s="215" t="s">
        <v>320</v>
      </c>
      <c r="L12" s="271"/>
      <c r="M12" s="33"/>
    </row>
    <row r="13" spans="1:43" ht="15.6" x14ac:dyDescent="0.3">
      <c r="A13" s="65" t="s">
        <v>286</v>
      </c>
      <c r="B13" s="371"/>
      <c r="C13" s="371"/>
      <c r="D13" s="222" t="s">
        <v>218</v>
      </c>
      <c r="E13" s="222" t="s">
        <v>218</v>
      </c>
      <c r="F13" s="271"/>
      <c r="G13" s="271"/>
      <c r="H13" s="271"/>
      <c r="I13" s="271"/>
      <c r="J13" s="271"/>
      <c r="K13" s="271"/>
      <c r="L13" s="271"/>
      <c r="M13" s="33"/>
    </row>
    <row r="14" spans="1:43" ht="15.6" x14ac:dyDescent="0.3">
      <c r="A14" s="211" t="s">
        <v>222</v>
      </c>
      <c r="B14" s="263"/>
      <c r="C14" s="263"/>
      <c r="D14" s="263"/>
      <c r="E14" s="215" t="s">
        <v>320</v>
      </c>
      <c r="F14" s="215" t="s">
        <v>320</v>
      </c>
      <c r="G14" s="232" t="s">
        <v>320</v>
      </c>
      <c r="H14" s="227" t="s">
        <v>18</v>
      </c>
      <c r="I14" s="236" t="s">
        <v>88</v>
      </c>
      <c r="J14" s="236" t="s">
        <v>88</v>
      </c>
      <c r="K14" s="274" t="s">
        <v>41</v>
      </c>
      <c r="L14" s="271"/>
      <c r="M14" s="33"/>
    </row>
    <row r="15" spans="1:43" ht="15.6" x14ac:dyDescent="0.3">
      <c r="A15" s="197" t="s">
        <v>222</v>
      </c>
      <c r="B15" s="252"/>
      <c r="C15" s="252"/>
      <c r="D15" s="252"/>
      <c r="E15" s="275" t="s">
        <v>80</v>
      </c>
      <c r="F15" s="275" t="s">
        <v>80</v>
      </c>
      <c r="G15" s="235" t="s">
        <v>20</v>
      </c>
      <c r="H15" s="276" t="s">
        <v>12</v>
      </c>
      <c r="I15" s="276" t="s">
        <v>12</v>
      </c>
      <c r="J15" s="276" t="s">
        <v>12</v>
      </c>
      <c r="K15" s="277" t="s">
        <v>84</v>
      </c>
      <c r="L15" s="269"/>
      <c r="M15" s="33"/>
    </row>
    <row r="16" spans="1:43" ht="15.6" x14ac:dyDescent="0.3">
      <c r="A16" s="197" t="s">
        <v>222</v>
      </c>
      <c r="B16" s="252"/>
      <c r="C16" s="252"/>
      <c r="D16" s="252"/>
      <c r="E16" s="209" t="s">
        <v>41</v>
      </c>
      <c r="F16" s="209" t="s">
        <v>41</v>
      </c>
      <c r="G16" s="209" t="s">
        <v>41</v>
      </c>
      <c r="H16" s="209" t="s">
        <v>41</v>
      </c>
      <c r="I16" s="252"/>
      <c r="J16" s="252"/>
      <c r="K16" s="252"/>
      <c r="L16" s="269"/>
      <c r="M16" s="33"/>
    </row>
    <row r="17" spans="1:13" ht="15.6" x14ac:dyDescent="0.3">
      <c r="A17" s="197" t="s">
        <v>222</v>
      </c>
      <c r="B17" s="252"/>
      <c r="C17" s="252"/>
      <c r="D17" s="252"/>
      <c r="E17" s="369" t="s">
        <v>83</v>
      </c>
      <c r="F17" s="369" t="s">
        <v>83</v>
      </c>
      <c r="G17" s="275" t="s">
        <v>80</v>
      </c>
      <c r="H17" s="275" t="s">
        <v>80</v>
      </c>
      <c r="I17" s="252"/>
      <c r="J17" s="252"/>
      <c r="K17" s="252"/>
      <c r="L17" s="269"/>
      <c r="M17" s="33"/>
    </row>
    <row r="18" spans="1:13" ht="15.6" x14ac:dyDescent="0.3">
      <c r="A18" s="211" t="s">
        <v>224</v>
      </c>
      <c r="B18" s="252"/>
      <c r="C18" s="252"/>
      <c r="D18" s="252"/>
      <c r="E18" s="225" t="s">
        <v>88</v>
      </c>
      <c r="F18" s="236" t="s">
        <v>88</v>
      </c>
      <c r="G18" s="225" t="s">
        <v>88</v>
      </c>
      <c r="H18" s="230" t="s">
        <v>16</v>
      </c>
      <c r="I18" s="230" t="s">
        <v>16</v>
      </c>
      <c r="J18" s="230" t="s">
        <v>16</v>
      </c>
      <c r="K18" s="224" t="s">
        <v>34</v>
      </c>
      <c r="L18" s="269"/>
      <c r="M18" s="33"/>
    </row>
    <row r="19" spans="1:13" ht="15.6" x14ac:dyDescent="0.3">
      <c r="A19" s="211" t="s">
        <v>224</v>
      </c>
      <c r="B19" s="252"/>
      <c r="C19" s="252"/>
      <c r="D19" s="252"/>
      <c r="E19" s="278" t="s">
        <v>253</v>
      </c>
      <c r="F19" s="278" t="s">
        <v>253</v>
      </c>
      <c r="G19" s="198" t="s">
        <v>338</v>
      </c>
      <c r="H19" s="198" t="s">
        <v>338</v>
      </c>
      <c r="I19" s="198" t="s">
        <v>32</v>
      </c>
      <c r="J19" s="198" t="s">
        <v>32</v>
      </c>
      <c r="K19" s="209" t="s">
        <v>41</v>
      </c>
      <c r="L19" s="269"/>
      <c r="M19" s="33"/>
    </row>
    <row r="20" spans="1:13" ht="15.6" x14ac:dyDescent="0.3">
      <c r="A20" s="211" t="s">
        <v>224</v>
      </c>
      <c r="B20" s="252"/>
      <c r="C20" s="252"/>
      <c r="D20" s="252"/>
      <c r="E20" s="224" t="s">
        <v>34</v>
      </c>
      <c r="F20" s="198" t="s">
        <v>32</v>
      </c>
      <c r="G20" s="198" t="s">
        <v>32</v>
      </c>
      <c r="H20" s="223" t="s">
        <v>32</v>
      </c>
      <c r="I20" s="252"/>
      <c r="J20" s="252"/>
      <c r="K20" s="252"/>
      <c r="L20" s="269"/>
      <c r="M20" s="33"/>
    </row>
    <row r="21" spans="1:13" ht="15.6" x14ac:dyDescent="0.3">
      <c r="A21" s="211" t="s">
        <v>224</v>
      </c>
      <c r="B21" s="252"/>
      <c r="C21" s="252"/>
      <c r="D21" s="252"/>
      <c r="E21" s="199" t="s">
        <v>37</v>
      </c>
      <c r="F21" s="199" t="s">
        <v>37</v>
      </c>
      <c r="G21" s="199" t="s">
        <v>37</v>
      </c>
      <c r="H21" s="199" t="s">
        <v>37</v>
      </c>
      <c r="I21" s="252"/>
      <c r="J21" s="252"/>
      <c r="K21" s="252"/>
      <c r="L21" s="269"/>
      <c r="M21" s="33"/>
    </row>
    <row r="22" spans="1:13" ht="15.6" x14ac:dyDescent="0.3">
      <c r="A22" s="211" t="s">
        <v>166</v>
      </c>
      <c r="B22" s="263"/>
      <c r="C22" s="263"/>
      <c r="D22" s="263"/>
      <c r="E22" s="236" t="s">
        <v>88</v>
      </c>
      <c r="F22" s="233" t="s">
        <v>7</v>
      </c>
      <c r="G22" s="213" t="s">
        <v>41</v>
      </c>
      <c r="H22" s="220" t="s">
        <v>320</v>
      </c>
      <c r="I22" s="218" t="s">
        <v>80</v>
      </c>
      <c r="J22" s="209" t="s">
        <v>75</v>
      </c>
      <c r="K22" s="215" t="s">
        <v>320</v>
      </c>
      <c r="L22" s="271"/>
      <c r="M22" s="33"/>
    </row>
    <row r="23" spans="1:13" ht="15.6" x14ac:dyDescent="0.3">
      <c r="A23" s="211" t="s">
        <v>293</v>
      </c>
      <c r="B23" s="263"/>
      <c r="C23" s="263"/>
      <c r="D23" s="263"/>
      <c r="E23" s="220" t="s">
        <v>320</v>
      </c>
      <c r="F23" s="232" t="s">
        <v>320</v>
      </c>
      <c r="G23" s="199" t="s">
        <v>37</v>
      </c>
      <c r="H23" s="236" t="s">
        <v>88</v>
      </c>
      <c r="I23" s="370" t="s">
        <v>83</v>
      </c>
      <c r="J23" s="370" t="s">
        <v>83</v>
      </c>
      <c r="K23" s="236" t="s">
        <v>88</v>
      </c>
      <c r="L23" s="271"/>
      <c r="M23" s="33"/>
    </row>
    <row r="24" spans="1:13" ht="15.6" x14ac:dyDescent="0.3">
      <c r="A24" s="211" t="s">
        <v>171</v>
      </c>
      <c r="B24" s="263"/>
      <c r="C24" s="263"/>
      <c r="D24" s="263"/>
      <c r="E24" s="217" t="s">
        <v>34</v>
      </c>
      <c r="F24" s="217" t="s">
        <v>34</v>
      </c>
      <c r="G24" s="370" t="s">
        <v>83</v>
      </c>
      <c r="H24" s="370" t="s">
        <v>83</v>
      </c>
      <c r="I24" s="219" t="s">
        <v>84</v>
      </c>
      <c r="J24" s="213" t="s">
        <v>41</v>
      </c>
      <c r="K24" s="223" t="s">
        <v>32</v>
      </c>
      <c r="L24" s="271"/>
      <c r="M24" s="33"/>
    </row>
    <row r="25" spans="1:13" ht="15.6" x14ac:dyDescent="0.3">
      <c r="A25" s="245" t="s">
        <v>340</v>
      </c>
      <c r="B25" s="263"/>
      <c r="C25" s="263"/>
      <c r="D25" s="263"/>
      <c r="E25" s="241"/>
      <c r="F25" s="241"/>
      <c r="G25" s="241"/>
      <c r="H25" s="241"/>
      <c r="I25" s="241"/>
      <c r="J25" s="241"/>
      <c r="K25" s="241"/>
      <c r="L25" s="271"/>
      <c r="M25" s="33"/>
    </row>
    <row r="26" spans="1:13" ht="15.6" x14ac:dyDescent="0.3">
      <c r="A26" s="211" t="s">
        <v>168</v>
      </c>
      <c r="B26" s="219" t="s">
        <v>84</v>
      </c>
      <c r="C26" s="219" t="s">
        <v>84</v>
      </c>
      <c r="D26" s="234" t="s">
        <v>16</v>
      </c>
      <c r="E26" s="263"/>
      <c r="F26" s="263"/>
      <c r="G26" s="263"/>
      <c r="H26" s="263"/>
      <c r="I26" s="263"/>
      <c r="J26" s="263"/>
      <c r="K26" s="263"/>
      <c r="L26" s="271"/>
      <c r="M26" s="33"/>
    </row>
    <row r="27" spans="1:13" ht="15.6" x14ac:dyDescent="0.3">
      <c r="A27" s="197" t="s">
        <v>69</v>
      </c>
      <c r="B27" s="252"/>
      <c r="C27" s="279"/>
      <c r="D27" s="279"/>
      <c r="E27" s="252"/>
      <c r="F27" s="252"/>
      <c r="G27" s="252"/>
      <c r="H27" s="252"/>
      <c r="I27" s="252"/>
      <c r="J27" s="252"/>
      <c r="K27" s="252"/>
      <c r="L27" s="280" t="s">
        <v>34</v>
      </c>
      <c r="M27" s="33"/>
    </row>
    <row r="28" spans="1:13" ht="15.6" x14ac:dyDescent="0.3">
      <c r="A28" s="197" t="s">
        <v>69</v>
      </c>
      <c r="B28" s="252"/>
      <c r="C28" s="279"/>
      <c r="D28" s="279"/>
      <c r="E28" s="252"/>
      <c r="F28" s="252"/>
      <c r="G28" s="252"/>
      <c r="H28" s="252"/>
      <c r="I28" s="252"/>
      <c r="J28" s="252"/>
      <c r="K28" s="252"/>
      <c r="L28" s="280" t="s">
        <v>34</v>
      </c>
      <c r="M28" s="33"/>
    </row>
    <row r="29" spans="1:13" x14ac:dyDescent="0.25">
      <c r="A29" s="242"/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33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topLeftCell="A7" workbookViewId="0">
      <selection activeCell="N23" sqref="N23"/>
    </sheetView>
  </sheetViews>
  <sheetFormatPr defaultRowHeight="13.2" x14ac:dyDescent="0.25"/>
  <cols>
    <col min="1" max="1" width="35.6640625" customWidth="1"/>
    <col min="2" max="3" width="4.5546875" bestFit="1" customWidth="1"/>
    <col min="13" max="13" width="3.44140625" customWidth="1"/>
    <col min="14" max="14" width="32.109375" bestFit="1" customWidth="1"/>
    <col min="15" max="15" width="35.88671875" customWidth="1"/>
  </cols>
  <sheetData>
    <row r="1" spans="1:43" ht="15.6" x14ac:dyDescent="0.3">
      <c r="A1" s="32" t="s">
        <v>230</v>
      </c>
      <c r="B1" s="32"/>
      <c r="C1" s="32"/>
      <c r="D1" s="32"/>
      <c r="E1" s="32"/>
      <c r="F1" s="32"/>
      <c r="G1" s="33"/>
      <c r="H1" s="34" t="s">
        <v>191</v>
      </c>
      <c r="I1" s="31" t="str">
        <f>Issue</f>
        <v>2025/26 Show Season (final)</v>
      </c>
      <c r="J1" s="31"/>
      <c r="K1" s="31"/>
      <c r="L1" s="31"/>
      <c r="M1" s="33"/>
    </row>
    <row r="2" spans="1:43" ht="15.6" x14ac:dyDescent="0.3">
      <c r="A2" s="32" t="s">
        <v>231</v>
      </c>
      <c r="B2" s="32"/>
      <c r="C2" s="32"/>
      <c r="D2" s="31"/>
      <c r="E2" s="31"/>
      <c r="F2" s="31"/>
      <c r="G2" s="33"/>
      <c r="H2" s="33"/>
      <c r="I2" s="33"/>
      <c r="J2" s="33"/>
      <c r="K2" s="33"/>
      <c r="L2" s="33"/>
      <c r="M2" s="33"/>
    </row>
    <row r="3" spans="1:43" ht="17.399999999999999" x14ac:dyDescent="0.3">
      <c r="A3" s="39" t="s">
        <v>349</v>
      </c>
      <c r="B3" s="86"/>
      <c r="C3" s="86"/>
      <c r="D3" s="31"/>
      <c r="E3" s="68" t="s">
        <v>330</v>
      </c>
      <c r="F3" s="37"/>
      <c r="G3" s="33"/>
      <c r="H3" s="33"/>
      <c r="I3" s="33"/>
      <c r="J3" s="33"/>
      <c r="K3" s="33"/>
      <c r="L3" s="33"/>
      <c r="M3" s="33"/>
    </row>
    <row r="4" spans="1:43" ht="15.6" x14ac:dyDescent="0.3">
      <c r="A4" s="34"/>
      <c r="B4" s="34"/>
      <c r="C4" s="34"/>
      <c r="D4" s="31"/>
      <c r="F4" s="31"/>
      <c r="G4" s="33"/>
      <c r="H4" s="33"/>
      <c r="I4" s="33"/>
      <c r="J4" s="33"/>
      <c r="K4" s="33"/>
      <c r="L4" s="33"/>
      <c r="M4" s="33"/>
    </row>
    <row r="5" spans="1:43" ht="16.2" thickBot="1" x14ac:dyDescent="0.35">
      <c r="A5" s="26" t="str">
        <f>A3</f>
        <v>Sunday 9/28/2025</v>
      </c>
      <c r="B5" s="85" t="s">
        <v>92</v>
      </c>
      <c r="C5" s="85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O5" s="50"/>
    </row>
    <row r="6" spans="1:43" ht="15.6" x14ac:dyDescent="0.3">
      <c r="A6" s="251" t="s">
        <v>173</v>
      </c>
      <c r="B6" s="34"/>
      <c r="C6" s="34"/>
      <c r="D6" s="209" t="s">
        <v>41</v>
      </c>
      <c r="E6" s="200"/>
      <c r="F6" s="200"/>
      <c r="G6" s="200"/>
      <c r="H6" s="200"/>
      <c r="I6" s="200"/>
      <c r="J6" s="200"/>
      <c r="K6" s="200"/>
      <c r="L6" s="201"/>
      <c r="M6" s="33"/>
    </row>
    <row r="7" spans="1:43" ht="15.6" x14ac:dyDescent="0.3">
      <c r="A7" s="197" t="s">
        <v>175</v>
      </c>
      <c r="B7" s="34"/>
      <c r="C7" s="34"/>
      <c r="D7" s="224" t="s">
        <v>34</v>
      </c>
      <c r="E7" s="200"/>
      <c r="F7" s="200"/>
      <c r="G7" s="200"/>
      <c r="H7" s="200"/>
      <c r="I7" s="200"/>
      <c r="J7" s="200"/>
      <c r="K7" s="200"/>
      <c r="L7" s="201"/>
      <c r="M7" s="33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.6" x14ac:dyDescent="0.3">
      <c r="A8" s="211" t="s">
        <v>229</v>
      </c>
      <c r="B8" s="243"/>
      <c r="C8" s="243"/>
      <c r="D8" s="212"/>
      <c r="E8" s="215" t="s">
        <v>320</v>
      </c>
      <c r="F8" s="215" t="s">
        <v>320</v>
      </c>
      <c r="G8" s="227" t="s">
        <v>18</v>
      </c>
      <c r="H8" s="227" t="s">
        <v>18</v>
      </c>
      <c r="I8" s="228" t="s">
        <v>20</v>
      </c>
      <c r="J8" s="228" t="s">
        <v>20</v>
      </c>
      <c r="K8" s="212"/>
      <c r="L8" s="216"/>
      <c r="M8" s="33"/>
      <c r="N8" s="12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211" t="s">
        <v>111</v>
      </c>
      <c r="B9" s="243"/>
      <c r="C9" s="243"/>
      <c r="D9" s="233" t="s">
        <v>7</v>
      </c>
      <c r="E9" s="213" t="s">
        <v>75</v>
      </c>
      <c r="F9" s="223" t="s">
        <v>338</v>
      </c>
      <c r="G9" s="217" t="s">
        <v>34</v>
      </c>
      <c r="H9" s="214" t="s">
        <v>12</v>
      </c>
      <c r="I9" s="219" t="s">
        <v>84</v>
      </c>
      <c r="J9" s="221" t="s">
        <v>37</v>
      </c>
      <c r="K9" s="212"/>
      <c r="L9" s="216"/>
      <c r="M9" s="33"/>
      <c r="N9" s="12"/>
      <c r="O9" s="152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11" t="s">
        <v>165</v>
      </c>
      <c r="B10" s="243"/>
      <c r="C10" s="243"/>
      <c r="D10" s="223" t="s">
        <v>338</v>
      </c>
      <c r="E10" s="223" t="s">
        <v>338</v>
      </c>
      <c r="F10" s="370" t="s">
        <v>83</v>
      </c>
      <c r="G10" s="227" t="s">
        <v>18</v>
      </c>
      <c r="H10" s="213" t="s">
        <v>41</v>
      </c>
      <c r="I10" s="221" t="s">
        <v>37</v>
      </c>
      <c r="J10" s="236" t="s">
        <v>88</v>
      </c>
      <c r="K10" s="212"/>
      <c r="L10" s="216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11" t="s">
        <v>169</v>
      </c>
      <c r="B11" s="243"/>
      <c r="C11" s="243"/>
      <c r="D11" s="278" t="s">
        <v>253</v>
      </c>
      <c r="E11" s="212"/>
      <c r="F11" s="212"/>
      <c r="G11" s="212"/>
      <c r="H11" s="212"/>
      <c r="I11" s="212"/>
      <c r="J11" s="212"/>
      <c r="K11" s="212"/>
      <c r="L11" s="216"/>
      <c r="M11" s="33"/>
      <c r="O11" s="15"/>
    </row>
    <row r="12" spans="1:43" ht="15.6" x14ac:dyDescent="0.3">
      <c r="A12" s="211" t="s">
        <v>223</v>
      </c>
      <c r="B12" s="243"/>
      <c r="C12" s="243"/>
      <c r="D12" s="212"/>
      <c r="E12" s="218" t="s">
        <v>80</v>
      </c>
      <c r="F12" s="214" t="s">
        <v>12</v>
      </c>
      <c r="G12" s="214" t="s">
        <v>12</v>
      </c>
      <c r="H12" s="223" t="s">
        <v>338</v>
      </c>
      <c r="I12" s="223" t="s">
        <v>338</v>
      </c>
      <c r="J12" s="212"/>
      <c r="K12" s="212"/>
      <c r="L12" s="216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211" t="s">
        <v>223</v>
      </c>
      <c r="B13" s="34"/>
      <c r="C13" s="34"/>
      <c r="D13" s="200"/>
      <c r="E13" s="225" t="s">
        <v>88</v>
      </c>
      <c r="F13" s="230" t="s">
        <v>16</v>
      </c>
      <c r="G13" s="225" t="s">
        <v>88</v>
      </c>
      <c r="H13" s="225" t="s">
        <v>88</v>
      </c>
      <c r="I13" s="209" t="s">
        <v>75</v>
      </c>
      <c r="J13" s="200"/>
      <c r="K13" s="200"/>
      <c r="L13" s="201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11" t="s">
        <v>223</v>
      </c>
      <c r="B14" s="34"/>
      <c r="C14" s="34"/>
      <c r="D14" s="200"/>
      <c r="E14" s="200"/>
      <c r="F14" s="200"/>
      <c r="G14" s="198" t="s">
        <v>32</v>
      </c>
      <c r="H14" s="198" t="s">
        <v>32</v>
      </c>
      <c r="I14" s="200"/>
      <c r="J14" s="200"/>
      <c r="K14" s="200"/>
      <c r="L14" s="201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211" t="s">
        <v>223</v>
      </c>
      <c r="B15" s="34"/>
      <c r="C15" s="34"/>
      <c r="D15" s="200"/>
      <c r="E15" s="200"/>
      <c r="F15" s="200"/>
      <c r="G15" s="198" t="s">
        <v>338</v>
      </c>
      <c r="H15" s="236" t="s">
        <v>88</v>
      </c>
      <c r="I15" s="200"/>
      <c r="J15" s="200"/>
      <c r="K15" s="200"/>
      <c r="L15" s="20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211" t="s">
        <v>225</v>
      </c>
      <c r="B16" s="34"/>
      <c r="C16" s="34"/>
      <c r="D16" s="200"/>
      <c r="E16" s="224" t="s">
        <v>34</v>
      </c>
      <c r="F16" s="225" t="s">
        <v>88</v>
      </c>
      <c r="G16" s="369" t="s">
        <v>83</v>
      </c>
      <c r="H16" s="369" t="s">
        <v>83</v>
      </c>
      <c r="I16" s="369" t="s">
        <v>83</v>
      </c>
      <c r="J16" s="200"/>
      <c r="K16" s="200"/>
      <c r="L16" s="201"/>
      <c r="M16" s="33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42" ht="15.6" x14ac:dyDescent="0.3">
      <c r="A17" s="211" t="s">
        <v>225</v>
      </c>
      <c r="B17" s="34"/>
      <c r="C17" s="34"/>
      <c r="D17" s="200"/>
      <c r="E17" s="278" t="s">
        <v>253</v>
      </c>
      <c r="F17" s="278" t="s">
        <v>253</v>
      </c>
      <c r="G17" s="220" t="s">
        <v>320</v>
      </c>
      <c r="H17" s="224" t="s">
        <v>34</v>
      </c>
      <c r="I17" s="224" t="s">
        <v>34</v>
      </c>
      <c r="J17" s="200"/>
      <c r="K17" s="200"/>
      <c r="L17" s="201"/>
      <c r="M17" s="33"/>
      <c r="N17" s="12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</row>
    <row r="18" spans="1:42" ht="15.6" x14ac:dyDescent="0.3">
      <c r="A18" s="211" t="s">
        <v>225</v>
      </c>
      <c r="B18" s="34"/>
      <c r="C18" s="34"/>
      <c r="D18" s="200"/>
      <c r="E18" s="200"/>
      <c r="F18" s="200"/>
      <c r="G18" s="232" t="s">
        <v>320</v>
      </c>
      <c r="H18" s="232" t="s">
        <v>320</v>
      </c>
      <c r="I18" s="200"/>
      <c r="J18" s="200"/>
      <c r="K18" s="200"/>
      <c r="L18" s="201"/>
      <c r="M18" s="33"/>
      <c r="N18" s="12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</row>
    <row r="19" spans="1:42" ht="15.6" x14ac:dyDescent="0.3">
      <c r="A19" s="211" t="s">
        <v>225</v>
      </c>
      <c r="B19" s="34"/>
      <c r="C19" s="34"/>
      <c r="D19" s="200"/>
      <c r="E19" s="200"/>
      <c r="F19" s="200"/>
      <c r="G19" s="209" t="s">
        <v>41</v>
      </c>
      <c r="H19" s="209" t="s">
        <v>41</v>
      </c>
      <c r="I19" s="200"/>
      <c r="J19" s="200"/>
      <c r="K19" s="200"/>
      <c r="L19" s="201"/>
      <c r="M19" s="33"/>
      <c r="N19" s="12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</row>
    <row r="20" spans="1:42" ht="15.6" x14ac:dyDescent="0.3">
      <c r="A20" s="211" t="s">
        <v>167</v>
      </c>
      <c r="B20" s="243"/>
      <c r="C20" s="243"/>
      <c r="D20" s="212"/>
      <c r="E20" s="235" t="s">
        <v>20</v>
      </c>
      <c r="F20" s="228" t="s">
        <v>20</v>
      </c>
      <c r="G20" s="222" t="s">
        <v>218</v>
      </c>
      <c r="H20" s="219" t="s">
        <v>84</v>
      </c>
      <c r="I20" s="236" t="s">
        <v>88</v>
      </c>
      <c r="J20" s="213" t="s">
        <v>41</v>
      </c>
      <c r="K20" s="212"/>
      <c r="L20" s="216"/>
      <c r="M20" s="33"/>
      <c r="N20" s="12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</row>
    <row r="21" spans="1:42" ht="15.6" x14ac:dyDescent="0.3">
      <c r="A21" s="211" t="s">
        <v>292</v>
      </c>
      <c r="B21" s="243"/>
      <c r="C21" s="243"/>
      <c r="D21" s="212"/>
      <c r="E21" s="215" t="s">
        <v>320</v>
      </c>
      <c r="F21" s="213" t="s">
        <v>75</v>
      </c>
      <c r="G21" s="214" t="s">
        <v>12</v>
      </c>
      <c r="H21" s="233" t="s">
        <v>7</v>
      </c>
      <c r="I21" s="220" t="s">
        <v>320</v>
      </c>
      <c r="J21" s="212"/>
      <c r="K21" s="212"/>
      <c r="L21" s="216"/>
      <c r="M21" s="33"/>
      <c r="N21" s="12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</row>
    <row r="22" spans="1:42" ht="15.6" x14ac:dyDescent="0.3">
      <c r="A22" s="211" t="s">
        <v>170</v>
      </c>
      <c r="B22" s="243"/>
      <c r="C22" s="243"/>
      <c r="D22" s="212"/>
      <c r="E22" s="226" t="s">
        <v>253</v>
      </c>
      <c r="F22" s="223" t="s">
        <v>32</v>
      </c>
      <c r="G22" s="223" t="s">
        <v>32</v>
      </c>
      <c r="H22" s="235" t="s">
        <v>20</v>
      </c>
      <c r="I22" s="213" t="s">
        <v>41</v>
      </c>
      <c r="J22" s="370" t="s">
        <v>83</v>
      </c>
      <c r="K22" s="212"/>
      <c r="L22" s="216"/>
      <c r="M22" s="33"/>
      <c r="N22" s="12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</row>
    <row r="23" spans="1:42" ht="15.6" x14ac:dyDescent="0.3">
      <c r="A23" s="211" t="s">
        <v>182</v>
      </c>
      <c r="B23" s="243"/>
      <c r="C23" s="243"/>
      <c r="D23" s="212"/>
      <c r="E23" s="212"/>
      <c r="F23" s="212"/>
      <c r="G23" s="212"/>
      <c r="H23" s="212"/>
      <c r="I23" s="212"/>
      <c r="J23" s="212"/>
      <c r="K23" s="235" t="s">
        <v>20</v>
      </c>
      <c r="L23" s="235" t="s">
        <v>20</v>
      </c>
      <c r="M23" s="33"/>
    </row>
    <row r="24" spans="1:42" ht="15.6" x14ac:dyDescent="0.3">
      <c r="A24" s="211" t="s">
        <v>182</v>
      </c>
      <c r="B24" s="243"/>
      <c r="C24" s="243"/>
      <c r="D24" s="212"/>
      <c r="E24" s="212"/>
      <c r="F24" s="212"/>
      <c r="G24" s="212"/>
      <c r="H24" s="212"/>
      <c r="I24" s="212"/>
      <c r="J24" s="212"/>
      <c r="K24" s="235" t="s">
        <v>20</v>
      </c>
      <c r="L24" s="235" t="s">
        <v>20</v>
      </c>
      <c r="M24" s="33"/>
    </row>
    <row r="25" spans="1:42" ht="15.6" x14ac:dyDescent="0.3">
      <c r="A25" s="211" t="s">
        <v>182</v>
      </c>
      <c r="B25" s="243"/>
      <c r="C25" s="243"/>
      <c r="D25" s="212"/>
      <c r="E25" s="212"/>
      <c r="F25" s="212"/>
      <c r="G25" s="212"/>
      <c r="H25" s="212"/>
      <c r="I25" s="212"/>
      <c r="J25" s="212"/>
      <c r="K25" s="216"/>
      <c r="L25" s="216"/>
      <c r="M25" s="33"/>
    </row>
    <row r="26" spans="1:42" ht="15.6" x14ac:dyDescent="0.3">
      <c r="A26" s="211" t="s">
        <v>182</v>
      </c>
      <c r="B26" s="243"/>
      <c r="C26" s="243"/>
      <c r="D26" s="212"/>
      <c r="E26" s="212"/>
      <c r="F26" s="212"/>
      <c r="G26" s="212"/>
      <c r="H26" s="212"/>
      <c r="I26" s="212"/>
      <c r="J26" s="212"/>
      <c r="K26" s="216"/>
      <c r="L26" s="216"/>
      <c r="M26" s="33"/>
    </row>
    <row r="27" spans="1:42" ht="15.6" x14ac:dyDescent="0.3">
      <c r="A27" s="211"/>
      <c r="B27" s="243"/>
      <c r="C27" s="243"/>
      <c r="D27" s="212"/>
      <c r="E27" s="212"/>
      <c r="F27" s="212"/>
      <c r="G27" s="212"/>
      <c r="H27" s="212"/>
      <c r="I27" s="212"/>
      <c r="J27" s="212"/>
      <c r="K27" s="216"/>
      <c r="L27" s="216"/>
      <c r="M27" s="33"/>
    </row>
    <row r="28" spans="1:42" ht="15.6" x14ac:dyDescent="0.3">
      <c r="A28" s="211"/>
      <c r="B28" s="243"/>
      <c r="C28" s="243"/>
      <c r="D28" s="212"/>
      <c r="E28" s="212"/>
      <c r="F28" s="212"/>
      <c r="G28" s="212"/>
      <c r="H28" s="212"/>
      <c r="I28" s="212"/>
      <c r="J28" s="212"/>
      <c r="K28" s="216"/>
      <c r="L28" s="216"/>
      <c r="M28" s="33"/>
    </row>
    <row r="29" spans="1:42" x14ac:dyDescent="0.25">
      <c r="A29" s="242"/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33"/>
    </row>
    <row r="30" spans="1:42" ht="15" x14ac:dyDescent="0.25">
      <c r="A30" s="12"/>
      <c r="B30" s="12"/>
      <c r="C30" s="12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4" sqref="A4"/>
    </sheetView>
  </sheetViews>
  <sheetFormatPr defaultRowHeight="13.2" x14ac:dyDescent="0.25"/>
  <cols>
    <col min="1" max="1" width="30" customWidth="1"/>
    <col min="2" max="3" width="4.5546875" bestFit="1" customWidth="1"/>
    <col min="4" max="4" width="5.88671875" bestFit="1" customWidth="1"/>
    <col min="5" max="6" width="9.109375" customWidth="1"/>
    <col min="17" max="17" width="3.44140625" customWidth="1"/>
    <col min="20" max="20" width="23.5546875" bestFit="1" customWidth="1"/>
  </cols>
  <sheetData>
    <row r="1" spans="1:48" ht="15.6" x14ac:dyDescent="0.3">
      <c r="A1" s="32" t="s">
        <v>115</v>
      </c>
      <c r="B1" s="32"/>
      <c r="C1" s="32"/>
      <c r="D1" s="32"/>
      <c r="E1" s="32"/>
      <c r="F1" s="32"/>
      <c r="G1" s="32"/>
      <c r="H1" s="33"/>
      <c r="I1" s="33"/>
      <c r="J1" s="33"/>
      <c r="K1" s="33"/>
      <c r="L1" s="34" t="s">
        <v>191</v>
      </c>
      <c r="M1" s="67" t="str">
        <f>Issue</f>
        <v>2025/26 Show Season (final)</v>
      </c>
      <c r="N1" s="67"/>
      <c r="O1" s="67"/>
      <c r="P1" s="67"/>
      <c r="Q1" s="33"/>
    </row>
    <row r="2" spans="1:48" ht="15.6" x14ac:dyDescent="0.3">
      <c r="A2" s="32" t="s">
        <v>113</v>
      </c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7.399999999999999" x14ac:dyDescent="0.3">
      <c r="A3" s="43" t="s">
        <v>352</v>
      </c>
      <c r="B3" s="84"/>
      <c r="C3" s="84"/>
      <c r="D3" s="84"/>
      <c r="E3" s="84"/>
      <c r="F3" s="84"/>
      <c r="G3" s="32"/>
      <c r="H3" s="33"/>
      <c r="I3" s="33"/>
      <c r="J3" s="68" t="s">
        <v>125</v>
      </c>
      <c r="K3" s="37"/>
      <c r="L3" s="33"/>
      <c r="M3" s="33"/>
      <c r="N3" s="33"/>
      <c r="O3" s="33"/>
      <c r="P3" s="33"/>
      <c r="Q3" s="33"/>
      <c r="T3" s="12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</row>
    <row r="4" spans="1:48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3"/>
      <c r="T4" s="12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48" ht="16.2" thickBot="1" x14ac:dyDescent="0.35">
      <c r="A5" s="26" t="str">
        <f>A3</f>
        <v>Friday 01/16/2026</v>
      </c>
      <c r="B5" s="85" t="s">
        <v>92</v>
      </c>
      <c r="C5" s="85" t="s">
        <v>93</v>
      </c>
      <c r="D5" s="85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33"/>
      <c r="T5" s="12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1:48" ht="15.6" x14ac:dyDescent="0.3">
      <c r="A6" s="165" t="s">
        <v>157</v>
      </c>
      <c r="B6" s="166" t="s">
        <v>34</v>
      </c>
      <c r="C6" s="166" t="s">
        <v>34</v>
      </c>
      <c r="D6" s="166" t="s">
        <v>34</v>
      </c>
      <c r="E6" s="166" t="s">
        <v>34</v>
      </c>
      <c r="F6" s="166" t="s">
        <v>34</v>
      </c>
      <c r="G6" s="166" t="s">
        <v>34</v>
      </c>
      <c r="H6" s="166" t="s">
        <v>34</v>
      </c>
      <c r="I6" s="166" t="s">
        <v>34</v>
      </c>
      <c r="J6" s="167"/>
      <c r="K6" s="167"/>
      <c r="L6" s="167"/>
      <c r="M6" s="167"/>
      <c r="N6" s="167"/>
      <c r="O6" s="167"/>
      <c r="P6" s="24"/>
      <c r="Q6" s="33"/>
    </row>
    <row r="7" spans="1:48" ht="15.6" x14ac:dyDescent="0.3">
      <c r="A7" s="165" t="s">
        <v>345</v>
      </c>
      <c r="B7" s="168"/>
      <c r="C7" s="168"/>
      <c r="D7" s="169" t="s">
        <v>37</v>
      </c>
      <c r="E7" s="170" t="s">
        <v>37</v>
      </c>
      <c r="F7" s="171" t="s">
        <v>83</v>
      </c>
      <c r="G7" s="172" t="s">
        <v>83</v>
      </c>
      <c r="H7" s="172" t="s">
        <v>83</v>
      </c>
      <c r="I7" s="173" t="s">
        <v>338</v>
      </c>
      <c r="J7" s="173" t="s">
        <v>338</v>
      </c>
      <c r="K7" s="174" t="s">
        <v>7</v>
      </c>
      <c r="L7" s="175" t="s">
        <v>7</v>
      </c>
      <c r="M7" s="167"/>
      <c r="N7" s="167"/>
      <c r="O7" s="167"/>
      <c r="P7" s="24"/>
      <c r="Q7" s="33"/>
    </row>
    <row r="8" spans="1:48" ht="15.6" x14ac:dyDescent="0.3">
      <c r="A8" s="165" t="s">
        <v>345</v>
      </c>
      <c r="B8" s="168"/>
      <c r="C8" s="168"/>
      <c r="D8" s="168"/>
      <c r="E8" s="176" t="s">
        <v>253</v>
      </c>
      <c r="F8" s="176" t="s">
        <v>253</v>
      </c>
      <c r="G8" s="177" t="s">
        <v>41</v>
      </c>
      <c r="H8" s="177" t="s">
        <v>41</v>
      </c>
      <c r="I8" s="178" t="s">
        <v>320</v>
      </c>
      <c r="J8" s="179" t="s">
        <v>84</v>
      </c>
      <c r="K8" s="177" t="s">
        <v>75</v>
      </c>
      <c r="L8" s="180" t="s">
        <v>18</v>
      </c>
      <c r="M8" s="181" t="s">
        <v>41</v>
      </c>
      <c r="N8" s="167"/>
      <c r="O8" s="167"/>
      <c r="P8" s="24"/>
      <c r="Q8" s="33"/>
    </row>
    <row r="9" spans="1:48" ht="15.6" x14ac:dyDescent="0.3">
      <c r="A9" s="182" t="s">
        <v>91</v>
      </c>
      <c r="B9" s="183"/>
      <c r="C9" s="183"/>
      <c r="D9" s="183"/>
      <c r="E9" s="183"/>
      <c r="F9" s="183"/>
      <c r="G9" s="184" t="s">
        <v>20</v>
      </c>
      <c r="H9" s="184" t="s">
        <v>20</v>
      </c>
      <c r="I9" s="185" t="s">
        <v>80</v>
      </c>
      <c r="J9" s="185" t="s">
        <v>80</v>
      </c>
      <c r="K9" s="185" t="s">
        <v>80</v>
      </c>
      <c r="L9" s="185" t="s">
        <v>80</v>
      </c>
      <c r="M9" s="186" t="s">
        <v>80</v>
      </c>
      <c r="N9" s="187" t="s">
        <v>80</v>
      </c>
      <c r="O9" s="187" t="s">
        <v>80</v>
      </c>
      <c r="P9" s="24"/>
      <c r="Q9" s="33"/>
    </row>
    <row r="10" spans="1:48" ht="15.6" x14ac:dyDescent="0.3">
      <c r="A10" s="182" t="s">
        <v>163</v>
      </c>
      <c r="B10" s="183"/>
      <c r="C10" s="183"/>
      <c r="D10" s="183"/>
      <c r="E10" s="183"/>
      <c r="F10" s="183"/>
      <c r="G10" s="188" t="s">
        <v>37</v>
      </c>
      <c r="H10" s="188" t="s">
        <v>37</v>
      </c>
      <c r="I10" s="189" t="s">
        <v>37</v>
      </c>
      <c r="J10" s="189" t="s">
        <v>37</v>
      </c>
      <c r="K10" s="190" t="s">
        <v>41</v>
      </c>
      <c r="L10" s="190" t="s">
        <v>41</v>
      </c>
      <c r="M10" s="191" t="s">
        <v>41</v>
      </c>
      <c r="N10" s="181" t="s">
        <v>41</v>
      </c>
      <c r="O10" s="181" t="s">
        <v>41</v>
      </c>
      <c r="P10" s="24"/>
      <c r="Q10" s="33"/>
    </row>
    <row r="11" spans="1:48" ht="15.6" x14ac:dyDescent="0.3">
      <c r="A11" s="192" t="s">
        <v>239</v>
      </c>
      <c r="B11" s="192"/>
      <c r="C11" s="192"/>
      <c r="D11" s="192"/>
      <c r="E11" s="193" t="s">
        <v>20</v>
      </c>
      <c r="F11" s="193" t="s">
        <v>20</v>
      </c>
      <c r="G11" s="194" t="s">
        <v>88</v>
      </c>
      <c r="H11" s="194" t="s">
        <v>88</v>
      </c>
      <c r="I11" s="194" t="s">
        <v>88</v>
      </c>
      <c r="J11" s="194" t="s">
        <v>88</v>
      </c>
      <c r="K11" s="194" t="s">
        <v>88</v>
      </c>
      <c r="L11" s="195" t="s">
        <v>88</v>
      </c>
      <c r="M11" s="195" t="s">
        <v>88</v>
      </c>
      <c r="N11" s="196"/>
      <c r="O11" s="167"/>
      <c r="P11" s="23"/>
      <c r="Q11" s="33"/>
    </row>
    <row r="12" spans="1:48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48" ht="15" x14ac:dyDescent="0.25">
      <c r="A13" s="12"/>
      <c r="B13" s="12"/>
      <c r="C13" s="12"/>
      <c r="D13" s="12"/>
      <c r="E13" s="12"/>
      <c r="F13" s="12"/>
    </row>
    <row r="16" spans="1:48" x14ac:dyDescent="0.25">
      <c r="H16" s="13" t="s">
        <v>268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A3" sqref="A3"/>
    </sheetView>
  </sheetViews>
  <sheetFormatPr defaultRowHeight="13.2" x14ac:dyDescent="0.25"/>
  <cols>
    <col min="1" max="1" width="41.6640625" customWidth="1"/>
    <col min="13" max="13" width="3.44140625" customWidth="1"/>
    <col min="14" max="14" width="34.44140625" bestFit="1" customWidth="1"/>
  </cols>
  <sheetData>
    <row r="1" spans="1:43" ht="15.6" x14ac:dyDescent="0.3">
      <c r="A1" s="32" t="s">
        <v>116</v>
      </c>
      <c r="B1" s="32"/>
      <c r="C1" s="31"/>
      <c r="D1" s="31"/>
      <c r="E1" s="31"/>
      <c r="F1" s="31"/>
      <c r="G1" s="31"/>
      <c r="H1" s="34" t="s">
        <v>191</v>
      </c>
      <c r="I1" s="31" t="str">
        <f>Issue</f>
        <v>2025/26 Show Season (final)</v>
      </c>
      <c r="J1" s="31"/>
      <c r="K1" s="31"/>
      <c r="L1" s="33"/>
      <c r="M1" s="33"/>
    </row>
    <row r="2" spans="1:43" ht="15.6" x14ac:dyDescent="0.3">
      <c r="A2" s="32" t="s">
        <v>113</v>
      </c>
      <c r="B2" s="32"/>
      <c r="C2" s="32"/>
      <c r="D2" s="32"/>
      <c r="E2" s="32"/>
      <c r="F2" s="32"/>
      <c r="G2" s="32"/>
      <c r="H2" s="32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44" t="s">
        <v>353</v>
      </c>
      <c r="B3" s="32"/>
      <c r="C3" s="31"/>
      <c r="D3" s="68" t="s">
        <v>126</v>
      </c>
      <c r="E3" s="31"/>
      <c r="F3" s="31"/>
      <c r="G3" s="31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41"/>
      <c r="B4" s="35"/>
      <c r="C4" s="31"/>
      <c r="D4" s="31"/>
      <c r="E4" s="38"/>
      <c r="F4" s="37"/>
      <c r="G4" s="37"/>
      <c r="H4" s="31"/>
      <c r="I4" s="31"/>
      <c r="J4" s="31"/>
      <c r="K4" s="31"/>
      <c r="L4" s="31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30" t="str">
        <f>A3</f>
        <v>Saturday 01/17/2026</v>
      </c>
      <c r="B5" s="27" t="s">
        <v>92</v>
      </c>
      <c r="C5" s="27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97" t="s">
        <v>345</v>
      </c>
      <c r="B6" s="198" t="s">
        <v>32</v>
      </c>
      <c r="C6" s="199" t="s">
        <v>37</v>
      </c>
      <c r="D6" s="199" t="s">
        <v>37</v>
      </c>
      <c r="E6" s="200"/>
      <c r="F6" s="200"/>
      <c r="G6" s="200"/>
      <c r="H6" s="200"/>
      <c r="I6" s="200"/>
      <c r="J6" s="200"/>
      <c r="K6" s="200"/>
      <c r="L6" s="201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97" t="s">
        <v>345</v>
      </c>
      <c r="B7" s="369" t="s">
        <v>83</v>
      </c>
      <c r="C7" s="199" t="s">
        <v>37</v>
      </c>
      <c r="D7" s="199" t="s">
        <v>37</v>
      </c>
      <c r="E7" s="200"/>
      <c r="F7" s="200"/>
      <c r="G7" s="200"/>
      <c r="H7" s="200"/>
      <c r="I7" s="200"/>
      <c r="J7" s="200"/>
      <c r="K7" s="200"/>
      <c r="L7" s="201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202" t="s">
        <v>172</v>
      </c>
      <c r="B8" s="203" t="s">
        <v>320</v>
      </c>
      <c r="C8" s="204" t="s">
        <v>253</v>
      </c>
      <c r="D8" s="205" t="s">
        <v>41</v>
      </c>
      <c r="E8" s="206"/>
      <c r="F8" s="207"/>
      <c r="G8" s="207"/>
      <c r="H8" s="207"/>
      <c r="I8" s="207"/>
      <c r="J8" s="207"/>
      <c r="K8" s="207"/>
      <c r="L8" s="208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97" t="s">
        <v>174</v>
      </c>
      <c r="B9" s="209" t="s">
        <v>41</v>
      </c>
      <c r="C9" s="198" t="s">
        <v>32</v>
      </c>
      <c r="D9" s="198" t="s">
        <v>338</v>
      </c>
      <c r="E9" s="210"/>
      <c r="F9" s="200"/>
      <c r="G9" s="200"/>
      <c r="H9" s="200"/>
      <c r="I9" s="200"/>
      <c r="J9" s="200"/>
      <c r="K9" s="200"/>
      <c r="L9" s="201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11" t="s">
        <v>176</v>
      </c>
      <c r="B10" s="212"/>
      <c r="C10" s="212"/>
      <c r="D10" s="212"/>
      <c r="E10" s="213" t="s">
        <v>41</v>
      </c>
      <c r="F10" s="213" t="s">
        <v>41</v>
      </c>
      <c r="G10" s="214" t="s">
        <v>12</v>
      </c>
      <c r="H10" s="214" t="s">
        <v>12</v>
      </c>
      <c r="I10" s="215" t="s">
        <v>320</v>
      </c>
      <c r="J10" s="213" t="s">
        <v>75</v>
      </c>
      <c r="K10" s="215" t="s">
        <v>320</v>
      </c>
      <c r="L10" s="216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11" t="s">
        <v>102</v>
      </c>
      <c r="B11" s="217" t="s">
        <v>34</v>
      </c>
      <c r="C11" s="218" t="s">
        <v>80</v>
      </c>
      <c r="D11" s="218" t="s">
        <v>80</v>
      </c>
      <c r="E11" s="218" t="s">
        <v>80</v>
      </c>
      <c r="F11" s="218" t="s">
        <v>80</v>
      </c>
      <c r="G11" s="218" t="s">
        <v>80</v>
      </c>
      <c r="H11" s="219" t="s">
        <v>84</v>
      </c>
      <c r="I11" s="218" t="s">
        <v>80</v>
      </c>
      <c r="J11" s="218" t="s">
        <v>80</v>
      </c>
      <c r="K11" s="218" t="s">
        <v>80</v>
      </c>
      <c r="L11" s="216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11" t="s">
        <v>164</v>
      </c>
      <c r="B12" s="220" t="s">
        <v>320</v>
      </c>
      <c r="C12" s="220" t="s">
        <v>320</v>
      </c>
      <c r="D12" s="215" t="s">
        <v>320</v>
      </c>
      <c r="E12" s="215" t="s">
        <v>320</v>
      </c>
      <c r="F12" s="223" t="s">
        <v>338</v>
      </c>
      <c r="G12" s="199" t="s">
        <v>37</v>
      </c>
      <c r="H12" s="215" t="s">
        <v>320</v>
      </c>
      <c r="I12" s="198" t="s">
        <v>338</v>
      </c>
      <c r="J12" s="221" t="s">
        <v>37</v>
      </c>
      <c r="K12" s="221" t="s">
        <v>37</v>
      </c>
      <c r="L12" s="216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65" t="s">
        <v>286</v>
      </c>
      <c r="B13" s="212"/>
      <c r="C13" s="200"/>
      <c r="D13" s="222" t="s">
        <v>218</v>
      </c>
      <c r="E13" s="222" t="s">
        <v>218</v>
      </c>
      <c r="F13" s="216"/>
      <c r="G13" s="216"/>
      <c r="H13" s="216"/>
      <c r="I13" s="216"/>
      <c r="J13" s="216"/>
      <c r="K13" s="216"/>
      <c r="L13" s="216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11" t="s">
        <v>178</v>
      </c>
      <c r="B14" s="212"/>
      <c r="C14" s="212"/>
      <c r="D14" s="212"/>
      <c r="E14" s="213" t="s">
        <v>41</v>
      </c>
      <c r="F14" s="213" t="s">
        <v>41</v>
      </c>
      <c r="G14" s="223" t="s">
        <v>32</v>
      </c>
      <c r="H14" s="223" t="s">
        <v>32</v>
      </c>
      <c r="I14" s="223" t="s">
        <v>32</v>
      </c>
      <c r="J14" s="213" t="s">
        <v>41</v>
      </c>
      <c r="K14" s="213" t="s">
        <v>41</v>
      </c>
      <c r="L14" s="216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197" t="s">
        <v>178</v>
      </c>
      <c r="B15" s="200"/>
      <c r="C15" s="200"/>
      <c r="D15" s="200"/>
      <c r="E15" s="209" t="s">
        <v>75</v>
      </c>
      <c r="F15" s="209" t="s">
        <v>75</v>
      </c>
      <c r="G15" s="209" t="s">
        <v>41</v>
      </c>
      <c r="H15" s="209" t="s">
        <v>41</v>
      </c>
      <c r="I15" s="369" t="s">
        <v>83</v>
      </c>
      <c r="J15" s="369" t="s">
        <v>83</v>
      </c>
      <c r="K15" s="209" t="s">
        <v>75</v>
      </c>
      <c r="L15" s="20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197" t="s">
        <v>178</v>
      </c>
      <c r="B16" s="200"/>
      <c r="C16" s="200"/>
      <c r="D16" s="200"/>
      <c r="E16" s="369" t="s">
        <v>83</v>
      </c>
      <c r="F16" s="224" t="s">
        <v>34</v>
      </c>
      <c r="G16" s="369" t="s">
        <v>83</v>
      </c>
      <c r="H16" s="369" t="s">
        <v>83</v>
      </c>
      <c r="I16" s="210"/>
      <c r="J16" s="210"/>
      <c r="K16" s="200"/>
      <c r="L16" s="201"/>
      <c r="M16" s="33"/>
      <c r="N16" s="12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14" ht="15.6" x14ac:dyDescent="0.3">
      <c r="A17" s="197" t="s">
        <v>178</v>
      </c>
      <c r="B17" s="200"/>
      <c r="C17" s="200"/>
      <c r="D17" s="200"/>
      <c r="E17" s="225" t="s">
        <v>88</v>
      </c>
      <c r="F17" s="225" t="s">
        <v>88</v>
      </c>
      <c r="G17" s="225" t="s">
        <v>88</v>
      </c>
      <c r="H17" s="225" t="s">
        <v>88</v>
      </c>
      <c r="I17" s="200"/>
      <c r="J17" s="200"/>
      <c r="K17" s="200"/>
      <c r="L17" s="201"/>
      <c r="M17" s="33"/>
    </row>
    <row r="18" spans="1:14" ht="15.6" x14ac:dyDescent="0.3">
      <c r="A18" s="211" t="s">
        <v>180</v>
      </c>
      <c r="B18" s="212"/>
      <c r="C18" s="212"/>
      <c r="D18" s="212"/>
      <c r="E18" s="226" t="s">
        <v>253</v>
      </c>
      <c r="F18" s="226" t="s">
        <v>253</v>
      </c>
      <c r="G18" s="198" t="s">
        <v>338</v>
      </c>
      <c r="H18" s="227" t="s">
        <v>18</v>
      </c>
      <c r="I18" s="228" t="s">
        <v>20</v>
      </c>
      <c r="J18" s="223" t="s">
        <v>32</v>
      </c>
      <c r="K18" s="223" t="s">
        <v>32</v>
      </c>
      <c r="L18" s="216"/>
      <c r="M18" s="33"/>
    </row>
    <row r="19" spans="1:14" ht="15.6" x14ac:dyDescent="0.3">
      <c r="A19" s="197" t="s">
        <v>180</v>
      </c>
      <c r="B19" s="200"/>
      <c r="C19" s="200"/>
      <c r="D19" s="200"/>
      <c r="E19" s="198" t="s">
        <v>32</v>
      </c>
      <c r="F19" s="198" t="s">
        <v>32</v>
      </c>
      <c r="G19" s="198" t="s">
        <v>32</v>
      </c>
      <c r="H19" s="199" t="s">
        <v>37</v>
      </c>
      <c r="I19" s="199" t="s">
        <v>37</v>
      </c>
      <c r="J19" s="229" t="s">
        <v>18</v>
      </c>
      <c r="K19" s="229" t="s">
        <v>18</v>
      </c>
      <c r="L19" s="201"/>
      <c r="M19" s="33"/>
      <c r="N19" s="12"/>
    </row>
    <row r="20" spans="1:14" ht="15.6" x14ac:dyDescent="0.3">
      <c r="A20" s="197" t="s">
        <v>180</v>
      </c>
      <c r="B20" s="200"/>
      <c r="C20" s="200"/>
      <c r="D20" s="200"/>
      <c r="E20" s="230" t="s">
        <v>16</v>
      </c>
      <c r="F20" s="230" t="s">
        <v>16</v>
      </c>
      <c r="G20" s="225" t="s">
        <v>88</v>
      </c>
      <c r="H20" s="231" t="s">
        <v>7</v>
      </c>
      <c r="I20" s="200"/>
      <c r="J20" s="200"/>
      <c r="K20" s="200"/>
      <c r="L20" s="201"/>
      <c r="M20" s="33"/>
    </row>
    <row r="21" spans="1:14" ht="15.6" x14ac:dyDescent="0.3">
      <c r="A21" s="197" t="s">
        <v>180</v>
      </c>
      <c r="B21" s="200"/>
      <c r="C21" s="200"/>
      <c r="D21" s="200"/>
      <c r="E21" s="232" t="s">
        <v>320</v>
      </c>
      <c r="F21" s="232" t="s">
        <v>320</v>
      </c>
      <c r="G21" s="232" t="s">
        <v>320</v>
      </c>
      <c r="H21" s="232" t="s">
        <v>320</v>
      </c>
      <c r="I21" s="200"/>
      <c r="J21" s="200"/>
      <c r="K21" s="200"/>
      <c r="L21" s="201"/>
      <c r="M21" s="33"/>
    </row>
    <row r="22" spans="1:14" ht="15.6" x14ac:dyDescent="0.3">
      <c r="A22" s="211" t="s">
        <v>166</v>
      </c>
      <c r="B22" s="212"/>
      <c r="C22" s="212"/>
      <c r="D22" s="212"/>
      <c r="E22" s="223" t="s">
        <v>338</v>
      </c>
      <c r="F22" s="233" t="s">
        <v>7</v>
      </c>
      <c r="G22" s="233" t="s">
        <v>7</v>
      </c>
      <c r="H22" s="234" t="s">
        <v>16</v>
      </c>
      <c r="I22" s="234" t="s">
        <v>16</v>
      </c>
      <c r="J22" s="215" t="s">
        <v>320</v>
      </c>
      <c r="K22" s="220" t="s">
        <v>320</v>
      </c>
      <c r="L22" s="216"/>
      <c r="M22" s="33"/>
    </row>
    <row r="23" spans="1:14" ht="15.6" x14ac:dyDescent="0.3">
      <c r="A23" s="211" t="s">
        <v>293</v>
      </c>
      <c r="B23" s="212"/>
      <c r="C23" s="212"/>
      <c r="D23" s="212"/>
      <c r="E23" s="219" t="s">
        <v>84</v>
      </c>
      <c r="F23" s="370" t="s">
        <v>83</v>
      </c>
      <c r="G23" s="235" t="s">
        <v>20</v>
      </c>
      <c r="H23" s="213" t="s">
        <v>75</v>
      </c>
      <c r="I23" s="214" t="s">
        <v>12</v>
      </c>
      <c r="J23" s="214" t="s">
        <v>12</v>
      </c>
      <c r="K23" s="372" t="s">
        <v>83</v>
      </c>
      <c r="L23" s="216"/>
      <c r="M23" s="33"/>
    </row>
    <row r="24" spans="1:14" ht="15.6" x14ac:dyDescent="0.3">
      <c r="A24" s="211" t="s">
        <v>171</v>
      </c>
      <c r="B24" s="212"/>
      <c r="C24" s="212"/>
      <c r="D24" s="212"/>
      <c r="E24" s="220" t="s">
        <v>320</v>
      </c>
      <c r="F24" s="220" t="s">
        <v>320</v>
      </c>
      <c r="G24" s="234" t="s">
        <v>16</v>
      </c>
      <c r="H24" s="213" t="s">
        <v>41</v>
      </c>
      <c r="I24" s="213" t="s">
        <v>41</v>
      </c>
      <c r="J24" s="213" t="s">
        <v>41</v>
      </c>
      <c r="K24" s="236" t="s">
        <v>88</v>
      </c>
      <c r="L24" s="216"/>
      <c r="M24" s="33"/>
    </row>
    <row r="25" spans="1:14" ht="15.6" x14ac:dyDescent="0.3">
      <c r="A25" s="211" t="s">
        <v>168</v>
      </c>
      <c r="B25" s="219" t="s">
        <v>84</v>
      </c>
      <c r="C25" s="219" t="s">
        <v>84</v>
      </c>
      <c r="D25" s="213" t="s">
        <v>75</v>
      </c>
      <c r="E25" s="212"/>
      <c r="F25" s="212"/>
      <c r="G25" s="212"/>
      <c r="H25" s="212"/>
      <c r="I25" s="212"/>
      <c r="J25" s="212"/>
      <c r="K25" s="212"/>
      <c r="L25" s="216"/>
      <c r="M25" s="33"/>
    </row>
    <row r="26" spans="1:14" ht="15.6" x14ac:dyDescent="0.3">
      <c r="A26" s="211" t="s">
        <v>69</v>
      </c>
      <c r="B26" s="212"/>
      <c r="C26" s="212"/>
      <c r="D26" s="212"/>
      <c r="E26" s="212"/>
      <c r="F26" s="212"/>
      <c r="G26" s="212"/>
      <c r="H26" s="212"/>
      <c r="I26" s="212"/>
      <c r="J26" s="212"/>
      <c r="K26" s="212"/>
      <c r="L26" s="237" t="s">
        <v>32</v>
      </c>
      <c r="M26" s="33"/>
    </row>
    <row r="27" spans="1:14" ht="15.6" x14ac:dyDescent="0.3">
      <c r="A27" s="238" t="s">
        <v>69</v>
      </c>
      <c r="B27" s="239"/>
      <c r="C27" s="239"/>
      <c r="D27" s="239"/>
      <c r="E27" s="239"/>
      <c r="F27" s="239"/>
      <c r="G27" s="239"/>
      <c r="H27" s="239"/>
      <c r="I27" s="239"/>
      <c r="J27" s="239"/>
      <c r="K27" s="239"/>
      <c r="L27" s="240" t="s">
        <v>32</v>
      </c>
      <c r="M27" s="33"/>
    </row>
    <row r="28" spans="1:14" ht="15.6" x14ac:dyDescent="0.3">
      <c r="A28" s="34" t="s">
        <v>340</v>
      </c>
      <c r="B28" s="200"/>
      <c r="C28" s="200"/>
      <c r="D28" s="200"/>
      <c r="E28" s="241"/>
      <c r="F28" s="241"/>
      <c r="G28" s="241"/>
      <c r="H28" s="241"/>
      <c r="I28" s="241"/>
      <c r="J28" s="241"/>
      <c r="K28" s="241"/>
      <c r="L28" s="212"/>
      <c r="M28" s="33"/>
    </row>
    <row r="29" spans="1:14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4" ht="15" x14ac:dyDescent="0.25">
      <c r="A30" s="12"/>
    </row>
  </sheetData>
  <phoneticPr fontId="0" type="noConversion"/>
  <printOptions horizontalCentered="1" gridLines="1"/>
  <pageMargins left="0.5" right="0.25" top="1" bottom="1" header="0.5" footer="0.5"/>
  <pageSetup scale="9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7" workbookViewId="0">
      <selection activeCell="A29" sqref="A29:XFD29"/>
    </sheetView>
  </sheetViews>
  <sheetFormatPr defaultRowHeight="13.2" x14ac:dyDescent="0.25"/>
  <cols>
    <col min="1" max="1" width="37.109375" customWidth="1"/>
    <col min="2" max="3" width="4.5546875" bestFit="1" customWidth="1"/>
    <col min="13" max="13" width="30.5546875" bestFit="1" customWidth="1"/>
  </cols>
  <sheetData>
    <row r="1" spans="1:42" ht="15.6" x14ac:dyDescent="0.3">
      <c r="A1" s="32" t="s">
        <v>117</v>
      </c>
      <c r="B1" s="32"/>
      <c r="C1" s="32"/>
      <c r="D1" s="32"/>
      <c r="E1" s="32"/>
      <c r="F1" s="32"/>
      <c r="G1" s="32" t="s">
        <v>191</v>
      </c>
      <c r="H1" s="35" t="str">
        <f>Issue</f>
        <v>2025/26 Show Season (final)</v>
      </c>
      <c r="I1" s="31"/>
      <c r="J1" s="31"/>
      <c r="K1" s="31"/>
      <c r="L1" s="33"/>
    </row>
    <row r="2" spans="1:42" ht="15.6" x14ac:dyDescent="0.3">
      <c r="A2" s="40" t="s">
        <v>118</v>
      </c>
      <c r="B2" s="40"/>
      <c r="C2" s="40"/>
      <c r="D2" s="32"/>
      <c r="E2" s="31"/>
      <c r="F2" s="31"/>
      <c r="G2" s="31"/>
      <c r="H2" s="31"/>
      <c r="I2" s="31"/>
      <c r="J2" s="31"/>
      <c r="K2" s="31"/>
      <c r="L2" s="3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7.399999999999999" x14ac:dyDescent="0.3">
      <c r="A3" s="39" t="s">
        <v>354</v>
      </c>
      <c r="B3" s="86"/>
      <c r="C3" s="86"/>
      <c r="D3" s="32"/>
      <c r="E3" s="33"/>
      <c r="F3" s="68" t="s">
        <v>127</v>
      </c>
      <c r="G3" s="31"/>
      <c r="H3" s="31"/>
      <c r="I3" s="31"/>
      <c r="J3" s="31"/>
      <c r="K3" s="31"/>
      <c r="L3" s="33"/>
      <c r="M3" s="12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</row>
    <row r="4" spans="1:42" ht="15.6" x14ac:dyDescent="0.3">
      <c r="A4" s="32"/>
      <c r="B4" s="32"/>
      <c r="C4" s="32"/>
      <c r="D4" s="31"/>
      <c r="E4" s="38"/>
      <c r="F4" s="37"/>
      <c r="G4" s="37"/>
      <c r="H4" s="31"/>
      <c r="I4" s="31"/>
      <c r="J4" s="31"/>
      <c r="K4" s="31"/>
      <c r="L4" s="33"/>
      <c r="M4" s="12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</row>
    <row r="5" spans="1:42" ht="15.6" x14ac:dyDescent="0.3">
      <c r="A5" s="32" t="str">
        <f>A3</f>
        <v>Sunday 01/18/2026</v>
      </c>
      <c r="B5" s="40" t="s">
        <v>92</v>
      </c>
      <c r="C5" s="40" t="s">
        <v>93</v>
      </c>
      <c r="D5" s="78" t="s">
        <v>94</v>
      </c>
      <c r="E5" s="78" t="s">
        <v>95</v>
      </c>
      <c r="F5" s="78" t="s">
        <v>96</v>
      </c>
      <c r="G5" s="78" t="s">
        <v>97</v>
      </c>
      <c r="H5" s="78" t="s">
        <v>98</v>
      </c>
      <c r="I5" s="78" t="s">
        <v>99</v>
      </c>
      <c r="J5" s="78" t="s">
        <v>100</v>
      </c>
      <c r="K5" s="78" t="s">
        <v>101</v>
      </c>
      <c r="L5" s="31"/>
      <c r="M5" s="12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</row>
    <row r="6" spans="1:42" ht="15" x14ac:dyDescent="0.25">
      <c r="A6" s="29" t="s">
        <v>173</v>
      </c>
      <c r="B6" s="90"/>
      <c r="C6" s="90"/>
      <c r="D6" s="159" t="s">
        <v>34</v>
      </c>
      <c r="E6" s="76"/>
      <c r="F6" s="25"/>
      <c r="G6" s="25"/>
      <c r="H6" s="25"/>
      <c r="I6" s="25"/>
      <c r="J6" s="25"/>
      <c r="K6" s="77"/>
      <c r="L6" s="77"/>
      <c r="M6" s="12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</row>
    <row r="7" spans="1:42" ht="15.6" x14ac:dyDescent="0.3">
      <c r="A7" s="197" t="s">
        <v>175</v>
      </c>
      <c r="B7" s="34"/>
      <c r="C7" s="34"/>
      <c r="D7" s="369" t="s">
        <v>83</v>
      </c>
      <c r="E7" s="210"/>
      <c r="F7" s="200"/>
      <c r="G7" s="200"/>
      <c r="H7" s="200"/>
      <c r="I7" s="200"/>
      <c r="J7" s="200"/>
      <c r="K7" s="201"/>
      <c r="L7" s="201"/>
      <c r="M7" s="12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2" ht="15.6" x14ac:dyDescent="0.3">
      <c r="A8" s="211" t="s">
        <v>177</v>
      </c>
      <c r="B8" s="243"/>
      <c r="C8" s="243"/>
      <c r="D8" s="212"/>
      <c r="E8" s="227" t="s">
        <v>18</v>
      </c>
      <c r="F8" s="213" t="s">
        <v>41</v>
      </c>
      <c r="G8" s="213" t="s">
        <v>41</v>
      </c>
      <c r="H8" s="227" t="s">
        <v>18</v>
      </c>
      <c r="I8" s="370" t="s">
        <v>83</v>
      </c>
      <c r="J8" s="215" t="s">
        <v>320</v>
      </c>
      <c r="K8" s="216"/>
      <c r="L8" s="216"/>
      <c r="M8" s="12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2" ht="15.6" x14ac:dyDescent="0.3">
      <c r="A9" s="211" t="s">
        <v>111</v>
      </c>
      <c r="B9" s="243"/>
      <c r="C9" s="243"/>
      <c r="D9" s="233" t="s">
        <v>7</v>
      </c>
      <c r="E9" s="213" t="s">
        <v>75</v>
      </c>
      <c r="F9" s="217" t="s">
        <v>34</v>
      </c>
      <c r="G9" s="217" t="s">
        <v>34</v>
      </c>
      <c r="H9" s="214" t="s">
        <v>12</v>
      </c>
      <c r="I9" s="215" t="s">
        <v>320</v>
      </c>
      <c r="J9" s="223" t="s">
        <v>338</v>
      </c>
      <c r="K9" s="216"/>
      <c r="L9" s="216"/>
      <c r="M9" s="12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</row>
    <row r="10" spans="1:42" ht="15.6" x14ac:dyDescent="0.3">
      <c r="A10" s="211" t="s">
        <v>165</v>
      </c>
      <c r="B10" s="243"/>
      <c r="C10" s="243"/>
      <c r="D10" s="234" t="s">
        <v>16</v>
      </c>
      <c r="E10" s="221" t="s">
        <v>37</v>
      </c>
      <c r="F10" s="370" t="s">
        <v>83</v>
      </c>
      <c r="G10" s="235" t="s">
        <v>20</v>
      </c>
      <c r="H10" s="215" t="s">
        <v>320</v>
      </c>
      <c r="I10" s="221" t="s">
        <v>37</v>
      </c>
      <c r="J10" s="370" t="s">
        <v>83</v>
      </c>
      <c r="K10" s="216"/>
      <c r="L10" s="216"/>
      <c r="M10" s="12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</row>
    <row r="11" spans="1:42" ht="15.6" x14ac:dyDescent="0.3">
      <c r="A11" s="211" t="s">
        <v>179</v>
      </c>
      <c r="B11" s="243"/>
      <c r="C11" s="243"/>
      <c r="D11" s="212"/>
      <c r="E11" s="226" t="s">
        <v>253</v>
      </c>
      <c r="F11" s="226" t="s">
        <v>253</v>
      </c>
      <c r="G11" s="214" t="s">
        <v>12</v>
      </c>
      <c r="H11" s="214" t="s">
        <v>12</v>
      </c>
      <c r="I11" s="223" t="s">
        <v>338</v>
      </c>
      <c r="J11" s="216"/>
      <c r="K11" s="216"/>
      <c r="L11" s="216"/>
      <c r="M11" s="12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</row>
    <row r="12" spans="1:42" ht="15.6" x14ac:dyDescent="0.3">
      <c r="A12" s="197" t="s">
        <v>179</v>
      </c>
      <c r="B12" s="34"/>
      <c r="C12" s="34"/>
      <c r="D12" s="200"/>
      <c r="E12" s="232" t="s">
        <v>320</v>
      </c>
      <c r="F12" s="232" t="s">
        <v>320</v>
      </c>
      <c r="G12" s="232" t="s">
        <v>320</v>
      </c>
      <c r="H12" s="232" t="s">
        <v>320</v>
      </c>
      <c r="I12" s="209" t="s">
        <v>75</v>
      </c>
      <c r="J12" s="201"/>
      <c r="K12" s="201"/>
      <c r="L12" s="201"/>
      <c r="M12" s="12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</row>
    <row r="13" spans="1:42" ht="15.6" x14ac:dyDescent="0.3">
      <c r="A13" s="197" t="s">
        <v>179</v>
      </c>
      <c r="B13" s="34"/>
      <c r="C13" s="34"/>
      <c r="D13" s="200"/>
      <c r="E13" s="200"/>
      <c r="F13" s="200"/>
      <c r="G13" s="223" t="s">
        <v>32</v>
      </c>
      <c r="H13" s="198" t="s">
        <v>32</v>
      </c>
      <c r="I13" s="200"/>
      <c r="J13" s="200"/>
      <c r="K13" s="201"/>
      <c r="L13" s="201"/>
      <c r="M13" s="12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</row>
    <row r="14" spans="1:42" ht="15.6" x14ac:dyDescent="0.3">
      <c r="A14" s="197" t="s">
        <v>179</v>
      </c>
      <c r="B14" s="34"/>
      <c r="C14" s="34"/>
      <c r="D14" s="200"/>
      <c r="E14" s="200"/>
      <c r="F14" s="200"/>
      <c r="G14" s="244" t="s">
        <v>20</v>
      </c>
      <c r="H14" s="369" t="s">
        <v>83</v>
      </c>
      <c r="I14" s="200"/>
      <c r="J14" s="200"/>
      <c r="K14" s="201"/>
      <c r="L14" s="201"/>
      <c r="M14" s="12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</row>
    <row r="15" spans="1:42" ht="15.6" x14ac:dyDescent="0.3">
      <c r="A15" s="211" t="s">
        <v>181</v>
      </c>
      <c r="B15" s="243"/>
      <c r="C15" s="243"/>
      <c r="D15" s="212"/>
      <c r="E15" s="223" t="s">
        <v>338</v>
      </c>
      <c r="F15" s="223" t="s">
        <v>338</v>
      </c>
      <c r="G15" s="223" t="s">
        <v>338</v>
      </c>
      <c r="H15" s="213" t="s">
        <v>41</v>
      </c>
      <c r="I15" s="213" t="s">
        <v>41</v>
      </c>
      <c r="J15" s="216"/>
      <c r="K15" s="216"/>
      <c r="L15" s="216"/>
    </row>
    <row r="16" spans="1:42" ht="15.6" x14ac:dyDescent="0.3">
      <c r="A16" s="197" t="s">
        <v>181</v>
      </c>
      <c r="B16" s="34"/>
      <c r="C16" s="34"/>
      <c r="D16" s="200"/>
      <c r="E16" s="225" t="s">
        <v>88</v>
      </c>
      <c r="F16" s="225" t="s">
        <v>88</v>
      </c>
      <c r="G16" s="209" t="s">
        <v>41</v>
      </c>
      <c r="H16" s="225" t="s">
        <v>88</v>
      </c>
      <c r="I16" s="229" t="s">
        <v>18</v>
      </c>
      <c r="J16" s="201"/>
      <c r="K16" s="201"/>
      <c r="L16" s="201"/>
      <c r="N16" s="15"/>
    </row>
    <row r="17" spans="1:12" ht="15.6" x14ac:dyDescent="0.3">
      <c r="A17" s="197" t="s">
        <v>181</v>
      </c>
      <c r="B17" s="34"/>
      <c r="C17" s="34"/>
      <c r="D17" s="200"/>
      <c r="E17" s="200"/>
      <c r="F17" s="200"/>
      <c r="G17" s="224" t="s">
        <v>34</v>
      </c>
      <c r="H17" s="224" t="s">
        <v>34</v>
      </c>
      <c r="I17" s="200"/>
      <c r="J17" s="200"/>
      <c r="K17" s="201"/>
      <c r="L17" s="201"/>
    </row>
    <row r="18" spans="1:12" ht="15.6" x14ac:dyDescent="0.3">
      <c r="A18" s="197" t="s">
        <v>181</v>
      </c>
      <c r="B18" s="34"/>
      <c r="C18" s="34"/>
      <c r="D18" s="200"/>
      <c r="E18" s="200"/>
      <c r="F18" s="200"/>
      <c r="G18" s="225" t="s">
        <v>88</v>
      </c>
      <c r="H18" s="220" t="s">
        <v>320</v>
      </c>
      <c r="I18" s="200"/>
      <c r="J18" s="200"/>
      <c r="K18" s="201"/>
      <c r="L18" s="201"/>
    </row>
    <row r="19" spans="1:12" ht="15.6" x14ac:dyDescent="0.3">
      <c r="A19" s="211" t="s">
        <v>167</v>
      </c>
      <c r="B19" s="243"/>
      <c r="C19" s="243"/>
      <c r="D19" s="212"/>
      <c r="E19" s="223" t="s">
        <v>32</v>
      </c>
      <c r="F19" s="223" t="s">
        <v>32</v>
      </c>
      <c r="G19" s="370" t="s">
        <v>83</v>
      </c>
      <c r="H19" s="219" t="s">
        <v>84</v>
      </c>
      <c r="I19" s="214" t="s">
        <v>12</v>
      </c>
      <c r="J19" s="214" t="s">
        <v>12</v>
      </c>
      <c r="K19" s="216"/>
      <c r="L19" s="216"/>
    </row>
    <row r="20" spans="1:12" ht="15.6" x14ac:dyDescent="0.3">
      <c r="A20" s="211" t="s">
        <v>292</v>
      </c>
      <c r="B20" s="243"/>
      <c r="C20" s="243"/>
      <c r="D20" s="212"/>
      <c r="E20" s="214" t="s">
        <v>12</v>
      </c>
      <c r="F20" s="214" t="s">
        <v>12</v>
      </c>
      <c r="G20" s="213" t="s">
        <v>75</v>
      </c>
      <c r="H20" s="223" t="s">
        <v>338</v>
      </c>
      <c r="I20" s="215" t="s">
        <v>320</v>
      </c>
      <c r="J20" s="216"/>
      <c r="K20" s="216"/>
      <c r="L20" s="216"/>
    </row>
    <row r="21" spans="1:12" ht="15.6" x14ac:dyDescent="0.3">
      <c r="A21" s="211" t="s">
        <v>170</v>
      </c>
      <c r="B21" s="243"/>
      <c r="C21" s="243"/>
      <c r="D21" s="212"/>
      <c r="E21" s="231" t="s">
        <v>7</v>
      </c>
      <c r="F21" s="234" t="s">
        <v>16</v>
      </c>
      <c r="G21" s="234" t="s">
        <v>16</v>
      </c>
      <c r="H21" s="213" t="s">
        <v>41</v>
      </c>
      <c r="I21" s="213" t="s">
        <v>41</v>
      </c>
      <c r="J21" s="223" t="s">
        <v>32</v>
      </c>
      <c r="K21" s="216"/>
      <c r="L21" s="216"/>
    </row>
    <row r="22" spans="1:12" ht="15.6" x14ac:dyDescent="0.3">
      <c r="A22" s="245" t="s">
        <v>341</v>
      </c>
      <c r="B22" s="243"/>
      <c r="C22" s="243"/>
      <c r="D22" s="212"/>
      <c r="E22" s="371"/>
      <c r="F22" s="371"/>
      <c r="G22" s="371"/>
      <c r="H22" s="371"/>
      <c r="I22" s="371"/>
      <c r="J22" s="371"/>
      <c r="K22" s="216"/>
      <c r="L22" s="216"/>
    </row>
    <row r="23" spans="1:12" ht="15.6" x14ac:dyDescent="0.3">
      <c r="A23" s="211" t="s">
        <v>169</v>
      </c>
      <c r="B23" s="243"/>
      <c r="C23" s="243"/>
      <c r="D23" s="223" t="s">
        <v>338</v>
      </c>
      <c r="E23" s="212"/>
      <c r="F23" s="212"/>
      <c r="G23" s="212"/>
      <c r="H23" s="212"/>
      <c r="I23" s="212"/>
      <c r="J23" s="212"/>
      <c r="K23" s="216"/>
      <c r="L23" s="216"/>
    </row>
    <row r="24" spans="1:12" ht="15.6" x14ac:dyDescent="0.3">
      <c r="A24" s="211" t="s">
        <v>182</v>
      </c>
      <c r="B24" s="243"/>
      <c r="C24" s="243"/>
      <c r="D24" s="212"/>
      <c r="E24" s="212"/>
      <c r="F24" s="212"/>
      <c r="G24" s="212"/>
      <c r="H24" s="212"/>
      <c r="I24" s="212"/>
      <c r="J24" s="212"/>
      <c r="K24" s="237" t="s">
        <v>338</v>
      </c>
      <c r="L24" s="237" t="s">
        <v>338</v>
      </c>
    </row>
    <row r="25" spans="1:12" ht="15.6" x14ac:dyDescent="0.3">
      <c r="A25" s="197" t="s">
        <v>182</v>
      </c>
      <c r="B25" s="34"/>
      <c r="C25" s="34"/>
      <c r="D25" s="200"/>
      <c r="E25" s="200"/>
      <c r="F25" s="200"/>
      <c r="G25" s="212"/>
      <c r="H25" s="212"/>
      <c r="I25" s="200"/>
      <c r="J25" s="200"/>
      <c r="K25" s="246" t="s">
        <v>20</v>
      </c>
      <c r="L25" s="246" t="s">
        <v>20</v>
      </c>
    </row>
    <row r="26" spans="1:12" ht="15.6" x14ac:dyDescent="0.3">
      <c r="A26" s="197" t="s">
        <v>182</v>
      </c>
      <c r="B26" s="34"/>
      <c r="C26" s="34"/>
      <c r="D26" s="210"/>
      <c r="E26" s="210"/>
      <c r="F26" s="210"/>
      <c r="G26" s="210"/>
      <c r="H26" s="210"/>
      <c r="I26" s="210"/>
      <c r="J26" s="210"/>
      <c r="K26" s="246" t="s">
        <v>20</v>
      </c>
      <c r="L26" s="246" t="s">
        <v>20</v>
      </c>
    </row>
    <row r="27" spans="1:12" ht="15.6" x14ac:dyDescent="0.3">
      <c r="A27" s="197" t="s">
        <v>182</v>
      </c>
      <c r="B27" s="34"/>
      <c r="C27" s="34"/>
      <c r="D27" s="210"/>
      <c r="E27" s="210"/>
      <c r="F27" s="210"/>
      <c r="G27" s="210"/>
      <c r="H27" s="210"/>
      <c r="I27" s="210"/>
      <c r="J27" s="210"/>
    </row>
    <row r="28" spans="1:12" ht="15.6" x14ac:dyDescent="0.3">
      <c r="A28" s="197" t="s">
        <v>182</v>
      </c>
      <c r="B28" s="34"/>
      <c r="C28" s="34"/>
      <c r="D28" s="210"/>
      <c r="E28" s="210"/>
      <c r="F28" s="210"/>
      <c r="G28" s="210"/>
      <c r="H28" s="210"/>
      <c r="I28" s="210"/>
      <c r="J28" s="210"/>
    </row>
    <row r="29" spans="1:12" ht="15.6" x14ac:dyDescent="0.3">
      <c r="A29" s="238"/>
      <c r="B29" s="247"/>
      <c r="C29" s="247"/>
      <c r="D29" s="248"/>
      <c r="E29" s="248"/>
      <c r="F29" s="248"/>
      <c r="G29" s="248"/>
      <c r="H29" s="248"/>
      <c r="I29" s="248"/>
      <c r="J29" s="248"/>
      <c r="K29" s="373"/>
      <c r="L29" s="249"/>
    </row>
    <row r="30" spans="1:12" x14ac:dyDescent="0.25">
      <c r="A30" s="242"/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</row>
    <row r="31" spans="1:12" ht="15" x14ac:dyDescent="0.25">
      <c r="A31" s="12"/>
      <c r="B31" s="12"/>
      <c r="C31" s="12"/>
    </row>
    <row r="33" spans="12:12" ht="15" x14ac:dyDescent="0.25">
      <c r="L33" s="12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3.2" x14ac:dyDescent="0.25"/>
  <cols>
    <col min="1" max="1" width="31.44140625" customWidth="1"/>
    <col min="2" max="8" width="10" customWidth="1"/>
    <col min="9" max="9" width="12.33203125" bestFit="1" customWidth="1"/>
    <col min="10" max="13" width="10" customWidth="1"/>
  </cols>
  <sheetData>
    <row r="1" spans="1:26" x14ac:dyDescent="0.25">
      <c r="A1" s="13"/>
    </row>
    <row r="2" spans="1:26" ht="26.25" customHeight="1" x14ac:dyDescent="0.4">
      <c r="A2" s="154" t="s">
        <v>133</v>
      </c>
      <c r="B2" s="16"/>
      <c r="C2" s="162" t="s">
        <v>18</v>
      </c>
      <c r="D2" s="17"/>
    </row>
    <row r="3" spans="1:26" ht="20.25" customHeight="1" x14ac:dyDescent="0.3">
      <c r="A3" s="20" t="s">
        <v>112</v>
      </c>
      <c r="B3" s="381" t="str">
        <f>VLOOKUP(ClubSumSymbol,ClubList,2,FALSE)</f>
        <v>Trinity River Express</v>
      </c>
      <c r="C3" s="382"/>
      <c r="D3" s="382"/>
      <c r="E3" s="382"/>
      <c r="F3" s="382"/>
      <c r="G3" s="382"/>
    </row>
    <row r="4" spans="1:26" x14ac:dyDescent="0.25">
      <c r="A4" t="s">
        <v>206</v>
      </c>
      <c r="C4" s="2" t="str">
        <f>VLOOKUP(ClubSumSymbol,ClubList,7,FALSE)</f>
        <v>Terry Bork</v>
      </c>
    </row>
    <row r="5" spans="1:26" x14ac:dyDescent="0.25">
      <c r="A5" t="s">
        <v>207</v>
      </c>
      <c r="B5" s="45">
        <f>VLOOKUP(ClubSumSymbol,ClubList,8,FALSE)</f>
        <v>0</v>
      </c>
      <c r="C5" s="2"/>
    </row>
    <row r="6" spans="1:26" ht="15.6" x14ac:dyDescent="0.3">
      <c r="H6" s="47" t="s">
        <v>191</v>
      </c>
      <c r="I6" s="122" t="str">
        <f>Issue</f>
        <v>2025/26 Show Season (final)</v>
      </c>
    </row>
    <row r="7" spans="1:26" x14ac:dyDescent="0.25">
      <c r="B7" s="123" t="s">
        <v>299</v>
      </c>
      <c r="C7" s="123" t="s">
        <v>300</v>
      </c>
      <c r="D7" s="124" t="s">
        <v>141</v>
      </c>
      <c r="E7" s="124" t="s">
        <v>192</v>
      </c>
      <c r="F7" s="124" t="s">
        <v>103</v>
      </c>
    </row>
    <row r="8" spans="1:26" x14ac:dyDescent="0.25">
      <c r="A8" s="45" t="s">
        <v>140</v>
      </c>
      <c r="B8" s="125">
        <f>SUMIF(FALLPreshowTaskClubs,C2,FALLPreshowTaskHours)</f>
        <v>1</v>
      </c>
      <c r="C8" s="125">
        <f>COUNTIF(B11:Z26,"TREX")</f>
        <v>8</v>
      </c>
      <c r="D8" s="125">
        <f>SUMIF(DATPreshowTaskClubs,C2,DATPreshowTaskHours)</f>
        <v>1</v>
      </c>
      <c r="E8" s="125">
        <f>COUNTIF(B29:Z44,"TREX")</f>
        <v>7</v>
      </c>
      <c r="F8" s="125">
        <f>SUM(B8:E8)</f>
        <v>17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119"/>
      <c r="B11" s="119"/>
      <c r="C11" s="119"/>
      <c r="D11" s="119"/>
      <c r="E11" s="120" t="s">
        <v>297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</row>
    <row r="12" spans="1:26" x14ac:dyDescent="0.25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</row>
    <row r="13" spans="1:26" ht="13.8" thickBot="1" x14ac:dyDescent="0.3">
      <c r="A13" s="118" t="s">
        <v>298</v>
      </c>
      <c r="B13" s="118" t="s">
        <v>162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</row>
    <row r="14" spans="1:26" x14ac:dyDescent="0.25">
      <c r="A14" s="121" t="s">
        <v>278</v>
      </c>
      <c r="B14" s="121">
        <v>1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</row>
    <row r="15" spans="1:26" x14ac:dyDescent="0.25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</row>
    <row r="16" spans="1:26" ht="13.8" thickBot="1" x14ac:dyDescent="0.3">
      <c r="A16" s="118" t="s">
        <v>351</v>
      </c>
      <c r="B16" s="118" t="s">
        <v>92</v>
      </c>
      <c r="C16" s="118" t="s">
        <v>93</v>
      </c>
      <c r="D16" s="118" t="s">
        <v>94</v>
      </c>
      <c r="E16" s="118" t="s">
        <v>95</v>
      </c>
      <c r="F16" s="118" t="s">
        <v>96</v>
      </c>
      <c r="G16" s="118" t="s">
        <v>97</v>
      </c>
      <c r="H16" s="118" t="s">
        <v>98</v>
      </c>
      <c r="I16" s="118" t="s">
        <v>99</v>
      </c>
      <c r="J16" s="118" t="s">
        <v>100</v>
      </c>
      <c r="K16" s="118" t="s">
        <v>101</v>
      </c>
      <c r="L16" s="118" t="s">
        <v>110</v>
      </c>
      <c r="M16" s="118" t="s">
        <v>132</v>
      </c>
      <c r="N16" s="118" t="s">
        <v>321</v>
      </c>
      <c r="O16" s="118" t="s">
        <v>322</v>
      </c>
      <c r="P16" s="118" t="s">
        <v>323</v>
      </c>
      <c r="Q16" s="119"/>
      <c r="R16" s="119"/>
      <c r="S16" s="119"/>
      <c r="T16" s="119"/>
      <c r="U16" s="119"/>
      <c r="V16" s="119"/>
      <c r="W16" s="119"/>
      <c r="X16" s="119"/>
      <c r="Y16" s="119"/>
      <c r="Z16" s="119"/>
    </row>
    <row r="17" spans="1:26" x14ac:dyDescent="0.25">
      <c r="A17" s="121" t="s">
        <v>345</v>
      </c>
      <c r="B17" s="121" t="s">
        <v>329</v>
      </c>
      <c r="C17" s="121" t="s">
        <v>329</v>
      </c>
      <c r="D17" s="121" t="s">
        <v>329</v>
      </c>
      <c r="E17" s="121" t="s">
        <v>329</v>
      </c>
      <c r="F17" s="121" t="s">
        <v>329</v>
      </c>
      <c r="G17" s="121" t="s">
        <v>329</v>
      </c>
      <c r="H17" s="121" t="s">
        <v>329</v>
      </c>
      <c r="I17" s="121" t="s">
        <v>329</v>
      </c>
      <c r="J17" s="121" t="s">
        <v>329</v>
      </c>
      <c r="K17" s="121" t="s">
        <v>329</v>
      </c>
      <c r="L17" s="121" t="s">
        <v>329</v>
      </c>
      <c r="M17" s="362" t="s">
        <v>18</v>
      </c>
      <c r="N17" s="121" t="s">
        <v>329</v>
      </c>
      <c r="O17" s="121" t="s">
        <v>329</v>
      </c>
      <c r="P17" s="121" t="s">
        <v>329</v>
      </c>
      <c r="Q17" s="119"/>
      <c r="R17" s="119"/>
      <c r="S17" s="119"/>
      <c r="T17" s="119"/>
      <c r="U17" s="119"/>
      <c r="V17" s="119"/>
      <c r="W17" s="119"/>
      <c r="X17" s="119"/>
      <c r="Y17" s="119"/>
      <c r="Z17" s="119"/>
    </row>
    <row r="18" spans="1:26" x14ac:dyDescent="0.25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</row>
    <row r="19" spans="1:26" ht="13.8" thickBot="1" x14ac:dyDescent="0.3">
      <c r="A19" s="118" t="s">
        <v>350</v>
      </c>
      <c r="B19" s="118" t="s">
        <v>92</v>
      </c>
      <c r="C19" s="118" t="s">
        <v>93</v>
      </c>
      <c r="D19" s="118" t="s">
        <v>94</v>
      </c>
      <c r="E19" s="118" t="s">
        <v>95</v>
      </c>
      <c r="F19" s="118" t="s">
        <v>96</v>
      </c>
      <c r="G19" s="118" t="s">
        <v>97</v>
      </c>
      <c r="H19" s="118" t="s">
        <v>98</v>
      </c>
      <c r="I19" s="118" t="s">
        <v>99</v>
      </c>
      <c r="J19" s="118" t="s">
        <v>100</v>
      </c>
      <c r="K19" s="118" t="s">
        <v>101</v>
      </c>
      <c r="L19" s="118" t="s">
        <v>110</v>
      </c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</row>
    <row r="20" spans="1:26" x14ac:dyDescent="0.25">
      <c r="A20" s="121" t="s">
        <v>221</v>
      </c>
      <c r="B20" s="121" t="s">
        <v>329</v>
      </c>
      <c r="C20" s="121" t="s">
        <v>329</v>
      </c>
      <c r="D20" s="121" t="s">
        <v>329</v>
      </c>
      <c r="E20" s="362" t="s">
        <v>18</v>
      </c>
      <c r="F20" s="362" t="s">
        <v>18</v>
      </c>
      <c r="G20" s="121" t="s">
        <v>329</v>
      </c>
      <c r="H20" s="121" t="s">
        <v>329</v>
      </c>
      <c r="I20" s="121" t="s">
        <v>329</v>
      </c>
      <c r="J20" s="362" t="s">
        <v>18</v>
      </c>
      <c r="K20" s="121" t="s">
        <v>329</v>
      </c>
      <c r="L20" s="121" t="s">
        <v>329</v>
      </c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</row>
    <row r="21" spans="1:26" x14ac:dyDescent="0.25">
      <c r="A21" s="161" t="s">
        <v>222</v>
      </c>
      <c r="B21" s="161" t="s">
        <v>329</v>
      </c>
      <c r="C21" s="161" t="s">
        <v>329</v>
      </c>
      <c r="D21" s="161" t="s">
        <v>329</v>
      </c>
      <c r="E21" s="161" t="s">
        <v>329</v>
      </c>
      <c r="F21" s="161" t="s">
        <v>329</v>
      </c>
      <c r="G21" s="161" t="s">
        <v>329</v>
      </c>
      <c r="H21" s="363" t="s">
        <v>18</v>
      </c>
      <c r="I21" s="161" t="s">
        <v>329</v>
      </c>
      <c r="J21" s="161" t="s">
        <v>329</v>
      </c>
      <c r="K21" s="161" t="s">
        <v>329</v>
      </c>
      <c r="L21" s="161" t="s">
        <v>329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</row>
    <row r="22" spans="1:26" x14ac:dyDescent="0.25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</row>
    <row r="23" spans="1:26" ht="13.8" thickBot="1" x14ac:dyDescent="0.3">
      <c r="A23" s="118" t="s">
        <v>349</v>
      </c>
      <c r="B23" s="118" t="s">
        <v>92</v>
      </c>
      <c r="C23" s="118" t="s">
        <v>93</v>
      </c>
      <c r="D23" s="118" t="s">
        <v>94</v>
      </c>
      <c r="E23" s="118" t="s">
        <v>95</v>
      </c>
      <c r="F23" s="118" t="s">
        <v>96</v>
      </c>
      <c r="G23" s="118" t="s">
        <v>97</v>
      </c>
      <c r="H23" s="118" t="s">
        <v>98</v>
      </c>
      <c r="I23" s="118" t="s">
        <v>99</v>
      </c>
      <c r="J23" s="118" t="s">
        <v>100</v>
      </c>
      <c r="K23" s="118" t="s">
        <v>101</v>
      </c>
      <c r="L23" s="118" t="s">
        <v>110</v>
      </c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</row>
    <row r="24" spans="1:26" x14ac:dyDescent="0.25">
      <c r="A24" s="121" t="s">
        <v>229</v>
      </c>
      <c r="B24" s="121" t="s">
        <v>329</v>
      </c>
      <c r="C24" s="121" t="s">
        <v>329</v>
      </c>
      <c r="D24" s="121" t="s">
        <v>329</v>
      </c>
      <c r="E24" s="121" t="s">
        <v>329</v>
      </c>
      <c r="F24" s="121" t="s">
        <v>329</v>
      </c>
      <c r="G24" s="362" t="s">
        <v>18</v>
      </c>
      <c r="H24" s="362" t="s">
        <v>18</v>
      </c>
      <c r="I24" s="121" t="s">
        <v>329</v>
      </c>
      <c r="J24" s="121" t="s">
        <v>329</v>
      </c>
      <c r="K24" s="121" t="s">
        <v>329</v>
      </c>
      <c r="L24" s="121" t="s">
        <v>329</v>
      </c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</row>
    <row r="25" spans="1:26" x14ac:dyDescent="0.25">
      <c r="A25" s="161" t="s">
        <v>165</v>
      </c>
      <c r="B25" s="161" t="s">
        <v>329</v>
      </c>
      <c r="C25" s="161" t="s">
        <v>329</v>
      </c>
      <c r="D25" s="161" t="s">
        <v>329</v>
      </c>
      <c r="E25" s="161" t="s">
        <v>329</v>
      </c>
      <c r="F25" s="161" t="s">
        <v>329</v>
      </c>
      <c r="G25" s="363" t="s">
        <v>18</v>
      </c>
      <c r="H25" s="161" t="s">
        <v>329</v>
      </c>
      <c r="I25" s="161" t="s">
        <v>329</v>
      </c>
      <c r="J25" s="161" t="s">
        <v>329</v>
      </c>
      <c r="K25" s="161" t="s">
        <v>329</v>
      </c>
      <c r="L25" s="161" t="s">
        <v>329</v>
      </c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</row>
    <row r="26" spans="1:26" x14ac:dyDescent="0.25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</row>
    <row r="27" spans="1:26" x14ac:dyDescent="0.25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</row>
    <row r="28" spans="1:26" x14ac:dyDescent="0.25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</row>
    <row r="29" spans="1:26" x14ac:dyDescent="0.25">
      <c r="A29" s="119"/>
      <c r="B29" s="119"/>
      <c r="C29" s="119"/>
      <c r="D29" s="119"/>
      <c r="E29" s="120" t="s">
        <v>344</v>
      </c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</row>
    <row r="30" spans="1:26" x14ac:dyDescent="0.25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</row>
    <row r="31" spans="1:26" ht="13.8" thickBot="1" x14ac:dyDescent="0.3">
      <c r="A31" s="118" t="s">
        <v>298</v>
      </c>
      <c r="B31" s="118" t="s">
        <v>162</v>
      </c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</row>
    <row r="32" spans="1:26" x14ac:dyDescent="0.25">
      <c r="A32" s="121" t="s">
        <v>278</v>
      </c>
      <c r="B32" s="121">
        <v>1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</row>
    <row r="33" spans="1:26" x14ac:dyDescent="0.25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</row>
    <row r="34" spans="1:26" ht="13.8" thickBot="1" x14ac:dyDescent="0.3">
      <c r="A34" s="118" t="s">
        <v>352</v>
      </c>
      <c r="B34" s="118" t="s">
        <v>92</v>
      </c>
      <c r="C34" s="118" t="s">
        <v>93</v>
      </c>
      <c r="D34" s="118" t="s">
        <v>94</v>
      </c>
      <c r="E34" s="118" t="s">
        <v>95</v>
      </c>
      <c r="F34" s="118" t="s">
        <v>96</v>
      </c>
      <c r="G34" s="118" t="s">
        <v>97</v>
      </c>
      <c r="H34" s="118" t="s">
        <v>98</v>
      </c>
      <c r="I34" s="118" t="s">
        <v>99</v>
      </c>
      <c r="J34" s="118" t="s">
        <v>100</v>
      </c>
      <c r="K34" s="118" t="s">
        <v>101</v>
      </c>
      <c r="L34" s="118" t="s">
        <v>110</v>
      </c>
      <c r="M34" s="118" t="s">
        <v>132</v>
      </c>
      <c r="N34" s="118" t="s">
        <v>321</v>
      </c>
      <c r="O34" s="118" t="s">
        <v>322</v>
      </c>
      <c r="P34" s="118" t="s">
        <v>323</v>
      </c>
      <c r="Q34" s="119"/>
      <c r="R34" s="119"/>
      <c r="S34" s="119"/>
      <c r="T34" s="119"/>
      <c r="U34" s="119"/>
      <c r="V34" s="119"/>
      <c r="W34" s="119"/>
      <c r="X34" s="119"/>
      <c r="Y34" s="119"/>
      <c r="Z34" s="119"/>
    </row>
    <row r="35" spans="1:26" x14ac:dyDescent="0.25">
      <c r="A35" s="121" t="s">
        <v>345</v>
      </c>
      <c r="B35" s="121" t="s">
        <v>329</v>
      </c>
      <c r="C35" s="121" t="s">
        <v>329</v>
      </c>
      <c r="D35" s="121" t="s">
        <v>329</v>
      </c>
      <c r="E35" s="121" t="s">
        <v>329</v>
      </c>
      <c r="F35" s="121" t="s">
        <v>329</v>
      </c>
      <c r="G35" s="121" t="s">
        <v>329</v>
      </c>
      <c r="H35" s="121" t="s">
        <v>329</v>
      </c>
      <c r="I35" s="121" t="s">
        <v>329</v>
      </c>
      <c r="J35" s="121" t="s">
        <v>329</v>
      </c>
      <c r="K35" s="121" t="s">
        <v>329</v>
      </c>
      <c r="L35" s="362" t="s">
        <v>18</v>
      </c>
      <c r="M35" s="121" t="s">
        <v>329</v>
      </c>
      <c r="N35" s="121" t="s">
        <v>329</v>
      </c>
      <c r="O35" s="121" t="s">
        <v>329</v>
      </c>
      <c r="P35" s="121" t="s">
        <v>329</v>
      </c>
      <c r="Q35" s="119"/>
      <c r="R35" s="119"/>
      <c r="S35" s="119"/>
      <c r="T35" s="119"/>
      <c r="U35" s="119"/>
      <c r="V35" s="119"/>
      <c r="W35" s="119"/>
      <c r="X35" s="119"/>
      <c r="Y35" s="119"/>
      <c r="Z35" s="119"/>
    </row>
    <row r="36" spans="1:26" x14ac:dyDescent="0.25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</row>
    <row r="37" spans="1:26" ht="13.8" thickBot="1" x14ac:dyDescent="0.3">
      <c r="A37" s="118" t="s">
        <v>353</v>
      </c>
      <c r="B37" s="118" t="s">
        <v>92</v>
      </c>
      <c r="C37" s="118" t="s">
        <v>93</v>
      </c>
      <c r="D37" s="118" t="s">
        <v>94</v>
      </c>
      <c r="E37" s="118" t="s">
        <v>95</v>
      </c>
      <c r="F37" s="118" t="s">
        <v>96</v>
      </c>
      <c r="G37" s="118" t="s">
        <v>97</v>
      </c>
      <c r="H37" s="118" t="s">
        <v>98</v>
      </c>
      <c r="I37" s="118" t="s">
        <v>99</v>
      </c>
      <c r="J37" s="118" t="s">
        <v>100</v>
      </c>
      <c r="K37" s="118" t="s">
        <v>101</v>
      </c>
      <c r="L37" s="118" t="s">
        <v>110</v>
      </c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</row>
    <row r="38" spans="1:26" x14ac:dyDescent="0.25">
      <c r="A38" s="121" t="s">
        <v>180</v>
      </c>
      <c r="B38" s="121" t="s">
        <v>329</v>
      </c>
      <c r="C38" s="121" t="s">
        <v>329</v>
      </c>
      <c r="D38" s="121" t="s">
        <v>329</v>
      </c>
      <c r="E38" s="121" t="s">
        <v>329</v>
      </c>
      <c r="F38" s="121" t="s">
        <v>329</v>
      </c>
      <c r="G38" s="121" t="s">
        <v>329</v>
      </c>
      <c r="H38" s="362" t="s">
        <v>18</v>
      </c>
      <c r="I38" s="121" t="s">
        <v>329</v>
      </c>
      <c r="J38" s="121" t="s">
        <v>329</v>
      </c>
      <c r="K38" s="121" t="s">
        <v>329</v>
      </c>
      <c r="L38" s="121" t="s">
        <v>329</v>
      </c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</row>
    <row r="39" spans="1:26" x14ac:dyDescent="0.25">
      <c r="A39" s="161" t="s">
        <v>180</v>
      </c>
      <c r="B39" s="161" t="s">
        <v>329</v>
      </c>
      <c r="C39" s="161" t="s">
        <v>329</v>
      </c>
      <c r="D39" s="161" t="s">
        <v>329</v>
      </c>
      <c r="E39" s="161" t="s">
        <v>329</v>
      </c>
      <c r="F39" s="161" t="s">
        <v>329</v>
      </c>
      <c r="G39" s="161" t="s">
        <v>329</v>
      </c>
      <c r="H39" s="161" t="s">
        <v>329</v>
      </c>
      <c r="I39" s="161" t="s">
        <v>329</v>
      </c>
      <c r="J39" s="363" t="s">
        <v>18</v>
      </c>
      <c r="K39" s="363" t="s">
        <v>18</v>
      </c>
      <c r="L39" s="161" t="s">
        <v>329</v>
      </c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</row>
    <row r="40" spans="1:26" x14ac:dyDescent="0.25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</row>
    <row r="41" spans="1:26" ht="13.8" thickBot="1" x14ac:dyDescent="0.3">
      <c r="A41" s="118" t="s">
        <v>354</v>
      </c>
      <c r="B41" s="118" t="s">
        <v>92</v>
      </c>
      <c r="C41" s="118" t="s">
        <v>93</v>
      </c>
      <c r="D41" s="118" t="s">
        <v>94</v>
      </c>
      <c r="E41" s="118" t="s">
        <v>95</v>
      </c>
      <c r="F41" s="118" t="s">
        <v>96</v>
      </c>
      <c r="G41" s="118" t="s">
        <v>97</v>
      </c>
      <c r="H41" s="118" t="s">
        <v>98</v>
      </c>
      <c r="I41" s="118" t="s">
        <v>99</v>
      </c>
      <c r="J41" s="118" t="s">
        <v>100</v>
      </c>
      <c r="K41" s="118" t="s">
        <v>101</v>
      </c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</row>
    <row r="42" spans="1:26" x14ac:dyDescent="0.25">
      <c r="A42" s="121" t="s">
        <v>177</v>
      </c>
      <c r="B42" s="121" t="s">
        <v>329</v>
      </c>
      <c r="C42" s="121" t="s">
        <v>329</v>
      </c>
      <c r="D42" s="121" t="s">
        <v>329</v>
      </c>
      <c r="E42" s="362" t="s">
        <v>18</v>
      </c>
      <c r="F42" s="121" t="s">
        <v>329</v>
      </c>
      <c r="G42" s="121" t="s">
        <v>329</v>
      </c>
      <c r="H42" s="362" t="s">
        <v>18</v>
      </c>
      <c r="I42" s="121" t="s">
        <v>329</v>
      </c>
      <c r="J42" s="121" t="s">
        <v>329</v>
      </c>
      <c r="K42" s="121" t="s">
        <v>329</v>
      </c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</row>
    <row r="43" spans="1:26" x14ac:dyDescent="0.25">
      <c r="A43" s="161" t="s">
        <v>181</v>
      </c>
      <c r="B43" s="161" t="s">
        <v>329</v>
      </c>
      <c r="C43" s="161" t="s">
        <v>329</v>
      </c>
      <c r="D43" s="161" t="s">
        <v>329</v>
      </c>
      <c r="E43" s="161" t="s">
        <v>329</v>
      </c>
      <c r="F43" s="161" t="s">
        <v>329</v>
      </c>
      <c r="G43" s="161" t="s">
        <v>329</v>
      </c>
      <c r="H43" s="161" t="s">
        <v>329</v>
      </c>
      <c r="I43" s="363" t="s">
        <v>18</v>
      </c>
      <c r="J43" s="161" t="s">
        <v>329</v>
      </c>
      <c r="K43" s="161" t="s">
        <v>329</v>
      </c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26" x14ac:dyDescent="0.25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26" x14ac:dyDescent="0.25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26" x14ac:dyDescent="0.25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26" x14ac:dyDescent="0.25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26" x14ac:dyDescent="0.25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26" x14ac:dyDescent="0.25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</row>
    <row r="50" spans="1:26" x14ac:dyDescent="0.25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</row>
    <row r="51" spans="1:26" x14ac:dyDescent="0.25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</row>
    <row r="52" spans="1:26" x14ac:dyDescent="0.25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</row>
    <row r="53" spans="1:26" x14ac:dyDescent="0.25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</row>
    <row r="54" spans="1:26" x14ac:dyDescent="0.25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</row>
    <row r="55" spans="1:26" x14ac:dyDescent="0.25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</row>
    <row r="56" spans="1:26" x14ac:dyDescent="0.25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</row>
    <row r="57" spans="1:26" x14ac:dyDescent="0.25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</row>
    <row r="58" spans="1:26" x14ac:dyDescent="0.25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</row>
    <row r="59" spans="1:26" x14ac:dyDescent="0.25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</row>
    <row r="60" spans="1:26" x14ac:dyDescent="0.25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</row>
    <row r="61" spans="1:26" x14ac:dyDescent="0.25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</row>
    <row r="62" spans="1:26" x14ac:dyDescent="0.25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</row>
    <row r="63" spans="1:26" x14ac:dyDescent="0.25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</row>
    <row r="64" spans="1:26" x14ac:dyDescent="0.25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</row>
    <row r="65" spans="1:26" x14ac:dyDescent="0.25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</row>
    <row r="66" spans="1:26" x14ac:dyDescent="0.25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</row>
    <row r="67" spans="1:26" x14ac:dyDescent="0.25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</row>
    <row r="68" spans="1:26" x14ac:dyDescent="0.25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</row>
    <row r="69" spans="1:26" x14ac:dyDescent="0.25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</row>
    <row r="70" spans="1:26" x14ac:dyDescent="0.25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</row>
    <row r="71" spans="1:26" x14ac:dyDescent="0.25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</row>
    <row r="72" spans="1:26" x14ac:dyDescent="0.25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</row>
    <row r="73" spans="1:26" x14ac:dyDescent="0.25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</row>
    <row r="74" spans="1:26" x14ac:dyDescent="0.25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</row>
    <row r="75" spans="1:26" x14ac:dyDescent="0.25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</row>
    <row r="76" spans="1:26" x14ac:dyDescent="0.25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</row>
    <row r="77" spans="1:26" x14ac:dyDescent="0.25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</row>
    <row r="78" spans="1:26" x14ac:dyDescent="0.25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</row>
    <row r="79" spans="1:26" x14ac:dyDescent="0.25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</row>
    <row r="80" spans="1:26" x14ac:dyDescent="0.25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</row>
    <row r="81" spans="1:26" x14ac:dyDescent="0.25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</row>
    <row r="82" spans="1:26" x14ac:dyDescent="0.25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</row>
    <row r="83" spans="1:26" x14ac:dyDescent="0.25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</row>
    <row r="84" spans="1:26" x14ac:dyDescent="0.25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</row>
    <row r="85" spans="1:26" x14ac:dyDescent="0.25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</row>
    <row r="86" spans="1:26" x14ac:dyDescent="0.25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</row>
    <row r="87" spans="1:26" x14ac:dyDescent="0.25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</row>
    <row r="88" spans="1:26" x14ac:dyDescent="0.25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</row>
    <row r="89" spans="1:26" x14ac:dyDescent="0.25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</row>
    <row r="90" spans="1:26" x14ac:dyDescent="0.25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</row>
    <row r="91" spans="1:26" x14ac:dyDescent="0.25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</row>
    <row r="92" spans="1:26" x14ac:dyDescent="0.25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</row>
    <row r="93" spans="1:26" x14ac:dyDescent="0.25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</row>
    <row r="94" spans="1:26" x14ac:dyDescent="0.25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</row>
    <row r="95" spans="1:26" x14ac:dyDescent="0.25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</row>
    <row r="96" spans="1:26" x14ac:dyDescent="0.25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</row>
    <row r="97" spans="1:26" x14ac:dyDescent="0.25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</row>
    <row r="98" spans="1:26" x14ac:dyDescent="0.25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</row>
    <row r="99" spans="1:26" x14ac:dyDescent="0.25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</row>
    <row r="100" spans="1:26" x14ac:dyDescent="0.25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</row>
    <row r="101" spans="1:26" x14ac:dyDescent="0.25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</row>
    <row r="102" spans="1:26" x14ac:dyDescent="0.25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  <c r="W102" s="119"/>
      <c r="X102" s="119"/>
      <c r="Y102" s="119"/>
      <c r="Z102" s="119"/>
    </row>
    <row r="103" spans="1:26" x14ac:dyDescent="0.25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119"/>
      <c r="Y103" s="119"/>
      <c r="Z103" s="119"/>
    </row>
    <row r="104" spans="1:26" x14ac:dyDescent="0.25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19"/>
    </row>
    <row r="105" spans="1:26" x14ac:dyDescent="0.25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19"/>
    </row>
    <row r="106" spans="1:26" x14ac:dyDescent="0.25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  <c r="W106" s="119"/>
      <c r="X106" s="119"/>
      <c r="Y106" s="119"/>
      <c r="Z106" s="119"/>
    </row>
    <row r="107" spans="1:26" x14ac:dyDescent="0.25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</row>
    <row r="108" spans="1:26" x14ac:dyDescent="0.25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19"/>
    </row>
    <row r="109" spans="1:26" x14ac:dyDescent="0.25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</row>
    <row r="110" spans="1:26" x14ac:dyDescent="0.25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19"/>
    </row>
    <row r="111" spans="1:26" x14ac:dyDescent="0.25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19"/>
    </row>
    <row r="112" spans="1:26" x14ac:dyDescent="0.25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</row>
    <row r="113" spans="1:26" x14ac:dyDescent="0.25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19"/>
    </row>
    <row r="114" spans="1:26" x14ac:dyDescent="0.25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19"/>
    </row>
    <row r="115" spans="1:26" x14ac:dyDescent="0.25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19"/>
    </row>
    <row r="116" spans="1:26" x14ac:dyDescent="0.25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19"/>
      <c r="Y116" s="119"/>
      <c r="Z116" s="119"/>
    </row>
    <row r="117" spans="1:26" x14ac:dyDescent="0.25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  <c r="W117" s="119"/>
      <c r="X117" s="119"/>
      <c r="Y117" s="119"/>
      <c r="Z117" s="119"/>
    </row>
    <row r="118" spans="1:26" x14ac:dyDescent="0.25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</row>
    <row r="119" spans="1:26" x14ac:dyDescent="0.25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</row>
    <row r="120" spans="1:26" x14ac:dyDescent="0.25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</row>
    <row r="121" spans="1:26" x14ac:dyDescent="0.25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</row>
    <row r="122" spans="1:26" x14ac:dyDescent="0.25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</row>
    <row r="123" spans="1:26" x14ac:dyDescent="0.25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</row>
    <row r="124" spans="1:26" x14ac:dyDescent="0.25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</row>
    <row r="125" spans="1:26" x14ac:dyDescent="0.25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</row>
    <row r="126" spans="1:26" x14ac:dyDescent="0.25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</row>
    <row r="127" spans="1:26" x14ac:dyDescent="0.25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</row>
    <row r="128" spans="1:26" x14ac:dyDescent="0.25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</row>
    <row r="129" spans="1:26" x14ac:dyDescent="0.25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</row>
    <row r="130" spans="1:26" x14ac:dyDescent="0.25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119"/>
      <c r="Y130" s="119"/>
      <c r="Z130" s="119"/>
    </row>
    <row r="131" spans="1:26" x14ac:dyDescent="0.25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  <c r="W131" s="119"/>
      <c r="X131" s="119"/>
      <c r="Y131" s="119"/>
      <c r="Z131" s="119"/>
    </row>
    <row r="132" spans="1:26" x14ac:dyDescent="0.25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19"/>
    </row>
    <row r="133" spans="1:26" x14ac:dyDescent="0.25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</row>
    <row r="134" spans="1:26" x14ac:dyDescent="0.25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119"/>
    </row>
    <row r="135" spans="1:26" x14ac:dyDescent="0.25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  <c r="W135" s="119"/>
      <c r="X135" s="119"/>
      <c r="Y135" s="119"/>
      <c r="Z135" s="119"/>
    </row>
    <row r="136" spans="1:26" x14ac:dyDescent="0.25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  <c r="W136" s="119"/>
      <c r="X136" s="119"/>
      <c r="Y136" s="119"/>
      <c r="Z136" s="119"/>
    </row>
    <row r="137" spans="1:26" x14ac:dyDescent="0.25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</row>
    <row r="138" spans="1:26" x14ac:dyDescent="0.25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</row>
    <row r="139" spans="1:26" x14ac:dyDescent="0.25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</row>
    <row r="140" spans="1:26" x14ac:dyDescent="0.25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  <c r="W140" s="119"/>
      <c r="X140" s="119"/>
      <c r="Y140" s="119"/>
      <c r="Z140" s="119"/>
    </row>
    <row r="141" spans="1:26" x14ac:dyDescent="0.25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  <c r="W141" s="119"/>
      <c r="X141" s="119"/>
      <c r="Y141" s="119"/>
      <c r="Z141" s="119"/>
    </row>
    <row r="142" spans="1:26" x14ac:dyDescent="0.25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</row>
    <row r="143" spans="1:26" x14ac:dyDescent="0.25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  <c r="W143" s="119"/>
      <c r="X143" s="119"/>
      <c r="Y143" s="119"/>
      <c r="Z143" s="119"/>
    </row>
    <row r="144" spans="1:26" x14ac:dyDescent="0.25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  <c r="W144" s="119"/>
      <c r="X144" s="119"/>
      <c r="Y144" s="119"/>
      <c r="Z144" s="119"/>
    </row>
    <row r="145" spans="1:26" x14ac:dyDescent="0.25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</row>
    <row r="146" spans="1:26" x14ac:dyDescent="0.25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</row>
    <row r="147" spans="1:26" x14ac:dyDescent="0.25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  <c r="W147" s="119"/>
      <c r="X147" s="119"/>
      <c r="Y147" s="119"/>
      <c r="Z147" s="119"/>
    </row>
    <row r="148" spans="1:26" x14ac:dyDescent="0.25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  <c r="W148" s="119"/>
      <c r="X148" s="119"/>
      <c r="Y148" s="119"/>
      <c r="Z148" s="119"/>
    </row>
    <row r="149" spans="1:26" x14ac:dyDescent="0.25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</row>
    <row r="150" spans="1:26" x14ac:dyDescent="0.25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</row>
    <row r="151" spans="1:26" x14ac:dyDescent="0.25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</row>
    <row r="152" spans="1:26" x14ac:dyDescent="0.25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</row>
    <row r="153" spans="1:26" x14ac:dyDescent="0.25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</row>
    <row r="154" spans="1:26" x14ac:dyDescent="0.25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</row>
    <row r="155" spans="1:26" x14ac:dyDescent="0.25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</row>
    <row r="156" spans="1:26" x14ac:dyDescent="0.25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</row>
    <row r="157" spans="1:26" x14ac:dyDescent="0.25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</row>
    <row r="158" spans="1:26" x14ac:dyDescent="0.25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</row>
    <row r="159" spans="1:26" x14ac:dyDescent="0.25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</row>
    <row r="160" spans="1:26" x14ac:dyDescent="0.25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</row>
    <row r="161" spans="1:26" x14ac:dyDescent="0.25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</row>
    <row r="162" spans="1:26" x14ac:dyDescent="0.25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</row>
    <row r="163" spans="1:26" x14ac:dyDescent="0.25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</row>
    <row r="164" spans="1:26" x14ac:dyDescent="0.25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</row>
    <row r="165" spans="1:26" x14ac:dyDescent="0.25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</row>
    <row r="166" spans="1:26" x14ac:dyDescent="0.25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</row>
    <row r="167" spans="1:26" x14ac:dyDescent="0.25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</row>
    <row r="168" spans="1:26" x14ac:dyDescent="0.25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</row>
    <row r="169" spans="1:26" x14ac:dyDescent="0.25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</row>
    <row r="170" spans="1:26" x14ac:dyDescent="0.25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</row>
    <row r="171" spans="1:26" x14ac:dyDescent="0.25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</row>
    <row r="172" spans="1:26" x14ac:dyDescent="0.25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</row>
    <row r="173" spans="1:26" x14ac:dyDescent="0.25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</row>
    <row r="174" spans="1:26" x14ac:dyDescent="0.25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</row>
    <row r="175" spans="1:26" x14ac:dyDescent="0.25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</row>
    <row r="176" spans="1:26" x14ac:dyDescent="0.25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</row>
    <row r="177" spans="1:26" x14ac:dyDescent="0.25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</row>
    <row r="178" spans="1:26" x14ac:dyDescent="0.25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</row>
    <row r="179" spans="1:26" x14ac:dyDescent="0.25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</row>
    <row r="180" spans="1:26" x14ac:dyDescent="0.25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</row>
    <row r="181" spans="1:26" x14ac:dyDescent="0.25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</row>
    <row r="182" spans="1:26" x14ac:dyDescent="0.25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</row>
    <row r="183" spans="1:26" x14ac:dyDescent="0.25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</row>
    <row r="184" spans="1:26" x14ac:dyDescent="0.25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  <c r="W184" s="119"/>
      <c r="X184" s="119"/>
      <c r="Y184" s="119"/>
      <c r="Z184" s="119"/>
    </row>
    <row r="185" spans="1:26" x14ac:dyDescent="0.25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  <c r="W185" s="119"/>
      <c r="X185" s="119"/>
      <c r="Y185" s="119"/>
      <c r="Z185" s="119"/>
    </row>
    <row r="186" spans="1:26" x14ac:dyDescent="0.25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  <c r="W186" s="119"/>
      <c r="X186" s="119"/>
      <c r="Y186" s="119"/>
      <c r="Z186" s="119"/>
    </row>
    <row r="187" spans="1:26" x14ac:dyDescent="0.25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  <c r="W187" s="119"/>
      <c r="X187" s="119"/>
      <c r="Y187" s="119"/>
      <c r="Z187" s="119"/>
    </row>
    <row r="188" spans="1:26" x14ac:dyDescent="0.25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  <c r="W188" s="119"/>
      <c r="X188" s="119"/>
      <c r="Y188" s="119"/>
      <c r="Z188" s="119"/>
    </row>
    <row r="189" spans="1:26" x14ac:dyDescent="0.25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  <c r="W189" s="119"/>
      <c r="X189" s="119"/>
      <c r="Y189" s="119"/>
      <c r="Z189" s="119"/>
    </row>
    <row r="190" spans="1:26" x14ac:dyDescent="0.25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  <c r="W190" s="119"/>
      <c r="X190" s="119"/>
      <c r="Y190" s="119"/>
      <c r="Z190" s="119"/>
    </row>
    <row r="191" spans="1:26" x14ac:dyDescent="0.25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  <c r="W191" s="119"/>
      <c r="X191" s="119"/>
      <c r="Y191" s="119"/>
      <c r="Z191" s="119"/>
    </row>
    <row r="192" spans="1:26" x14ac:dyDescent="0.25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  <c r="W192" s="119"/>
      <c r="X192" s="119"/>
      <c r="Y192" s="119"/>
      <c r="Z192" s="119"/>
    </row>
    <row r="193" spans="1:26" x14ac:dyDescent="0.25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  <c r="W193" s="119"/>
      <c r="X193" s="119"/>
      <c r="Y193" s="119"/>
      <c r="Z193" s="119"/>
    </row>
    <row r="194" spans="1:26" x14ac:dyDescent="0.25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  <c r="W194" s="119"/>
      <c r="X194" s="119"/>
      <c r="Y194" s="119"/>
      <c r="Z194" s="119"/>
    </row>
    <row r="195" spans="1:26" x14ac:dyDescent="0.25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  <c r="W195" s="119"/>
      <c r="X195" s="119"/>
      <c r="Y195" s="119"/>
      <c r="Z195" s="119"/>
    </row>
    <row r="196" spans="1:26" x14ac:dyDescent="0.25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  <c r="W196" s="119"/>
      <c r="X196" s="119"/>
      <c r="Y196" s="119"/>
      <c r="Z196" s="119"/>
    </row>
    <row r="197" spans="1:26" x14ac:dyDescent="0.25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  <c r="W197" s="119"/>
      <c r="X197" s="119"/>
      <c r="Y197" s="119"/>
      <c r="Z197" s="119"/>
    </row>
    <row r="198" spans="1:26" x14ac:dyDescent="0.25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  <c r="W198" s="119"/>
      <c r="X198" s="119"/>
      <c r="Y198" s="119"/>
      <c r="Z198" s="119"/>
    </row>
    <row r="199" spans="1:26" x14ac:dyDescent="0.25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  <c r="W199" s="119"/>
      <c r="X199" s="119"/>
      <c r="Y199" s="119"/>
      <c r="Z199" s="119"/>
    </row>
    <row r="200" spans="1:26" x14ac:dyDescent="0.25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  <c r="W200" s="119"/>
      <c r="X200" s="119"/>
      <c r="Y200" s="119"/>
      <c r="Z200" s="119"/>
    </row>
    <row r="201" spans="1:26" x14ac:dyDescent="0.25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  <c r="W201" s="119"/>
      <c r="X201" s="119"/>
      <c r="Y201" s="119"/>
      <c r="Z201" s="119"/>
    </row>
    <row r="202" spans="1:26" x14ac:dyDescent="0.25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  <c r="W202" s="119"/>
      <c r="X202" s="119"/>
      <c r="Y202" s="119"/>
      <c r="Z202" s="119"/>
    </row>
    <row r="203" spans="1:26" x14ac:dyDescent="0.25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  <c r="W203" s="119"/>
      <c r="X203" s="119"/>
      <c r="Y203" s="119"/>
      <c r="Z203" s="119"/>
    </row>
    <row r="204" spans="1:26" x14ac:dyDescent="0.25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  <c r="W204" s="119"/>
      <c r="X204" s="119"/>
      <c r="Y204" s="119"/>
      <c r="Z204" s="119"/>
    </row>
    <row r="205" spans="1:26" x14ac:dyDescent="0.25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  <c r="W205" s="119"/>
      <c r="X205" s="119"/>
      <c r="Y205" s="119"/>
      <c r="Z205" s="119"/>
    </row>
    <row r="206" spans="1:26" x14ac:dyDescent="0.25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  <c r="W206" s="119"/>
      <c r="X206" s="119"/>
      <c r="Y206" s="119"/>
      <c r="Z206" s="119"/>
    </row>
    <row r="207" spans="1:26" x14ac:dyDescent="0.25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  <c r="W207" s="119"/>
      <c r="X207" s="119"/>
      <c r="Y207" s="119"/>
      <c r="Z207" s="119"/>
    </row>
    <row r="208" spans="1:26" x14ac:dyDescent="0.25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19"/>
      <c r="X208" s="119"/>
      <c r="Y208" s="119"/>
      <c r="Z208" s="119"/>
    </row>
    <row r="209" spans="1:26" x14ac:dyDescent="0.25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  <c r="W209" s="119"/>
      <c r="X209" s="119"/>
      <c r="Y209" s="119"/>
      <c r="Z209" s="119"/>
    </row>
    <row r="210" spans="1:26" x14ac:dyDescent="0.25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  <c r="W210" s="119"/>
      <c r="X210" s="119"/>
      <c r="Y210" s="119"/>
      <c r="Z210" s="119"/>
    </row>
    <row r="211" spans="1:26" x14ac:dyDescent="0.25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  <c r="W211" s="119"/>
      <c r="X211" s="119"/>
      <c r="Y211" s="119"/>
      <c r="Z211" s="119"/>
    </row>
    <row r="212" spans="1:26" x14ac:dyDescent="0.25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  <c r="W212" s="119"/>
      <c r="X212" s="119"/>
      <c r="Y212" s="119"/>
      <c r="Z212" s="119"/>
    </row>
    <row r="213" spans="1:26" x14ac:dyDescent="0.25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  <c r="W213" s="119"/>
      <c r="X213" s="119"/>
      <c r="Y213" s="119"/>
      <c r="Z213" s="119"/>
    </row>
    <row r="214" spans="1:26" x14ac:dyDescent="0.25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  <c r="W214" s="119"/>
      <c r="X214" s="119"/>
      <c r="Y214" s="119"/>
      <c r="Z214" s="119"/>
    </row>
    <row r="215" spans="1:26" x14ac:dyDescent="0.25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  <c r="W215" s="119"/>
      <c r="X215" s="119"/>
      <c r="Y215" s="119"/>
      <c r="Z215" s="119"/>
    </row>
    <row r="216" spans="1:26" x14ac:dyDescent="0.25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19"/>
      <c r="X216" s="119"/>
      <c r="Y216" s="119"/>
      <c r="Z216" s="119"/>
    </row>
    <row r="217" spans="1:26" x14ac:dyDescent="0.25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  <c r="W217" s="119"/>
      <c r="X217" s="119"/>
      <c r="Y217" s="119"/>
      <c r="Z217" s="119"/>
    </row>
    <row r="218" spans="1:26" x14ac:dyDescent="0.25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  <c r="W218" s="119"/>
      <c r="X218" s="119"/>
      <c r="Y218" s="119"/>
      <c r="Z218" s="119"/>
    </row>
    <row r="219" spans="1:26" x14ac:dyDescent="0.25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  <c r="W219" s="119"/>
      <c r="X219" s="119"/>
      <c r="Y219" s="119"/>
      <c r="Z219" s="119"/>
    </row>
    <row r="220" spans="1:26" x14ac:dyDescent="0.25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  <c r="W220" s="119"/>
      <c r="X220" s="119"/>
      <c r="Y220" s="119"/>
      <c r="Z220" s="119"/>
    </row>
    <row r="221" spans="1:26" x14ac:dyDescent="0.25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  <c r="W221" s="119"/>
      <c r="X221" s="119"/>
      <c r="Y221" s="119"/>
      <c r="Z221" s="119"/>
    </row>
    <row r="222" spans="1:26" x14ac:dyDescent="0.25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19"/>
      <c r="X222" s="119"/>
      <c r="Y222" s="119"/>
      <c r="Z222" s="119"/>
    </row>
    <row r="223" spans="1:26" x14ac:dyDescent="0.25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  <c r="W223" s="119"/>
      <c r="X223" s="119"/>
      <c r="Y223" s="119"/>
      <c r="Z223" s="119"/>
    </row>
    <row r="224" spans="1:26" x14ac:dyDescent="0.25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  <c r="W224" s="119"/>
      <c r="X224" s="119"/>
      <c r="Y224" s="119"/>
      <c r="Z224" s="119"/>
    </row>
    <row r="225" spans="1:26" x14ac:dyDescent="0.25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  <c r="W225" s="119"/>
      <c r="X225" s="119"/>
      <c r="Y225" s="119"/>
      <c r="Z225" s="119"/>
    </row>
    <row r="226" spans="1:26" x14ac:dyDescent="0.25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  <c r="W226" s="119"/>
      <c r="X226" s="119"/>
      <c r="Y226" s="119"/>
      <c r="Z226" s="119"/>
    </row>
    <row r="227" spans="1:26" x14ac:dyDescent="0.25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  <c r="W227" s="119"/>
      <c r="X227" s="119"/>
      <c r="Y227" s="119"/>
      <c r="Z227" s="119"/>
    </row>
    <row r="228" spans="1:26" x14ac:dyDescent="0.25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  <c r="W228" s="119"/>
      <c r="X228" s="119"/>
      <c r="Y228" s="119"/>
      <c r="Z228" s="119"/>
    </row>
    <row r="229" spans="1:26" x14ac:dyDescent="0.25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  <c r="W229" s="119"/>
      <c r="X229" s="119"/>
      <c r="Y229" s="119"/>
      <c r="Z229" s="119"/>
    </row>
    <row r="230" spans="1:26" x14ac:dyDescent="0.25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  <c r="W230" s="119"/>
      <c r="X230" s="119"/>
      <c r="Y230" s="119"/>
      <c r="Z230" s="119"/>
    </row>
    <row r="231" spans="1:26" x14ac:dyDescent="0.25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  <c r="W231" s="119"/>
      <c r="X231" s="119"/>
      <c r="Y231" s="119"/>
      <c r="Z231" s="119"/>
    </row>
    <row r="232" spans="1:26" x14ac:dyDescent="0.25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  <c r="W232" s="119"/>
      <c r="X232" s="119"/>
      <c r="Y232" s="119"/>
      <c r="Z232" s="119"/>
    </row>
    <row r="233" spans="1:26" x14ac:dyDescent="0.25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  <c r="W233" s="119"/>
      <c r="X233" s="119"/>
      <c r="Y233" s="119"/>
      <c r="Z233" s="119"/>
    </row>
    <row r="234" spans="1:26" x14ac:dyDescent="0.25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  <c r="W234" s="119"/>
      <c r="X234" s="119"/>
      <c r="Y234" s="119"/>
      <c r="Z234" s="119"/>
    </row>
    <row r="235" spans="1:26" x14ac:dyDescent="0.25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  <c r="W235" s="119"/>
      <c r="X235" s="119"/>
      <c r="Y235" s="119"/>
      <c r="Z235" s="119"/>
    </row>
    <row r="236" spans="1:26" x14ac:dyDescent="0.25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19"/>
      <c r="X236" s="119"/>
      <c r="Y236" s="119"/>
      <c r="Z236" s="119"/>
    </row>
    <row r="237" spans="1:26" x14ac:dyDescent="0.25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  <c r="W237" s="119"/>
      <c r="X237" s="119"/>
      <c r="Y237" s="119"/>
      <c r="Z237" s="119"/>
    </row>
    <row r="238" spans="1:26" x14ac:dyDescent="0.25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  <c r="W238" s="119"/>
      <c r="X238" s="119"/>
      <c r="Y238" s="119"/>
      <c r="Z238" s="119"/>
    </row>
    <row r="239" spans="1:26" x14ac:dyDescent="0.25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  <c r="W239" s="119"/>
      <c r="X239" s="119"/>
      <c r="Y239" s="119"/>
      <c r="Z239" s="119"/>
    </row>
    <row r="240" spans="1:26" x14ac:dyDescent="0.25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  <c r="W240" s="119"/>
      <c r="X240" s="119"/>
      <c r="Y240" s="119"/>
      <c r="Z240" s="119"/>
    </row>
    <row r="241" spans="1:26" x14ac:dyDescent="0.25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  <c r="W241" s="119"/>
      <c r="X241" s="119"/>
      <c r="Y241" s="119"/>
      <c r="Z241" s="119"/>
    </row>
    <row r="242" spans="1:26" x14ac:dyDescent="0.25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  <c r="W242" s="119"/>
      <c r="X242" s="119"/>
      <c r="Y242" s="119"/>
      <c r="Z242" s="119"/>
    </row>
    <row r="243" spans="1:26" x14ac:dyDescent="0.25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  <c r="W243" s="119"/>
      <c r="X243" s="119"/>
      <c r="Y243" s="119"/>
      <c r="Z243" s="119"/>
    </row>
    <row r="244" spans="1:26" x14ac:dyDescent="0.25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  <c r="W244" s="119"/>
      <c r="X244" s="119"/>
      <c r="Y244" s="119"/>
      <c r="Z244" s="119"/>
    </row>
    <row r="245" spans="1:26" x14ac:dyDescent="0.25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  <c r="W245" s="119"/>
      <c r="X245" s="119"/>
      <c r="Y245" s="119"/>
      <c r="Z245" s="119"/>
    </row>
    <row r="246" spans="1:26" x14ac:dyDescent="0.25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  <c r="W246" s="119"/>
      <c r="X246" s="119"/>
      <c r="Y246" s="119"/>
      <c r="Z246" s="119"/>
    </row>
    <row r="247" spans="1:26" x14ac:dyDescent="0.25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  <c r="W247" s="119"/>
      <c r="X247" s="119"/>
      <c r="Y247" s="119"/>
      <c r="Z247" s="119"/>
    </row>
    <row r="248" spans="1:26" x14ac:dyDescent="0.25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  <c r="W248" s="119"/>
      <c r="X248" s="119"/>
      <c r="Y248" s="119"/>
      <c r="Z248" s="119"/>
    </row>
    <row r="249" spans="1:26" x14ac:dyDescent="0.25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  <c r="W249" s="119"/>
      <c r="X249" s="119"/>
      <c r="Y249" s="119"/>
      <c r="Z249" s="119"/>
    </row>
    <row r="250" spans="1:26" x14ac:dyDescent="0.25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  <c r="W250" s="119"/>
      <c r="X250" s="119"/>
      <c r="Y250" s="119"/>
      <c r="Z250" s="119"/>
    </row>
    <row r="251" spans="1:26" x14ac:dyDescent="0.25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  <c r="W251" s="119"/>
      <c r="X251" s="119"/>
      <c r="Y251" s="119"/>
      <c r="Z251" s="119"/>
    </row>
    <row r="252" spans="1:26" x14ac:dyDescent="0.25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  <c r="W252" s="119"/>
      <c r="X252" s="119"/>
      <c r="Y252" s="119"/>
      <c r="Z252" s="119"/>
    </row>
    <row r="253" spans="1:26" x14ac:dyDescent="0.25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  <c r="W253" s="119"/>
      <c r="X253" s="119"/>
      <c r="Y253" s="119"/>
      <c r="Z253" s="119"/>
    </row>
    <row r="254" spans="1:26" x14ac:dyDescent="0.25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  <c r="W254" s="119"/>
      <c r="X254" s="119"/>
      <c r="Y254" s="119"/>
      <c r="Z254" s="119"/>
    </row>
    <row r="255" spans="1:26" x14ac:dyDescent="0.25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  <c r="W255" s="119"/>
      <c r="X255" s="119"/>
      <c r="Y255" s="119"/>
      <c r="Z255" s="119"/>
    </row>
    <row r="256" spans="1:26" x14ac:dyDescent="0.25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  <c r="W256" s="119"/>
      <c r="X256" s="119"/>
      <c r="Y256" s="119"/>
      <c r="Z256" s="119"/>
    </row>
    <row r="257" spans="1:26" x14ac:dyDescent="0.25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  <c r="W257" s="119"/>
      <c r="X257" s="119"/>
      <c r="Y257" s="119"/>
      <c r="Z257" s="119"/>
    </row>
    <row r="258" spans="1:26" x14ac:dyDescent="0.25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  <c r="W258" s="119"/>
      <c r="X258" s="119"/>
      <c r="Y258" s="119"/>
      <c r="Z258" s="119"/>
    </row>
    <row r="259" spans="1:26" x14ac:dyDescent="0.25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  <c r="W259" s="119"/>
      <c r="X259" s="119"/>
      <c r="Y259" s="119"/>
      <c r="Z259" s="119"/>
    </row>
    <row r="260" spans="1:26" x14ac:dyDescent="0.25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19"/>
      <c r="X260" s="119"/>
      <c r="Y260" s="119"/>
      <c r="Z260" s="119"/>
    </row>
    <row r="261" spans="1:26" x14ac:dyDescent="0.25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  <c r="W261" s="119"/>
      <c r="X261" s="119"/>
      <c r="Y261" s="119"/>
      <c r="Z261" s="119"/>
    </row>
    <row r="262" spans="1:26" x14ac:dyDescent="0.25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  <c r="W262" s="119"/>
      <c r="X262" s="119"/>
      <c r="Y262" s="119"/>
      <c r="Z262" s="119"/>
    </row>
    <row r="263" spans="1:26" x14ac:dyDescent="0.25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  <c r="W263" s="119"/>
      <c r="X263" s="119"/>
      <c r="Y263" s="119"/>
      <c r="Z263" s="119"/>
    </row>
    <row r="264" spans="1:26" x14ac:dyDescent="0.25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19"/>
      <c r="X264" s="119"/>
      <c r="Y264" s="119"/>
      <c r="Z264" s="119"/>
    </row>
    <row r="265" spans="1:26" x14ac:dyDescent="0.25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  <c r="W265" s="119"/>
      <c r="X265" s="119"/>
      <c r="Y265" s="119"/>
      <c r="Z265" s="119"/>
    </row>
    <row r="266" spans="1:26" x14ac:dyDescent="0.25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  <c r="W266" s="119"/>
      <c r="X266" s="119"/>
      <c r="Y266" s="119"/>
      <c r="Z266" s="119"/>
    </row>
    <row r="267" spans="1:26" x14ac:dyDescent="0.25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119"/>
      <c r="X267" s="119"/>
      <c r="Y267" s="119"/>
      <c r="Z267" s="119"/>
    </row>
    <row r="268" spans="1:26" x14ac:dyDescent="0.25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  <c r="W268" s="119"/>
      <c r="X268" s="119"/>
      <c r="Y268" s="119"/>
      <c r="Z268" s="119"/>
    </row>
    <row r="269" spans="1:26" x14ac:dyDescent="0.25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  <c r="W269" s="119"/>
      <c r="X269" s="119"/>
      <c r="Y269" s="119"/>
      <c r="Z269" s="119"/>
    </row>
    <row r="270" spans="1:26" x14ac:dyDescent="0.25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  <c r="W270" s="119"/>
      <c r="X270" s="119"/>
      <c r="Y270" s="119"/>
      <c r="Z270" s="119"/>
    </row>
    <row r="271" spans="1:26" x14ac:dyDescent="0.25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  <c r="W271" s="119"/>
      <c r="X271" s="119"/>
      <c r="Y271" s="119"/>
      <c r="Z271" s="119"/>
    </row>
    <row r="272" spans="1:26" x14ac:dyDescent="0.25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  <c r="W272" s="119"/>
      <c r="X272" s="119"/>
      <c r="Y272" s="119"/>
      <c r="Z272" s="119"/>
    </row>
    <row r="273" spans="1:26" x14ac:dyDescent="0.25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  <c r="W273" s="119"/>
      <c r="X273" s="119"/>
      <c r="Y273" s="119"/>
      <c r="Z273" s="119"/>
    </row>
    <row r="274" spans="1:26" x14ac:dyDescent="0.25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  <c r="W274" s="119"/>
      <c r="X274" s="119"/>
      <c r="Y274" s="119"/>
      <c r="Z274" s="119"/>
    </row>
    <row r="275" spans="1:26" x14ac:dyDescent="0.25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  <c r="W275" s="119"/>
      <c r="X275" s="119"/>
      <c r="Y275" s="119"/>
      <c r="Z275" s="119"/>
    </row>
    <row r="276" spans="1:26" x14ac:dyDescent="0.25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  <c r="W276" s="119"/>
      <c r="X276" s="119"/>
      <c r="Y276" s="119"/>
      <c r="Z276" s="119"/>
    </row>
    <row r="277" spans="1:26" x14ac:dyDescent="0.25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119"/>
      <c r="X277" s="119"/>
      <c r="Y277" s="119"/>
      <c r="Z277" s="119"/>
    </row>
    <row r="278" spans="1:26" x14ac:dyDescent="0.25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  <c r="W278" s="119"/>
      <c r="X278" s="119"/>
      <c r="Y278" s="119"/>
      <c r="Z278" s="119"/>
    </row>
    <row r="279" spans="1:26" x14ac:dyDescent="0.25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  <c r="W279" s="119"/>
      <c r="X279" s="119"/>
      <c r="Y279" s="119"/>
      <c r="Z279" s="119"/>
    </row>
    <row r="280" spans="1:26" x14ac:dyDescent="0.25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  <c r="W280" s="119"/>
      <c r="X280" s="119"/>
      <c r="Y280" s="119"/>
      <c r="Z280" s="119"/>
    </row>
    <row r="281" spans="1:26" x14ac:dyDescent="0.25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  <c r="W281" s="119"/>
      <c r="X281" s="119"/>
      <c r="Y281" s="119"/>
      <c r="Z281" s="119"/>
    </row>
    <row r="282" spans="1:26" x14ac:dyDescent="0.25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  <c r="W282" s="119"/>
      <c r="X282" s="119"/>
      <c r="Y282" s="119"/>
      <c r="Z282" s="119"/>
    </row>
    <row r="283" spans="1:26" x14ac:dyDescent="0.25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  <c r="W283" s="119"/>
      <c r="X283" s="119"/>
      <c r="Y283" s="119"/>
      <c r="Z283" s="119"/>
    </row>
    <row r="284" spans="1:26" x14ac:dyDescent="0.25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  <c r="W284" s="119"/>
      <c r="X284" s="119"/>
      <c r="Y284" s="119"/>
      <c r="Z284" s="119"/>
    </row>
    <row r="285" spans="1:26" x14ac:dyDescent="0.25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  <c r="W285" s="119"/>
      <c r="X285" s="119"/>
      <c r="Y285" s="119"/>
      <c r="Z285" s="119"/>
    </row>
    <row r="286" spans="1:26" x14ac:dyDescent="0.25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  <c r="W286" s="119"/>
      <c r="X286" s="119"/>
      <c r="Y286" s="119"/>
      <c r="Z286" s="119"/>
    </row>
    <row r="287" spans="1:26" x14ac:dyDescent="0.25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  <c r="W287" s="119"/>
      <c r="X287" s="119"/>
      <c r="Y287" s="119"/>
      <c r="Z287" s="119"/>
    </row>
    <row r="288" spans="1:26" x14ac:dyDescent="0.25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  <c r="W288" s="119"/>
      <c r="X288" s="119"/>
      <c r="Y288" s="119"/>
      <c r="Z288" s="119"/>
    </row>
    <row r="289" spans="1:26" x14ac:dyDescent="0.25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  <c r="W289" s="119"/>
      <c r="X289" s="119"/>
      <c r="Y289" s="119"/>
      <c r="Z289" s="119"/>
    </row>
    <row r="290" spans="1:26" x14ac:dyDescent="0.25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  <c r="W290" s="119"/>
      <c r="X290" s="119"/>
      <c r="Y290" s="119"/>
      <c r="Z290" s="119"/>
    </row>
    <row r="291" spans="1:26" x14ac:dyDescent="0.25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  <c r="W291" s="119"/>
      <c r="X291" s="119"/>
      <c r="Y291" s="119"/>
      <c r="Z291" s="119"/>
    </row>
    <row r="292" spans="1:26" x14ac:dyDescent="0.25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  <c r="W292" s="119"/>
      <c r="X292" s="119"/>
      <c r="Y292" s="119"/>
      <c r="Z292" s="119"/>
    </row>
    <row r="293" spans="1:26" x14ac:dyDescent="0.25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  <c r="W293" s="119"/>
      <c r="X293" s="119"/>
      <c r="Y293" s="119"/>
      <c r="Z293" s="119"/>
    </row>
    <row r="294" spans="1:26" x14ac:dyDescent="0.25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  <c r="W294" s="119"/>
      <c r="X294" s="119"/>
      <c r="Y294" s="119"/>
      <c r="Z294" s="119"/>
    </row>
    <row r="295" spans="1:26" x14ac:dyDescent="0.25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19"/>
      <c r="X295" s="119"/>
      <c r="Y295" s="119"/>
      <c r="Z295" s="119"/>
    </row>
    <row r="296" spans="1:26" x14ac:dyDescent="0.25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  <c r="W296" s="119"/>
      <c r="X296" s="119"/>
      <c r="Y296" s="119"/>
      <c r="Z296" s="119"/>
    </row>
    <row r="297" spans="1:26" x14ac:dyDescent="0.25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  <c r="W297" s="119"/>
      <c r="X297" s="119"/>
      <c r="Y297" s="119"/>
      <c r="Z297" s="119"/>
    </row>
    <row r="298" spans="1:26" x14ac:dyDescent="0.25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  <c r="W298" s="119"/>
      <c r="X298" s="119"/>
      <c r="Y298" s="119"/>
      <c r="Z298" s="119"/>
    </row>
    <row r="299" spans="1:26" x14ac:dyDescent="0.25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  <c r="W299" s="119"/>
      <c r="X299" s="119"/>
      <c r="Y299" s="119"/>
      <c r="Z299" s="119"/>
    </row>
    <row r="300" spans="1:26" x14ac:dyDescent="0.25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  <c r="W300" s="119"/>
      <c r="X300" s="119"/>
      <c r="Y300" s="119"/>
      <c r="Z300" s="119"/>
    </row>
    <row r="301" spans="1:26" x14ac:dyDescent="0.25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  <c r="W301" s="119"/>
      <c r="X301" s="119"/>
      <c r="Y301" s="119"/>
      <c r="Z301" s="119"/>
    </row>
    <row r="302" spans="1:26" x14ac:dyDescent="0.25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  <c r="W302" s="119"/>
      <c r="X302" s="119"/>
      <c r="Y302" s="119"/>
      <c r="Z302" s="119"/>
    </row>
    <row r="303" spans="1:26" x14ac:dyDescent="0.25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  <c r="W303" s="119"/>
      <c r="X303" s="119"/>
      <c r="Y303" s="119"/>
      <c r="Z303" s="119"/>
    </row>
    <row r="304" spans="1:26" x14ac:dyDescent="0.25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  <c r="W304" s="119"/>
      <c r="X304" s="119"/>
      <c r="Y304" s="119"/>
      <c r="Z304" s="119"/>
    </row>
    <row r="305" spans="1:26" x14ac:dyDescent="0.25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  <c r="W305" s="119"/>
      <c r="X305" s="119"/>
      <c r="Y305" s="119"/>
      <c r="Z305" s="119"/>
    </row>
    <row r="306" spans="1:26" x14ac:dyDescent="0.25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  <c r="W306" s="119"/>
      <c r="X306" s="119"/>
      <c r="Y306" s="119"/>
      <c r="Z306" s="119"/>
    </row>
    <row r="307" spans="1:26" x14ac:dyDescent="0.25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  <c r="W307" s="119"/>
      <c r="X307" s="119"/>
      <c r="Y307" s="119"/>
      <c r="Z307" s="119"/>
    </row>
    <row r="308" spans="1:26" x14ac:dyDescent="0.25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  <c r="W308" s="119"/>
      <c r="X308" s="119"/>
      <c r="Y308" s="119"/>
      <c r="Z308" s="119"/>
    </row>
    <row r="309" spans="1:26" x14ac:dyDescent="0.25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  <c r="W309" s="119"/>
      <c r="X309" s="119"/>
      <c r="Y309" s="119"/>
      <c r="Z309" s="119"/>
    </row>
    <row r="310" spans="1:26" x14ac:dyDescent="0.25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  <c r="W310" s="119"/>
      <c r="X310" s="119"/>
      <c r="Y310" s="119"/>
      <c r="Z310" s="119"/>
    </row>
    <row r="311" spans="1:26" x14ac:dyDescent="0.25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  <c r="W311" s="119"/>
      <c r="X311" s="119"/>
      <c r="Y311" s="119"/>
      <c r="Z311" s="119"/>
    </row>
    <row r="312" spans="1:26" x14ac:dyDescent="0.25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  <c r="W312" s="119"/>
      <c r="X312" s="119"/>
      <c r="Y312" s="119"/>
      <c r="Z312" s="119"/>
    </row>
    <row r="313" spans="1:26" x14ac:dyDescent="0.25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  <c r="W313" s="119"/>
      <c r="X313" s="119"/>
      <c r="Y313" s="119"/>
      <c r="Z313" s="119"/>
    </row>
    <row r="314" spans="1:26" x14ac:dyDescent="0.25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  <c r="W314" s="119"/>
      <c r="X314" s="119"/>
      <c r="Y314" s="119"/>
      <c r="Z314" s="119"/>
    </row>
    <row r="315" spans="1:26" x14ac:dyDescent="0.25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  <c r="W315" s="119"/>
      <c r="X315" s="119"/>
      <c r="Y315" s="119"/>
      <c r="Z315" s="119"/>
    </row>
    <row r="316" spans="1:26" x14ac:dyDescent="0.25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  <c r="W316" s="119"/>
      <c r="X316" s="119"/>
      <c r="Y316" s="119"/>
      <c r="Z316" s="119"/>
    </row>
    <row r="317" spans="1:26" x14ac:dyDescent="0.25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  <c r="W317" s="119"/>
      <c r="X317" s="119"/>
      <c r="Y317" s="119"/>
      <c r="Z317" s="119"/>
    </row>
    <row r="318" spans="1:26" x14ac:dyDescent="0.25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  <c r="W318" s="119"/>
      <c r="X318" s="119"/>
      <c r="Y318" s="119"/>
      <c r="Z318" s="119"/>
    </row>
    <row r="319" spans="1:26" x14ac:dyDescent="0.25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19"/>
    </row>
    <row r="320" spans="1:26" x14ac:dyDescent="0.25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  <c r="W320" s="119"/>
      <c r="X320" s="119"/>
      <c r="Y320" s="119"/>
      <c r="Z320" s="119"/>
    </row>
    <row r="321" spans="1:26" x14ac:dyDescent="0.25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  <c r="W321" s="119"/>
      <c r="X321" s="119"/>
      <c r="Y321" s="119"/>
      <c r="Z321" s="119"/>
    </row>
    <row r="322" spans="1:26" x14ac:dyDescent="0.25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  <c r="W322" s="119"/>
      <c r="X322" s="119"/>
      <c r="Y322" s="119"/>
      <c r="Z322" s="119"/>
    </row>
    <row r="323" spans="1:26" x14ac:dyDescent="0.25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  <c r="W323" s="119"/>
      <c r="X323" s="119"/>
      <c r="Y323" s="119"/>
      <c r="Z323" s="119"/>
    </row>
    <row r="324" spans="1:26" x14ac:dyDescent="0.25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  <c r="W324" s="119"/>
      <c r="X324" s="119"/>
      <c r="Y324" s="119"/>
      <c r="Z324" s="119"/>
    </row>
    <row r="325" spans="1:26" x14ac:dyDescent="0.25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  <c r="W325" s="119"/>
      <c r="X325" s="119"/>
      <c r="Y325" s="119"/>
      <c r="Z325" s="119"/>
    </row>
    <row r="326" spans="1:26" x14ac:dyDescent="0.25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19"/>
    </row>
    <row r="327" spans="1:26" x14ac:dyDescent="0.25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  <c r="W327" s="119"/>
      <c r="X327" s="119"/>
      <c r="Y327" s="119"/>
      <c r="Z327" s="119"/>
    </row>
    <row r="328" spans="1:26" x14ac:dyDescent="0.25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  <c r="W328" s="119"/>
      <c r="X328" s="119"/>
      <c r="Y328" s="119"/>
      <c r="Z328" s="119"/>
    </row>
    <row r="329" spans="1:26" x14ac:dyDescent="0.25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  <c r="W329" s="119"/>
      <c r="X329" s="119"/>
      <c r="Y329" s="119"/>
      <c r="Z329" s="119"/>
    </row>
    <row r="330" spans="1:26" x14ac:dyDescent="0.25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  <c r="W330" s="119"/>
      <c r="X330" s="119"/>
      <c r="Y330" s="119"/>
      <c r="Z330" s="119"/>
    </row>
    <row r="331" spans="1:26" x14ac:dyDescent="0.25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  <c r="W331" s="119"/>
      <c r="X331" s="119"/>
      <c r="Y331" s="119"/>
      <c r="Z331" s="119"/>
    </row>
    <row r="332" spans="1:26" x14ac:dyDescent="0.25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  <c r="W332" s="119"/>
      <c r="X332" s="119"/>
      <c r="Y332" s="119"/>
      <c r="Z332" s="119"/>
    </row>
    <row r="333" spans="1:26" x14ac:dyDescent="0.25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  <c r="W333" s="119"/>
      <c r="X333" s="119"/>
      <c r="Y333" s="119"/>
      <c r="Z333" s="119"/>
    </row>
    <row r="334" spans="1:26" x14ac:dyDescent="0.25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  <c r="W334" s="119"/>
      <c r="X334" s="119"/>
      <c r="Y334" s="119"/>
      <c r="Z334" s="119"/>
    </row>
    <row r="335" spans="1:26" x14ac:dyDescent="0.25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</row>
    <row r="336" spans="1:26" x14ac:dyDescent="0.25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  <c r="W336" s="119"/>
      <c r="X336" s="119"/>
      <c r="Y336" s="119"/>
      <c r="Z336" s="119"/>
    </row>
    <row r="337" spans="1:26" x14ac:dyDescent="0.25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  <c r="W337" s="119"/>
      <c r="X337" s="119"/>
      <c r="Y337" s="119"/>
      <c r="Z337" s="119"/>
    </row>
    <row r="338" spans="1:26" x14ac:dyDescent="0.25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  <c r="W338" s="119"/>
      <c r="X338" s="119"/>
      <c r="Y338" s="119"/>
      <c r="Z338" s="119"/>
    </row>
    <row r="339" spans="1:26" x14ac:dyDescent="0.25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  <c r="W339" s="119"/>
      <c r="X339" s="119"/>
      <c r="Y339" s="119"/>
      <c r="Z339" s="119"/>
    </row>
    <row r="340" spans="1:26" x14ac:dyDescent="0.25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  <c r="W340" s="119"/>
      <c r="X340" s="119"/>
      <c r="Y340" s="119"/>
      <c r="Z340" s="119"/>
    </row>
    <row r="341" spans="1:26" x14ac:dyDescent="0.25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  <c r="W341" s="119"/>
      <c r="X341" s="119"/>
      <c r="Y341" s="119"/>
      <c r="Z341" s="119"/>
    </row>
    <row r="342" spans="1:26" x14ac:dyDescent="0.25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  <c r="W342" s="119"/>
      <c r="X342" s="119"/>
      <c r="Y342" s="119"/>
      <c r="Z342" s="119"/>
    </row>
    <row r="343" spans="1:26" x14ac:dyDescent="0.25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  <c r="W343" s="119"/>
      <c r="X343" s="119"/>
      <c r="Y343" s="119"/>
      <c r="Z343" s="119"/>
    </row>
    <row r="344" spans="1:26" x14ac:dyDescent="0.25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  <c r="W344" s="119"/>
      <c r="X344" s="119"/>
      <c r="Y344" s="119"/>
      <c r="Z344" s="119"/>
    </row>
    <row r="345" spans="1:26" x14ac:dyDescent="0.25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  <c r="W345" s="119"/>
      <c r="X345" s="119"/>
      <c r="Y345" s="119"/>
      <c r="Z345" s="119"/>
    </row>
    <row r="346" spans="1:26" x14ac:dyDescent="0.25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  <c r="W346" s="119"/>
      <c r="X346" s="119"/>
      <c r="Y346" s="119"/>
      <c r="Z346" s="119"/>
    </row>
    <row r="347" spans="1:26" x14ac:dyDescent="0.25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  <c r="W347" s="119"/>
      <c r="X347" s="119"/>
      <c r="Y347" s="119"/>
      <c r="Z347" s="119"/>
    </row>
    <row r="348" spans="1:26" x14ac:dyDescent="0.25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  <c r="W348" s="119"/>
      <c r="X348" s="119"/>
      <c r="Y348" s="119"/>
      <c r="Z348" s="119"/>
    </row>
    <row r="349" spans="1:26" x14ac:dyDescent="0.25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  <c r="W349" s="119"/>
      <c r="X349" s="119"/>
      <c r="Y349" s="119"/>
      <c r="Z349" s="119"/>
    </row>
    <row r="350" spans="1:26" x14ac:dyDescent="0.25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  <c r="W350" s="119"/>
      <c r="X350" s="119"/>
      <c r="Y350" s="119"/>
      <c r="Z350" s="119"/>
    </row>
    <row r="351" spans="1:26" x14ac:dyDescent="0.25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19"/>
    </row>
    <row r="352" spans="1:26" x14ac:dyDescent="0.25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  <c r="W352" s="119"/>
      <c r="X352" s="119"/>
      <c r="Y352" s="119"/>
      <c r="Z352" s="119"/>
    </row>
    <row r="353" spans="1:26" x14ac:dyDescent="0.25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  <c r="W353" s="119"/>
      <c r="X353" s="119"/>
      <c r="Y353" s="119"/>
      <c r="Z353" s="119"/>
    </row>
    <row r="354" spans="1:26" x14ac:dyDescent="0.25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19"/>
    </row>
    <row r="355" spans="1:26" x14ac:dyDescent="0.25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  <c r="W355" s="119"/>
      <c r="X355" s="119"/>
      <c r="Y355" s="119"/>
      <c r="Z355" s="119"/>
    </row>
    <row r="356" spans="1:26" x14ac:dyDescent="0.25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  <c r="W356" s="119"/>
      <c r="X356" s="119"/>
      <c r="Y356" s="119"/>
      <c r="Z356" s="119"/>
    </row>
    <row r="357" spans="1:26" x14ac:dyDescent="0.25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  <c r="W357" s="119"/>
      <c r="X357" s="119"/>
      <c r="Y357" s="119"/>
      <c r="Z357" s="119"/>
    </row>
    <row r="358" spans="1:26" x14ac:dyDescent="0.25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  <c r="W358" s="119"/>
      <c r="X358" s="119"/>
      <c r="Y358" s="119"/>
      <c r="Z358" s="119"/>
    </row>
    <row r="359" spans="1:26" x14ac:dyDescent="0.25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  <c r="W359" s="119"/>
      <c r="X359" s="119"/>
      <c r="Y359" s="119"/>
      <c r="Z359" s="119"/>
    </row>
    <row r="360" spans="1:26" x14ac:dyDescent="0.25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  <c r="W360" s="119"/>
      <c r="X360" s="119"/>
      <c r="Y360" s="119"/>
      <c r="Z360" s="119"/>
    </row>
    <row r="361" spans="1:26" x14ac:dyDescent="0.25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  <c r="W361" s="119"/>
      <c r="X361" s="119"/>
      <c r="Y361" s="119"/>
      <c r="Z361" s="119"/>
    </row>
    <row r="362" spans="1:26" x14ac:dyDescent="0.25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  <c r="W362" s="119"/>
      <c r="X362" s="119"/>
      <c r="Y362" s="119"/>
      <c r="Z362" s="119"/>
    </row>
    <row r="363" spans="1:26" x14ac:dyDescent="0.25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  <c r="W363" s="119"/>
      <c r="X363" s="119"/>
      <c r="Y363" s="119"/>
      <c r="Z363" s="119"/>
    </row>
    <row r="364" spans="1:26" x14ac:dyDescent="0.25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  <c r="W364" s="119"/>
      <c r="X364" s="119"/>
      <c r="Y364" s="119"/>
      <c r="Z364" s="119"/>
    </row>
    <row r="365" spans="1:26" x14ac:dyDescent="0.25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  <c r="W365" s="119"/>
      <c r="X365" s="119"/>
      <c r="Y365" s="119"/>
      <c r="Z365" s="119"/>
    </row>
    <row r="366" spans="1:26" x14ac:dyDescent="0.25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19"/>
    </row>
    <row r="367" spans="1:26" x14ac:dyDescent="0.25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  <c r="W367" s="119"/>
      <c r="X367" s="119"/>
      <c r="Y367" s="119"/>
      <c r="Z367" s="119"/>
    </row>
    <row r="368" spans="1:26" x14ac:dyDescent="0.25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  <c r="W368" s="119"/>
      <c r="X368" s="119"/>
      <c r="Y368" s="119"/>
      <c r="Z368" s="119"/>
    </row>
    <row r="369" spans="1:26" x14ac:dyDescent="0.25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  <c r="W369" s="119"/>
      <c r="X369" s="119"/>
      <c r="Y369" s="119"/>
      <c r="Z369" s="119"/>
    </row>
    <row r="370" spans="1:26" x14ac:dyDescent="0.25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  <c r="W370" s="119"/>
      <c r="X370" s="119"/>
      <c r="Y370" s="119"/>
      <c r="Z370" s="119"/>
    </row>
    <row r="371" spans="1:26" x14ac:dyDescent="0.25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  <c r="W371" s="119"/>
      <c r="X371" s="119"/>
      <c r="Y371" s="119"/>
      <c r="Z371" s="119"/>
    </row>
    <row r="372" spans="1:26" x14ac:dyDescent="0.25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  <c r="W372" s="119"/>
      <c r="X372" s="119"/>
      <c r="Y372" s="119"/>
      <c r="Z372" s="119"/>
    </row>
    <row r="373" spans="1:26" x14ac:dyDescent="0.25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  <c r="W373" s="119"/>
      <c r="X373" s="119"/>
      <c r="Y373" s="119"/>
      <c r="Z373" s="119"/>
    </row>
    <row r="374" spans="1:26" x14ac:dyDescent="0.25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  <c r="W374" s="119"/>
      <c r="X374" s="119"/>
      <c r="Y374" s="119"/>
      <c r="Z374" s="119"/>
    </row>
    <row r="375" spans="1:26" x14ac:dyDescent="0.25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  <c r="W375" s="119"/>
      <c r="X375" s="119"/>
      <c r="Y375" s="119"/>
      <c r="Z375" s="119"/>
    </row>
    <row r="376" spans="1:26" x14ac:dyDescent="0.25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19"/>
    </row>
    <row r="377" spans="1:26" x14ac:dyDescent="0.25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  <c r="W377" s="119"/>
      <c r="X377" s="119"/>
      <c r="Y377" s="119"/>
      <c r="Z377" s="119"/>
    </row>
    <row r="378" spans="1:26" x14ac:dyDescent="0.25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19"/>
    </row>
    <row r="379" spans="1:26" x14ac:dyDescent="0.25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  <c r="W379" s="119"/>
      <c r="X379" s="119"/>
      <c r="Y379" s="119"/>
      <c r="Z379" s="119"/>
    </row>
    <row r="380" spans="1:26" x14ac:dyDescent="0.25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  <c r="W380" s="119"/>
      <c r="X380" s="119"/>
      <c r="Y380" s="119"/>
      <c r="Z380" s="119"/>
    </row>
    <row r="381" spans="1:26" x14ac:dyDescent="0.25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  <c r="W381" s="119"/>
      <c r="X381" s="119"/>
      <c r="Y381" s="119"/>
      <c r="Z381" s="119"/>
    </row>
    <row r="382" spans="1:26" x14ac:dyDescent="0.25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19"/>
    </row>
    <row r="383" spans="1:26" x14ac:dyDescent="0.25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  <c r="W383" s="119"/>
      <c r="X383" s="119"/>
      <c r="Y383" s="119"/>
      <c r="Z383" s="119"/>
    </row>
    <row r="384" spans="1:26" x14ac:dyDescent="0.25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  <c r="W384" s="119"/>
      <c r="X384" s="119"/>
      <c r="Y384" s="119"/>
      <c r="Z384" s="119"/>
    </row>
    <row r="385" spans="1:26" x14ac:dyDescent="0.25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19"/>
    </row>
    <row r="386" spans="1:26" x14ac:dyDescent="0.25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19"/>
    </row>
    <row r="387" spans="1:26" x14ac:dyDescent="0.25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19"/>
    </row>
    <row r="388" spans="1:26" x14ac:dyDescent="0.25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</row>
    <row r="389" spans="1:26" x14ac:dyDescent="0.25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</row>
    <row r="390" spans="1:26" x14ac:dyDescent="0.25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</row>
    <row r="391" spans="1:26" x14ac:dyDescent="0.25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</row>
    <row r="392" spans="1:26" x14ac:dyDescent="0.25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</row>
    <row r="393" spans="1:26" x14ac:dyDescent="0.25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  <c r="W393" s="119"/>
      <c r="X393" s="119"/>
      <c r="Y393" s="119"/>
      <c r="Z393" s="119"/>
    </row>
    <row r="394" spans="1:26" x14ac:dyDescent="0.25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</row>
    <row r="395" spans="1:26" x14ac:dyDescent="0.25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</row>
    <row r="396" spans="1:26" x14ac:dyDescent="0.25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19"/>
    </row>
    <row r="397" spans="1:26" x14ac:dyDescent="0.25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</row>
    <row r="398" spans="1:26" x14ac:dyDescent="0.25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</row>
    <row r="399" spans="1:26" x14ac:dyDescent="0.25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</row>
    <row r="400" spans="1:26" x14ac:dyDescent="0.25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</row>
    <row r="401" spans="1:26" x14ac:dyDescent="0.25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  <c r="W401" s="119"/>
      <c r="X401" s="119"/>
      <c r="Y401" s="119"/>
      <c r="Z401" s="119"/>
    </row>
    <row r="402" spans="1:26" x14ac:dyDescent="0.25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  <c r="W402" s="119"/>
      <c r="X402" s="119"/>
      <c r="Y402" s="119"/>
      <c r="Z402" s="119"/>
    </row>
    <row r="403" spans="1:26" x14ac:dyDescent="0.25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  <c r="W403" s="119"/>
      <c r="X403" s="119"/>
      <c r="Y403" s="119"/>
      <c r="Z403" s="119"/>
    </row>
    <row r="404" spans="1:26" x14ac:dyDescent="0.25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  <c r="W404" s="119"/>
      <c r="X404" s="119"/>
      <c r="Y404" s="119"/>
      <c r="Z404" s="119"/>
    </row>
    <row r="405" spans="1:26" x14ac:dyDescent="0.25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  <c r="W405" s="119"/>
      <c r="X405" s="119"/>
      <c r="Y405" s="119"/>
      <c r="Z405" s="119"/>
    </row>
    <row r="406" spans="1:26" x14ac:dyDescent="0.25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  <c r="W406" s="119"/>
      <c r="X406" s="119"/>
      <c r="Y406" s="119"/>
      <c r="Z406" s="119"/>
    </row>
    <row r="407" spans="1:26" x14ac:dyDescent="0.25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  <c r="W407" s="119"/>
      <c r="X407" s="119"/>
      <c r="Y407" s="119"/>
      <c r="Z407" s="119"/>
    </row>
    <row r="408" spans="1:26" x14ac:dyDescent="0.25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  <c r="W408" s="119"/>
      <c r="X408" s="119"/>
      <c r="Y408" s="119"/>
      <c r="Z408" s="119"/>
    </row>
    <row r="409" spans="1:26" x14ac:dyDescent="0.25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  <c r="W409" s="119"/>
      <c r="X409" s="119"/>
      <c r="Y409" s="119"/>
      <c r="Z409" s="119"/>
    </row>
    <row r="410" spans="1:26" x14ac:dyDescent="0.25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  <c r="W410" s="119"/>
      <c r="X410" s="119"/>
      <c r="Y410" s="119"/>
      <c r="Z410" s="119"/>
    </row>
    <row r="411" spans="1:26" x14ac:dyDescent="0.25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  <c r="W411" s="119"/>
      <c r="X411" s="119"/>
      <c r="Y411" s="119"/>
      <c r="Z411" s="119"/>
    </row>
    <row r="412" spans="1:26" x14ac:dyDescent="0.25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  <c r="W412" s="119"/>
      <c r="X412" s="119"/>
      <c r="Y412" s="119"/>
      <c r="Z412" s="119"/>
    </row>
    <row r="413" spans="1:26" x14ac:dyDescent="0.25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19"/>
    </row>
    <row r="414" spans="1:26" x14ac:dyDescent="0.25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  <c r="W414" s="119"/>
      <c r="X414" s="119"/>
      <c r="Y414" s="119"/>
      <c r="Z414" s="119"/>
    </row>
    <row r="415" spans="1:26" x14ac:dyDescent="0.25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  <c r="W415" s="119"/>
      <c r="X415" s="119"/>
      <c r="Y415" s="119"/>
      <c r="Z415" s="119"/>
    </row>
    <row r="416" spans="1:26" x14ac:dyDescent="0.25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  <c r="W416" s="119"/>
      <c r="X416" s="119"/>
      <c r="Y416" s="119"/>
      <c r="Z416" s="119"/>
    </row>
    <row r="417" spans="1:26" x14ac:dyDescent="0.25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19"/>
    </row>
    <row r="418" spans="1:26" x14ac:dyDescent="0.25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19"/>
    </row>
    <row r="419" spans="1:26" x14ac:dyDescent="0.25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19"/>
    </row>
    <row r="420" spans="1:26" x14ac:dyDescent="0.25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19"/>
    </row>
    <row r="421" spans="1:26" x14ac:dyDescent="0.25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19"/>
    </row>
    <row r="422" spans="1:26" x14ac:dyDescent="0.25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  <c r="W422" s="119"/>
      <c r="X422" s="119"/>
      <c r="Y422" s="119"/>
      <c r="Z422" s="119"/>
    </row>
    <row r="423" spans="1:26" x14ac:dyDescent="0.25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  <c r="W423" s="119"/>
      <c r="X423" s="119"/>
      <c r="Y423" s="119"/>
      <c r="Z423" s="119"/>
    </row>
    <row r="424" spans="1:26" x14ac:dyDescent="0.25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  <c r="W424" s="119"/>
      <c r="X424" s="119"/>
      <c r="Y424" s="119"/>
      <c r="Z424" s="119"/>
    </row>
    <row r="425" spans="1:26" x14ac:dyDescent="0.25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  <c r="W425" s="119"/>
      <c r="X425" s="119"/>
      <c r="Y425" s="119"/>
      <c r="Z425" s="119"/>
    </row>
    <row r="426" spans="1:26" x14ac:dyDescent="0.25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19"/>
    </row>
    <row r="427" spans="1:26" x14ac:dyDescent="0.25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19"/>
    </row>
    <row r="428" spans="1:26" x14ac:dyDescent="0.25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  <c r="W428" s="119"/>
      <c r="X428" s="119"/>
      <c r="Y428" s="119"/>
      <c r="Z428" s="119"/>
    </row>
    <row r="429" spans="1:26" x14ac:dyDescent="0.25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  <c r="W429" s="119"/>
      <c r="X429" s="119"/>
      <c r="Y429" s="119"/>
      <c r="Z429" s="119"/>
    </row>
    <row r="430" spans="1:26" x14ac:dyDescent="0.25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  <c r="W430" s="119"/>
      <c r="X430" s="119"/>
      <c r="Y430" s="119"/>
      <c r="Z430" s="119"/>
    </row>
    <row r="431" spans="1:26" x14ac:dyDescent="0.25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  <c r="W431" s="119"/>
      <c r="X431" s="119"/>
      <c r="Y431" s="119"/>
      <c r="Z431" s="119"/>
    </row>
    <row r="432" spans="1:26" x14ac:dyDescent="0.25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  <c r="W432" s="119"/>
      <c r="X432" s="119"/>
      <c r="Y432" s="119"/>
      <c r="Z432" s="119"/>
    </row>
    <row r="433" spans="1:26" x14ac:dyDescent="0.25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  <c r="W433" s="119"/>
      <c r="X433" s="119"/>
      <c r="Y433" s="119"/>
      <c r="Z433" s="119"/>
    </row>
    <row r="434" spans="1:26" x14ac:dyDescent="0.25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  <c r="W434" s="119"/>
      <c r="X434" s="119"/>
      <c r="Y434" s="119"/>
      <c r="Z434" s="119"/>
    </row>
    <row r="435" spans="1:26" x14ac:dyDescent="0.25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19"/>
    </row>
    <row r="436" spans="1:26" x14ac:dyDescent="0.25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19"/>
    </row>
    <row r="437" spans="1:26" x14ac:dyDescent="0.25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19"/>
    </row>
    <row r="438" spans="1:26" x14ac:dyDescent="0.25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19"/>
    </row>
    <row r="439" spans="1:26" x14ac:dyDescent="0.25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19"/>
    </row>
    <row r="440" spans="1:26" x14ac:dyDescent="0.25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19"/>
    </row>
    <row r="441" spans="1:26" x14ac:dyDescent="0.25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19"/>
    </row>
    <row r="442" spans="1:26" x14ac:dyDescent="0.25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19"/>
    </row>
    <row r="443" spans="1:26" x14ac:dyDescent="0.25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19"/>
    </row>
    <row r="444" spans="1:26" x14ac:dyDescent="0.25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19"/>
    </row>
    <row r="445" spans="1:26" x14ac:dyDescent="0.25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19"/>
    </row>
    <row r="446" spans="1:26" x14ac:dyDescent="0.25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19"/>
    </row>
    <row r="447" spans="1:26" x14ac:dyDescent="0.25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19"/>
    </row>
    <row r="448" spans="1:26" x14ac:dyDescent="0.25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19"/>
    </row>
    <row r="449" spans="1:26" x14ac:dyDescent="0.25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19"/>
    </row>
    <row r="450" spans="1:26" x14ac:dyDescent="0.25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19"/>
    </row>
    <row r="451" spans="1:26" x14ac:dyDescent="0.25">
      <c r="A451" s="119"/>
      <c r="B451" s="119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19"/>
    </row>
    <row r="452" spans="1:26" x14ac:dyDescent="0.25">
      <c r="A452" s="119"/>
      <c r="B452" s="119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19"/>
    </row>
    <row r="453" spans="1:26" x14ac:dyDescent="0.25">
      <c r="A453" s="119"/>
      <c r="B453" s="119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19"/>
    </row>
    <row r="454" spans="1:26" x14ac:dyDescent="0.25">
      <c r="A454" s="119"/>
      <c r="B454" s="119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19"/>
    </row>
    <row r="455" spans="1:26" x14ac:dyDescent="0.25">
      <c r="A455" s="119"/>
      <c r="B455" s="119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19"/>
    </row>
    <row r="456" spans="1:26" x14ac:dyDescent="0.25">
      <c r="A456" s="119"/>
      <c r="B456" s="119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19"/>
    </row>
    <row r="457" spans="1:26" x14ac:dyDescent="0.25">
      <c r="A457" s="119"/>
      <c r="B457" s="119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19"/>
    </row>
    <row r="458" spans="1:26" x14ac:dyDescent="0.25">
      <c r="A458" s="119"/>
      <c r="B458" s="119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19"/>
    </row>
    <row r="459" spans="1:26" x14ac:dyDescent="0.25">
      <c r="A459" s="119"/>
      <c r="B459" s="119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19"/>
    </row>
    <row r="460" spans="1:26" x14ac:dyDescent="0.25">
      <c r="A460" s="119"/>
      <c r="B460" s="119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19"/>
    </row>
    <row r="461" spans="1:26" x14ac:dyDescent="0.25">
      <c r="A461" s="119"/>
      <c r="B461" s="119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19"/>
    </row>
    <row r="462" spans="1:26" x14ac:dyDescent="0.25">
      <c r="A462" s="119"/>
      <c r="B462" s="119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19"/>
    </row>
    <row r="463" spans="1:26" x14ac:dyDescent="0.25">
      <c r="A463" s="119"/>
      <c r="B463" s="119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19"/>
    </row>
    <row r="464" spans="1:26" x14ac:dyDescent="0.25">
      <c r="A464" s="119"/>
      <c r="B464" s="119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19"/>
    </row>
    <row r="465" spans="1:26" x14ac:dyDescent="0.25">
      <c r="A465" s="119"/>
      <c r="B465" s="119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19"/>
    </row>
    <row r="466" spans="1:26" x14ac:dyDescent="0.25">
      <c r="A466" s="119"/>
      <c r="B466" s="119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19"/>
    </row>
    <row r="467" spans="1:26" x14ac:dyDescent="0.25">
      <c r="A467" s="119"/>
      <c r="B467" s="119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19"/>
    </row>
    <row r="468" spans="1:26" x14ac:dyDescent="0.25">
      <c r="A468" s="119"/>
      <c r="B468" s="119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19"/>
    </row>
    <row r="469" spans="1:26" x14ac:dyDescent="0.25">
      <c r="A469" s="119"/>
      <c r="B469" s="119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19"/>
    </row>
    <row r="470" spans="1:26" x14ac:dyDescent="0.25">
      <c r="A470" s="119"/>
      <c r="B470" s="119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19"/>
    </row>
    <row r="471" spans="1:26" x14ac:dyDescent="0.25">
      <c r="A471" s="119"/>
      <c r="B471" s="119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19"/>
    </row>
    <row r="472" spans="1:26" x14ac:dyDescent="0.25">
      <c r="A472" s="119"/>
      <c r="B472" s="119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19"/>
    </row>
    <row r="473" spans="1:26" x14ac:dyDescent="0.25">
      <c r="A473" s="119"/>
      <c r="B473" s="119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19"/>
    </row>
    <row r="474" spans="1:26" x14ac:dyDescent="0.25">
      <c r="A474" s="119"/>
      <c r="B474" s="119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19"/>
    </row>
    <row r="475" spans="1:26" x14ac:dyDescent="0.25">
      <c r="A475" s="119"/>
      <c r="B475" s="119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19"/>
    </row>
    <row r="476" spans="1:26" x14ac:dyDescent="0.25">
      <c r="A476" s="119"/>
      <c r="B476" s="119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19"/>
    </row>
    <row r="477" spans="1:26" x14ac:dyDescent="0.25">
      <c r="A477" s="119"/>
      <c r="B477" s="119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19"/>
    </row>
    <row r="478" spans="1:26" x14ac:dyDescent="0.25">
      <c r="A478" s="119"/>
      <c r="B478" s="119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19"/>
    </row>
    <row r="479" spans="1:26" x14ac:dyDescent="0.25">
      <c r="A479" s="119"/>
      <c r="B479" s="119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19"/>
    </row>
    <row r="480" spans="1:26" x14ac:dyDescent="0.25">
      <c r="A480" s="119"/>
      <c r="B480" s="119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19"/>
    </row>
    <row r="481" spans="1:26" x14ac:dyDescent="0.25">
      <c r="A481" s="119"/>
      <c r="B481" s="119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19"/>
    </row>
    <row r="482" spans="1:26" x14ac:dyDescent="0.25">
      <c r="A482" s="119"/>
      <c r="B482" s="119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19"/>
    </row>
    <row r="483" spans="1:26" x14ac:dyDescent="0.25">
      <c r="A483" s="119"/>
      <c r="B483" s="119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19"/>
    </row>
    <row r="484" spans="1:26" x14ac:dyDescent="0.25">
      <c r="A484" s="119"/>
      <c r="B484" s="119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19"/>
    </row>
    <row r="485" spans="1:26" x14ac:dyDescent="0.25">
      <c r="A485" s="119"/>
      <c r="B485" s="119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19"/>
    </row>
    <row r="486" spans="1:26" x14ac:dyDescent="0.25">
      <c r="A486" s="119"/>
      <c r="B486" s="119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19"/>
    </row>
    <row r="487" spans="1:26" x14ac:dyDescent="0.25">
      <c r="A487" s="119"/>
      <c r="B487" s="119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19"/>
    </row>
    <row r="488" spans="1:26" x14ac:dyDescent="0.25">
      <c r="A488" s="119"/>
      <c r="B488" s="119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19"/>
    </row>
    <row r="489" spans="1:26" x14ac:dyDescent="0.25">
      <c r="A489" s="119"/>
      <c r="B489" s="119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19"/>
    </row>
    <row r="490" spans="1:26" x14ac:dyDescent="0.25">
      <c r="A490" s="119"/>
      <c r="B490" s="119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19"/>
    </row>
    <row r="491" spans="1:26" x14ac:dyDescent="0.25">
      <c r="A491" s="119"/>
      <c r="B491" s="119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19"/>
    </row>
    <row r="492" spans="1:26" x14ac:dyDescent="0.25">
      <c r="A492" s="119"/>
      <c r="B492" s="119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19"/>
    </row>
    <row r="493" spans="1:26" x14ac:dyDescent="0.25">
      <c r="A493" s="119"/>
      <c r="B493" s="119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19"/>
    </row>
    <row r="494" spans="1:26" x14ac:dyDescent="0.25">
      <c r="A494" s="119"/>
      <c r="B494" s="119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19"/>
    </row>
    <row r="495" spans="1:26" x14ac:dyDescent="0.25">
      <c r="A495" s="119"/>
      <c r="B495" s="119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19"/>
    </row>
    <row r="496" spans="1:26" x14ac:dyDescent="0.25">
      <c r="A496" s="119"/>
      <c r="B496" s="119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19"/>
    </row>
    <row r="497" spans="1:26" x14ac:dyDescent="0.25">
      <c r="A497" s="119"/>
      <c r="B497" s="119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19"/>
    </row>
    <row r="498" spans="1:26" x14ac:dyDescent="0.25">
      <c r="A498" s="119"/>
      <c r="B498" s="119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19"/>
    </row>
    <row r="499" spans="1:26" x14ac:dyDescent="0.25">
      <c r="A499" s="119"/>
      <c r="B499" s="119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19"/>
    </row>
    <row r="500" spans="1:26" x14ac:dyDescent="0.25">
      <c r="A500" s="119"/>
      <c r="B500" s="119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19"/>
    </row>
    <row r="501" spans="1:26" x14ac:dyDescent="0.25">
      <c r="A501" s="119"/>
      <c r="B501" s="119"/>
      <c r="C501" s="119"/>
      <c r="D501" s="119"/>
      <c r="E501" s="119"/>
      <c r="F501" s="119"/>
      <c r="G501" s="119"/>
      <c r="H501" s="119"/>
      <c r="I501" s="119"/>
      <c r="J501" s="119"/>
      <c r="K501" s="119"/>
      <c r="L501" s="119"/>
      <c r="M501" s="119"/>
      <c r="N501" s="119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19"/>
    </row>
    <row r="502" spans="1:26" x14ac:dyDescent="0.25">
      <c r="A502" s="119"/>
      <c r="B502" s="119"/>
      <c r="C502" s="119"/>
      <c r="D502" s="119"/>
      <c r="E502" s="119"/>
      <c r="F502" s="119"/>
      <c r="G502" s="119"/>
      <c r="H502" s="119"/>
      <c r="I502" s="119"/>
      <c r="J502" s="119"/>
      <c r="K502" s="119"/>
      <c r="L502" s="119"/>
      <c r="M502" s="119"/>
      <c r="N502" s="119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19"/>
    </row>
    <row r="503" spans="1:26" x14ac:dyDescent="0.25">
      <c r="A503" s="119"/>
      <c r="B503" s="119"/>
      <c r="C503" s="119"/>
      <c r="D503" s="119"/>
      <c r="E503" s="119"/>
      <c r="F503" s="119"/>
      <c r="G503" s="119"/>
      <c r="H503" s="119"/>
      <c r="I503" s="119"/>
      <c r="J503" s="119"/>
      <c r="K503" s="119"/>
      <c r="L503" s="119"/>
      <c r="M503" s="119"/>
      <c r="N503" s="119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19"/>
    </row>
    <row r="504" spans="1:26" x14ac:dyDescent="0.25">
      <c r="A504" s="119"/>
      <c r="B504" s="119"/>
      <c r="C504" s="119"/>
      <c r="D504" s="119"/>
      <c r="E504" s="119"/>
      <c r="F504" s="119"/>
      <c r="G504" s="119"/>
      <c r="H504" s="119"/>
      <c r="I504" s="119"/>
      <c r="J504" s="119"/>
      <c r="K504" s="119"/>
      <c r="L504" s="119"/>
      <c r="M504" s="119"/>
      <c r="N504" s="119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19"/>
    </row>
    <row r="505" spans="1:26" x14ac:dyDescent="0.25">
      <c r="A505" s="119"/>
      <c r="B505" s="119"/>
      <c r="C505" s="119"/>
      <c r="D505" s="119"/>
      <c r="E505" s="119"/>
      <c r="F505" s="119"/>
      <c r="G505" s="119"/>
      <c r="H505" s="119"/>
      <c r="I505" s="119"/>
      <c r="J505" s="119"/>
      <c r="K505" s="119"/>
      <c r="L505" s="119"/>
      <c r="M505" s="119"/>
      <c r="N505" s="119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19"/>
    </row>
    <row r="506" spans="1:26" x14ac:dyDescent="0.25">
      <c r="A506" s="119"/>
      <c r="B506" s="119"/>
      <c r="C506" s="119"/>
      <c r="D506" s="119"/>
      <c r="E506" s="119"/>
      <c r="F506" s="119"/>
      <c r="G506" s="119"/>
      <c r="H506" s="119"/>
      <c r="I506" s="119"/>
      <c r="J506" s="119"/>
      <c r="K506" s="119"/>
      <c r="L506" s="119"/>
      <c r="M506" s="119"/>
      <c r="N506" s="119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19"/>
    </row>
    <row r="507" spans="1:26" x14ac:dyDescent="0.25">
      <c r="A507" s="119"/>
      <c r="B507" s="119"/>
      <c r="C507" s="119"/>
      <c r="D507" s="119"/>
      <c r="E507" s="119"/>
      <c r="F507" s="119"/>
      <c r="G507" s="119"/>
      <c r="H507" s="119"/>
      <c r="I507" s="119"/>
      <c r="J507" s="119"/>
      <c r="K507" s="119"/>
      <c r="L507" s="119"/>
      <c r="M507" s="119"/>
      <c r="N507" s="119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19"/>
    </row>
    <row r="508" spans="1:26" x14ac:dyDescent="0.25">
      <c r="A508" s="119"/>
      <c r="B508" s="119"/>
      <c r="C508" s="119"/>
      <c r="D508" s="119"/>
      <c r="E508" s="119"/>
      <c r="F508" s="119"/>
      <c r="G508" s="119"/>
      <c r="H508" s="119"/>
      <c r="I508" s="119"/>
      <c r="J508" s="119"/>
      <c r="K508" s="119"/>
      <c r="L508" s="119"/>
      <c r="M508" s="119"/>
      <c r="N508" s="119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19"/>
    </row>
    <row r="509" spans="1:26" x14ac:dyDescent="0.25">
      <c r="A509" s="119"/>
      <c r="B509" s="119"/>
      <c r="C509" s="119"/>
      <c r="D509" s="119"/>
      <c r="E509" s="119"/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</row>
    <row r="510" spans="1:26" x14ac:dyDescent="0.25">
      <c r="A510" s="119"/>
      <c r="B510" s="119"/>
      <c r="C510" s="119"/>
      <c r="D510" s="119"/>
      <c r="E510" s="119"/>
      <c r="F510" s="119"/>
      <c r="G510" s="119"/>
      <c r="H510" s="119"/>
      <c r="I510" s="119"/>
      <c r="J510" s="119"/>
      <c r="K510" s="119"/>
      <c r="L510" s="119"/>
      <c r="M510" s="119"/>
      <c r="N510" s="119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19"/>
    </row>
    <row r="511" spans="1:26" x14ac:dyDescent="0.25">
      <c r="A511" s="119"/>
      <c r="B511" s="119"/>
      <c r="C511" s="119"/>
      <c r="D511" s="119"/>
      <c r="E511" s="119"/>
      <c r="F511" s="119"/>
      <c r="G511" s="119"/>
      <c r="H511" s="119"/>
      <c r="I511" s="119"/>
      <c r="J511" s="119"/>
      <c r="K511" s="119"/>
      <c r="L511" s="119"/>
      <c r="M511" s="119"/>
      <c r="N511" s="119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19"/>
    </row>
    <row r="512" spans="1:26" x14ac:dyDescent="0.25">
      <c r="A512" s="119"/>
      <c r="B512" s="119"/>
      <c r="C512" s="119"/>
      <c r="D512" s="119"/>
      <c r="E512" s="119"/>
      <c r="F512" s="119"/>
      <c r="G512" s="119"/>
      <c r="H512" s="119"/>
      <c r="I512" s="119"/>
      <c r="J512" s="119"/>
      <c r="K512" s="119"/>
      <c r="L512" s="119"/>
      <c r="M512" s="119"/>
      <c r="N512" s="119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19"/>
    </row>
    <row r="513" spans="1:26" x14ac:dyDescent="0.25">
      <c r="A513" s="119"/>
      <c r="B513" s="119"/>
      <c r="C513" s="119"/>
      <c r="D513" s="119"/>
      <c r="E513" s="119"/>
      <c r="F513" s="119"/>
      <c r="G513" s="119"/>
      <c r="H513" s="119"/>
      <c r="I513" s="119"/>
      <c r="J513" s="119"/>
      <c r="K513" s="119"/>
      <c r="L513" s="119"/>
      <c r="M513" s="119"/>
      <c r="N513" s="119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19"/>
    </row>
    <row r="514" spans="1:26" x14ac:dyDescent="0.25">
      <c r="A514" s="119"/>
      <c r="B514" s="119"/>
      <c r="C514" s="119"/>
      <c r="D514" s="119"/>
      <c r="E514" s="119"/>
      <c r="F514" s="119"/>
      <c r="G514" s="119"/>
      <c r="H514" s="119"/>
      <c r="I514" s="119"/>
      <c r="J514" s="119"/>
      <c r="K514" s="119"/>
      <c r="L514" s="119"/>
      <c r="M514" s="119"/>
      <c r="N514" s="119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19"/>
    </row>
    <row r="515" spans="1:26" x14ac:dyDescent="0.25">
      <c r="A515" s="119"/>
      <c r="B515" s="119"/>
      <c r="C515" s="119"/>
      <c r="D515" s="119"/>
      <c r="E515" s="119"/>
      <c r="F515" s="119"/>
      <c r="G515" s="119"/>
      <c r="H515" s="119"/>
      <c r="I515" s="119"/>
      <c r="J515" s="119"/>
      <c r="K515" s="119"/>
      <c r="L515" s="119"/>
      <c r="M515" s="119"/>
      <c r="N515" s="119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19"/>
    </row>
    <row r="516" spans="1:26" x14ac:dyDescent="0.25">
      <c r="A516" s="119"/>
      <c r="B516" s="119"/>
      <c r="C516" s="119"/>
      <c r="D516" s="119"/>
      <c r="E516" s="119"/>
      <c r="F516" s="119"/>
      <c r="G516" s="119"/>
      <c r="H516" s="119"/>
      <c r="I516" s="119"/>
      <c r="J516" s="119"/>
      <c r="K516" s="119"/>
      <c r="L516" s="119"/>
      <c r="M516" s="119"/>
      <c r="N516" s="119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19"/>
    </row>
    <row r="517" spans="1:26" x14ac:dyDescent="0.25">
      <c r="A517" s="119"/>
      <c r="B517" s="119"/>
      <c r="C517" s="119"/>
      <c r="D517" s="119"/>
      <c r="E517" s="119"/>
      <c r="F517" s="119"/>
      <c r="G517" s="119"/>
      <c r="H517" s="119"/>
      <c r="I517" s="119"/>
      <c r="J517" s="119"/>
      <c r="K517" s="119"/>
      <c r="L517" s="119"/>
      <c r="M517" s="119"/>
      <c r="N517" s="119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19"/>
    </row>
    <row r="518" spans="1:26" x14ac:dyDescent="0.25">
      <c r="A518" s="119"/>
      <c r="B518" s="119"/>
      <c r="C518" s="119"/>
      <c r="D518" s="119"/>
      <c r="E518" s="119"/>
      <c r="F518" s="119"/>
      <c r="G518" s="119"/>
      <c r="H518" s="119"/>
      <c r="I518" s="119"/>
      <c r="J518" s="119"/>
      <c r="K518" s="119"/>
      <c r="L518" s="119"/>
      <c r="M518" s="119"/>
      <c r="N518" s="119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19"/>
    </row>
    <row r="519" spans="1:26" x14ac:dyDescent="0.25">
      <c r="A519" s="119"/>
      <c r="B519" s="119"/>
      <c r="C519" s="119"/>
      <c r="D519" s="119"/>
      <c r="E519" s="119"/>
      <c r="F519" s="119"/>
      <c r="G519" s="119"/>
      <c r="H519" s="119"/>
      <c r="I519" s="119"/>
      <c r="J519" s="119"/>
      <c r="K519" s="119"/>
      <c r="L519" s="119"/>
      <c r="M519" s="119"/>
      <c r="N519" s="119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19"/>
    </row>
    <row r="520" spans="1:26" x14ac:dyDescent="0.25">
      <c r="A520" s="119"/>
      <c r="B520" s="119"/>
      <c r="C520" s="119"/>
      <c r="D520" s="119"/>
      <c r="E520" s="119"/>
      <c r="F520" s="119"/>
      <c r="G520" s="119"/>
      <c r="H520" s="119"/>
      <c r="I520" s="119"/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</row>
    <row r="521" spans="1:26" x14ac:dyDescent="0.25">
      <c r="A521" s="119"/>
      <c r="B521" s="119"/>
      <c r="C521" s="119"/>
      <c r="D521" s="119"/>
      <c r="E521" s="119"/>
      <c r="F521" s="119"/>
      <c r="G521" s="119"/>
      <c r="H521" s="119"/>
      <c r="I521" s="119"/>
      <c r="J521" s="119"/>
      <c r="K521" s="119"/>
      <c r="L521" s="119"/>
      <c r="M521" s="119"/>
      <c r="N521" s="119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19"/>
    </row>
    <row r="522" spans="1:26" x14ac:dyDescent="0.25">
      <c r="A522" s="119"/>
      <c r="B522" s="119"/>
      <c r="C522" s="119"/>
      <c r="D522" s="119"/>
      <c r="E522" s="119"/>
      <c r="F522" s="119"/>
      <c r="G522" s="119"/>
      <c r="H522" s="119"/>
      <c r="I522" s="119"/>
      <c r="J522" s="119"/>
      <c r="K522" s="119"/>
      <c r="L522" s="119"/>
      <c r="M522" s="119"/>
      <c r="N522" s="119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19"/>
    </row>
    <row r="523" spans="1:26" x14ac:dyDescent="0.25">
      <c r="A523" s="119"/>
      <c r="B523" s="119"/>
      <c r="C523" s="119"/>
      <c r="D523" s="119"/>
      <c r="E523" s="119"/>
      <c r="F523" s="119"/>
      <c r="G523" s="119"/>
      <c r="H523" s="119"/>
      <c r="I523" s="119"/>
      <c r="J523" s="119"/>
      <c r="K523" s="119"/>
      <c r="L523" s="119"/>
      <c r="M523" s="119"/>
      <c r="N523" s="119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19"/>
    </row>
    <row r="524" spans="1:26" x14ac:dyDescent="0.25">
      <c r="A524" s="119"/>
      <c r="B524" s="119"/>
      <c r="C524" s="119"/>
      <c r="D524" s="119"/>
      <c r="E524" s="119"/>
      <c r="F524" s="119"/>
      <c r="G524" s="119"/>
      <c r="H524" s="119"/>
      <c r="I524" s="119"/>
      <c r="J524" s="119"/>
      <c r="K524" s="119"/>
      <c r="L524" s="119"/>
      <c r="M524" s="119"/>
      <c r="N524" s="119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19"/>
    </row>
    <row r="525" spans="1:26" x14ac:dyDescent="0.25">
      <c r="A525" s="119"/>
      <c r="B525" s="119"/>
      <c r="C525" s="119"/>
      <c r="D525" s="119"/>
      <c r="E525" s="119"/>
      <c r="F525" s="119"/>
      <c r="G525" s="119"/>
      <c r="H525" s="119"/>
      <c r="I525" s="119"/>
      <c r="J525" s="119"/>
      <c r="K525" s="119"/>
      <c r="L525" s="119"/>
      <c r="M525" s="119"/>
      <c r="N525" s="119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19"/>
    </row>
    <row r="526" spans="1:26" x14ac:dyDescent="0.25">
      <c r="A526" s="119"/>
      <c r="B526" s="119"/>
      <c r="C526" s="119"/>
      <c r="D526" s="119"/>
      <c r="E526" s="119"/>
      <c r="F526" s="119"/>
      <c r="G526" s="119"/>
      <c r="H526" s="119"/>
      <c r="I526" s="119"/>
      <c r="J526" s="119"/>
      <c r="K526" s="119"/>
      <c r="L526" s="119"/>
      <c r="M526" s="119"/>
      <c r="N526" s="119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19"/>
    </row>
    <row r="527" spans="1:26" x14ac:dyDescent="0.25">
      <c r="A527" s="119"/>
      <c r="B527" s="119"/>
      <c r="C527" s="119"/>
      <c r="D527" s="119"/>
      <c r="E527" s="119"/>
      <c r="F527" s="119"/>
      <c r="G527" s="119"/>
      <c r="H527" s="119"/>
      <c r="I527" s="119"/>
      <c r="J527" s="119"/>
      <c r="K527" s="119"/>
      <c r="L527" s="119"/>
      <c r="M527" s="119"/>
      <c r="N527" s="119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19"/>
    </row>
    <row r="528" spans="1:26" x14ac:dyDescent="0.25">
      <c r="A528" s="119"/>
      <c r="B528" s="119"/>
      <c r="C528" s="119"/>
      <c r="D528" s="119"/>
      <c r="E528" s="119"/>
      <c r="F528" s="119"/>
      <c r="G528" s="119"/>
      <c r="H528" s="119"/>
      <c r="I528" s="119"/>
      <c r="J528" s="119"/>
      <c r="K528" s="119"/>
      <c r="L528" s="119"/>
      <c r="M528" s="119"/>
      <c r="N528" s="119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19"/>
    </row>
    <row r="529" spans="1:26" x14ac:dyDescent="0.25">
      <c r="A529" s="119"/>
      <c r="B529" s="119"/>
      <c r="C529" s="119"/>
      <c r="D529" s="119"/>
      <c r="E529" s="119"/>
      <c r="F529" s="119"/>
      <c r="G529" s="119"/>
      <c r="H529" s="119"/>
      <c r="I529" s="119"/>
      <c r="J529" s="119"/>
      <c r="K529" s="119"/>
      <c r="L529" s="119"/>
      <c r="M529" s="119"/>
      <c r="N529" s="119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19"/>
    </row>
    <row r="530" spans="1:26" x14ac:dyDescent="0.25">
      <c r="A530" s="119"/>
      <c r="B530" s="119"/>
      <c r="C530" s="119"/>
      <c r="D530" s="119"/>
      <c r="E530" s="119"/>
      <c r="F530" s="119"/>
      <c r="G530" s="119"/>
      <c r="H530" s="119"/>
      <c r="I530" s="119"/>
      <c r="J530" s="119"/>
      <c r="K530" s="119"/>
      <c r="L530" s="119"/>
      <c r="M530" s="119"/>
      <c r="N530" s="119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19"/>
    </row>
    <row r="531" spans="1:26" x14ac:dyDescent="0.25">
      <c r="A531" s="119"/>
      <c r="B531" s="119"/>
      <c r="C531" s="119"/>
      <c r="D531" s="119"/>
      <c r="E531" s="119"/>
      <c r="F531" s="119"/>
      <c r="G531" s="119"/>
      <c r="H531" s="119"/>
      <c r="I531" s="119"/>
      <c r="J531" s="119"/>
      <c r="K531" s="119"/>
      <c r="L531" s="119"/>
      <c r="M531" s="119"/>
      <c r="N531" s="119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19"/>
    </row>
    <row r="532" spans="1:26" x14ac:dyDescent="0.25">
      <c r="A532" s="119"/>
      <c r="B532" s="119"/>
      <c r="C532" s="119"/>
      <c r="D532" s="119"/>
      <c r="E532" s="119"/>
      <c r="F532" s="119"/>
      <c r="G532" s="119"/>
      <c r="H532" s="119"/>
      <c r="I532" s="119"/>
      <c r="J532" s="119"/>
      <c r="K532" s="119"/>
      <c r="L532" s="119"/>
      <c r="M532" s="119"/>
      <c r="N532" s="119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19"/>
    </row>
    <row r="533" spans="1:26" x14ac:dyDescent="0.25">
      <c r="A533" s="119"/>
      <c r="B533" s="119"/>
      <c r="C533" s="119"/>
      <c r="D533" s="119"/>
      <c r="E533" s="119"/>
      <c r="F533" s="119"/>
      <c r="G533" s="119"/>
      <c r="H533" s="119"/>
      <c r="I533" s="119"/>
      <c r="J533" s="119"/>
      <c r="K533" s="119"/>
      <c r="L533" s="119"/>
      <c r="M533" s="119"/>
      <c r="N533" s="119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19"/>
    </row>
    <row r="534" spans="1:26" x14ac:dyDescent="0.25">
      <c r="A534" s="119"/>
      <c r="B534" s="119"/>
      <c r="C534" s="119"/>
      <c r="D534" s="119"/>
      <c r="E534" s="119"/>
      <c r="F534" s="119"/>
      <c r="G534" s="119"/>
      <c r="H534" s="119"/>
      <c r="I534" s="119"/>
      <c r="J534" s="119"/>
      <c r="K534" s="119"/>
      <c r="L534" s="119"/>
      <c r="M534" s="119"/>
      <c r="N534" s="119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19"/>
    </row>
    <row r="535" spans="1:26" x14ac:dyDescent="0.25">
      <c r="A535" s="119"/>
      <c r="B535" s="119"/>
      <c r="C535" s="119"/>
      <c r="D535" s="119"/>
      <c r="E535" s="119"/>
      <c r="F535" s="119"/>
      <c r="G535" s="119"/>
      <c r="H535" s="119"/>
      <c r="I535" s="119"/>
      <c r="J535" s="119"/>
      <c r="K535" s="119"/>
      <c r="L535" s="119"/>
      <c r="M535" s="119"/>
      <c r="N535" s="119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19"/>
    </row>
    <row r="536" spans="1:26" x14ac:dyDescent="0.25">
      <c r="A536" s="119"/>
      <c r="B536" s="119"/>
      <c r="C536" s="119"/>
      <c r="D536" s="119"/>
      <c r="E536" s="119"/>
      <c r="F536" s="119"/>
      <c r="G536" s="119"/>
      <c r="H536" s="119"/>
      <c r="I536" s="119"/>
      <c r="J536" s="119"/>
      <c r="K536" s="119"/>
      <c r="L536" s="119"/>
      <c r="M536" s="119"/>
      <c r="N536" s="119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19"/>
    </row>
    <row r="537" spans="1:26" x14ac:dyDescent="0.25">
      <c r="A537" s="119"/>
      <c r="B537" s="119"/>
      <c r="C537" s="119"/>
      <c r="D537" s="119"/>
      <c r="E537" s="119"/>
      <c r="F537" s="119"/>
      <c r="G537" s="119"/>
      <c r="H537" s="119"/>
      <c r="I537" s="119"/>
      <c r="J537" s="119"/>
      <c r="K537" s="119"/>
      <c r="L537" s="119"/>
      <c r="M537" s="119"/>
      <c r="N537" s="119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19"/>
    </row>
    <row r="538" spans="1:26" x14ac:dyDescent="0.25">
      <c r="A538" s="119"/>
      <c r="B538" s="119"/>
      <c r="C538" s="119"/>
      <c r="D538" s="119"/>
      <c r="E538" s="119"/>
      <c r="F538" s="119"/>
      <c r="G538" s="119"/>
      <c r="H538" s="119"/>
      <c r="I538" s="119"/>
      <c r="J538" s="119"/>
      <c r="K538" s="119"/>
      <c r="L538" s="119"/>
      <c r="M538" s="119"/>
      <c r="N538" s="119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19"/>
    </row>
    <row r="539" spans="1:26" x14ac:dyDescent="0.25">
      <c r="A539" s="119"/>
      <c r="B539" s="119"/>
      <c r="C539" s="119"/>
      <c r="D539" s="119"/>
      <c r="E539" s="119"/>
      <c r="F539" s="119"/>
      <c r="G539" s="119"/>
      <c r="H539" s="119"/>
      <c r="I539" s="119"/>
      <c r="J539" s="119"/>
      <c r="K539" s="119"/>
      <c r="L539" s="119"/>
      <c r="M539" s="119"/>
      <c r="N539" s="119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19"/>
    </row>
    <row r="540" spans="1:26" x14ac:dyDescent="0.25">
      <c r="A540" s="119"/>
      <c r="B540" s="119"/>
      <c r="C540" s="119"/>
      <c r="D540" s="119"/>
      <c r="E540" s="119"/>
      <c r="F540" s="119"/>
      <c r="G540" s="119"/>
      <c r="H540" s="119"/>
      <c r="I540" s="119"/>
      <c r="J540" s="119"/>
      <c r="K540" s="119"/>
      <c r="L540" s="119"/>
      <c r="M540" s="119"/>
      <c r="N540" s="119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19"/>
    </row>
    <row r="541" spans="1:26" x14ac:dyDescent="0.25">
      <c r="A541" s="119"/>
      <c r="B541" s="119"/>
      <c r="C541" s="119"/>
      <c r="D541" s="119"/>
      <c r="E541" s="119"/>
      <c r="F541" s="119"/>
      <c r="G541" s="119"/>
      <c r="H541" s="119"/>
      <c r="I541" s="119"/>
      <c r="J541" s="119"/>
      <c r="K541" s="119"/>
      <c r="L541" s="119"/>
      <c r="M541" s="119"/>
      <c r="N541" s="119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19"/>
    </row>
    <row r="542" spans="1:26" x14ac:dyDescent="0.25">
      <c r="A542" s="119"/>
      <c r="B542" s="119"/>
      <c r="C542" s="119"/>
      <c r="D542" s="119"/>
      <c r="E542" s="119"/>
      <c r="F542" s="119"/>
      <c r="G542" s="119"/>
      <c r="H542" s="119"/>
      <c r="I542" s="119"/>
      <c r="J542" s="119"/>
      <c r="K542" s="119"/>
      <c r="L542" s="119"/>
      <c r="M542" s="119"/>
      <c r="N542" s="119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19"/>
    </row>
    <row r="543" spans="1:26" x14ac:dyDescent="0.25">
      <c r="A543" s="119"/>
      <c r="B543" s="119"/>
      <c r="C543" s="119"/>
      <c r="D543" s="119"/>
      <c r="E543" s="119"/>
      <c r="F543" s="119"/>
      <c r="G543" s="119"/>
      <c r="H543" s="119"/>
      <c r="I543" s="119"/>
      <c r="J543" s="119"/>
      <c r="K543" s="119"/>
      <c r="L543" s="119"/>
      <c r="M543" s="119"/>
      <c r="N543" s="119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19"/>
    </row>
    <row r="544" spans="1:26" x14ac:dyDescent="0.25">
      <c r="A544" s="119"/>
      <c r="B544" s="119"/>
      <c r="C544" s="119"/>
      <c r="D544" s="119"/>
      <c r="E544" s="119"/>
      <c r="F544" s="119"/>
      <c r="G544" s="119"/>
      <c r="H544" s="119"/>
      <c r="I544" s="119"/>
      <c r="J544" s="119"/>
      <c r="K544" s="119"/>
      <c r="L544" s="119"/>
      <c r="M544" s="119"/>
      <c r="N544" s="119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19"/>
    </row>
    <row r="545" spans="1:26" x14ac:dyDescent="0.25">
      <c r="A545" s="119"/>
      <c r="B545" s="119"/>
      <c r="C545" s="119"/>
      <c r="D545" s="119"/>
      <c r="E545" s="119"/>
      <c r="F545" s="119"/>
      <c r="G545" s="119"/>
      <c r="H545" s="119"/>
      <c r="I545" s="119"/>
      <c r="J545" s="119"/>
      <c r="K545" s="119"/>
      <c r="L545" s="119"/>
      <c r="M545" s="119"/>
      <c r="N545" s="119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19"/>
    </row>
    <row r="546" spans="1:26" x14ac:dyDescent="0.25">
      <c r="A546" s="119"/>
      <c r="B546" s="119"/>
      <c r="C546" s="119"/>
      <c r="D546" s="119"/>
      <c r="E546" s="119"/>
      <c r="F546" s="119"/>
      <c r="G546" s="119"/>
      <c r="H546" s="119"/>
      <c r="I546" s="119"/>
      <c r="J546" s="119"/>
      <c r="K546" s="119"/>
      <c r="L546" s="119"/>
      <c r="M546" s="119"/>
      <c r="N546" s="119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19"/>
    </row>
    <row r="547" spans="1:26" x14ac:dyDescent="0.25">
      <c r="A547" s="119"/>
      <c r="B547" s="119"/>
      <c r="C547" s="119"/>
      <c r="D547" s="119"/>
      <c r="E547" s="119"/>
      <c r="F547" s="119"/>
      <c r="G547" s="119"/>
      <c r="H547" s="119"/>
      <c r="I547" s="119"/>
      <c r="J547" s="119"/>
      <c r="K547" s="119"/>
      <c r="L547" s="119"/>
      <c r="M547" s="119"/>
      <c r="N547" s="119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19"/>
    </row>
    <row r="548" spans="1:26" x14ac:dyDescent="0.25">
      <c r="A548" s="119"/>
      <c r="B548" s="119"/>
      <c r="C548" s="119"/>
      <c r="D548" s="119"/>
      <c r="E548" s="119"/>
      <c r="F548" s="119"/>
      <c r="G548" s="119"/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</row>
    <row r="549" spans="1:26" x14ac:dyDescent="0.25">
      <c r="A549" s="119"/>
      <c r="B549" s="119"/>
      <c r="C549" s="119"/>
      <c r="D549" s="119"/>
      <c r="E549" s="119"/>
      <c r="F549" s="119"/>
      <c r="G549" s="119"/>
      <c r="H549" s="119"/>
      <c r="I549" s="119"/>
      <c r="J549" s="119"/>
      <c r="K549" s="119"/>
      <c r="L549" s="119"/>
      <c r="M549" s="119"/>
      <c r="N549" s="119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19"/>
    </row>
    <row r="550" spans="1:26" x14ac:dyDescent="0.25">
      <c r="A550" s="119"/>
      <c r="B550" s="119"/>
      <c r="C550" s="119"/>
      <c r="D550" s="119"/>
      <c r="E550" s="119"/>
      <c r="F550" s="119"/>
      <c r="G550" s="119"/>
      <c r="H550" s="119"/>
      <c r="I550" s="119"/>
      <c r="J550" s="119"/>
      <c r="K550" s="119"/>
      <c r="L550" s="119"/>
      <c r="M550" s="119"/>
      <c r="N550" s="119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19"/>
    </row>
    <row r="551" spans="1:26" x14ac:dyDescent="0.25">
      <c r="A551" s="119"/>
      <c r="B551" s="119"/>
      <c r="C551" s="119"/>
      <c r="D551" s="119"/>
      <c r="E551" s="119"/>
      <c r="F551" s="119"/>
      <c r="G551" s="119"/>
      <c r="H551" s="119"/>
      <c r="I551" s="119"/>
      <c r="J551" s="119"/>
      <c r="K551" s="119"/>
      <c r="L551" s="119"/>
      <c r="M551" s="119"/>
      <c r="N551" s="119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19"/>
    </row>
    <row r="552" spans="1:26" x14ac:dyDescent="0.25">
      <c r="A552" s="119"/>
      <c r="B552" s="119"/>
      <c r="C552" s="119"/>
      <c r="D552" s="119"/>
      <c r="E552" s="119"/>
      <c r="F552" s="119"/>
      <c r="G552" s="119"/>
      <c r="H552" s="119"/>
      <c r="I552" s="119"/>
      <c r="J552" s="119"/>
      <c r="K552" s="119"/>
      <c r="L552" s="119"/>
      <c r="M552" s="119"/>
      <c r="N552" s="119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19"/>
    </row>
    <row r="553" spans="1:26" x14ac:dyDescent="0.25">
      <c r="A553" s="119"/>
      <c r="B553" s="119"/>
      <c r="C553" s="119"/>
      <c r="D553" s="119"/>
      <c r="E553" s="119"/>
      <c r="F553" s="119"/>
      <c r="G553" s="119"/>
      <c r="H553" s="119"/>
      <c r="I553" s="119"/>
      <c r="J553" s="119"/>
      <c r="K553" s="119"/>
      <c r="L553" s="119"/>
      <c r="M553" s="119"/>
      <c r="N553" s="119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19"/>
    </row>
    <row r="554" spans="1:26" x14ac:dyDescent="0.25">
      <c r="A554" s="119"/>
      <c r="B554" s="119"/>
      <c r="C554" s="119"/>
      <c r="D554" s="119"/>
      <c r="E554" s="119"/>
      <c r="F554" s="119"/>
      <c r="G554" s="119"/>
      <c r="H554" s="119"/>
      <c r="I554" s="119"/>
      <c r="J554" s="119"/>
      <c r="K554" s="119"/>
      <c r="L554" s="119"/>
      <c r="M554" s="119"/>
      <c r="N554" s="119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19"/>
    </row>
    <row r="555" spans="1:26" x14ac:dyDescent="0.25">
      <c r="A555" s="119"/>
      <c r="B555" s="119"/>
      <c r="C555" s="119"/>
      <c r="D555" s="119"/>
      <c r="E555" s="119"/>
      <c r="F555" s="119"/>
      <c r="G555" s="119"/>
      <c r="H555" s="119"/>
      <c r="I555" s="119"/>
      <c r="J555" s="119"/>
      <c r="K555" s="119"/>
      <c r="L555" s="119"/>
      <c r="M555" s="119"/>
      <c r="N555" s="119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19"/>
    </row>
    <row r="556" spans="1:26" x14ac:dyDescent="0.25">
      <c r="A556" s="119"/>
      <c r="B556" s="119"/>
      <c r="C556" s="119"/>
      <c r="D556" s="119"/>
      <c r="E556" s="119"/>
      <c r="F556" s="119"/>
      <c r="G556" s="119"/>
      <c r="H556" s="119"/>
      <c r="I556" s="119"/>
      <c r="J556" s="119"/>
      <c r="K556" s="119"/>
      <c r="L556" s="119"/>
      <c r="M556" s="119"/>
      <c r="N556" s="119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19"/>
    </row>
    <row r="557" spans="1:26" x14ac:dyDescent="0.25">
      <c r="A557" s="119"/>
      <c r="B557" s="119"/>
      <c r="C557" s="119"/>
      <c r="D557" s="119"/>
      <c r="E557" s="119"/>
      <c r="F557" s="119"/>
      <c r="G557" s="119"/>
      <c r="H557" s="119"/>
      <c r="I557" s="119"/>
      <c r="J557" s="119"/>
      <c r="K557" s="119"/>
      <c r="L557" s="119"/>
      <c r="M557" s="119"/>
      <c r="N557" s="119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19"/>
    </row>
    <row r="558" spans="1:26" x14ac:dyDescent="0.25">
      <c r="A558" s="119"/>
      <c r="B558" s="119"/>
      <c r="C558" s="119"/>
      <c r="D558" s="119"/>
      <c r="E558" s="119"/>
      <c r="F558" s="119"/>
      <c r="G558" s="119"/>
      <c r="H558" s="119"/>
      <c r="I558" s="119"/>
      <c r="J558" s="119"/>
      <c r="K558" s="119"/>
      <c r="L558" s="119"/>
      <c r="M558" s="119"/>
      <c r="N558" s="119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19"/>
    </row>
    <row r="559" spans="1:26" x14ac:dyDescent="0.25">
      <c r="A559" s="119"/>
      <c r="B559" s="119"/>
      <c r="C559" s="119"/>
      <c r="D559" s="119"/>
      <c r="E559" s="119"/>
      <c r="F559" s="119"/>
      <c r="G559" s="119"/>
      <c r="H559" s="119"/>
      <c r="I559" s="119"/>
      <c r="J559" s="119"/>
      <c r="K559" s="119"/>
      <c r="L559" s="119"/>
      <c r="M559" s="119"/>
      <c r="N559" s="119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19"/>
    </row>
    <row r="560" spans="1:26" x14ac:dyDescent="0.25">
      <c r="A560" s="119"/>
      <c r="B560" s="119"/>
      <c r="C560" s="119"/>
      <c r="D560" s="119"/>
      <c r="E560" s="119"/>
      <c r="F560" s="119"/>
      <c r="G560" s="119"/>
      <c r="H560" s="119"/>
      <c r="I560" s="119"/>
      <c r="J560" s="119"/>
      <c r="K560" s="119"/>
      <c r="L560" s="119"/>
      <c r="M560" s="119"/>
      <c r="N560" s="119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19"/>
    </row>
    <row r="561" spans="1:26" x14ac:dyDescent="0.25">
      <c r="A561" s="119"/>
      <c r="B561" s="119"/>
      <c r="C561" s="119"/>
      <c r="D561" s="119"/>
      <c r="E561" s="119"/>
      <c r="F561" s="119"/>
      <c r="G561" s="119"/>
      <c r="H561" s="119"/>
      <c r="I561" s="119"/>
      <c r="J561" s="119"/>
      <c r="K561" s="119"/>
      <c r="L561" s="119"/>
      <c r="M561" s="119"/>
      <c r="N561" s="119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19"/>
    </row>
    <row r="562" spans="1:26" x14ac:dyDescent="0.25">
      <c r="A562" s="119"/>
      <c r="B562" s="119"/>
      <c r="C562" s="119"/>
      <c r="D562" s="119"/>
      <c r="E562" s="119"/>
      <c r="F562" s="119"/>
      <c r="G562" s="119"/>
      <c r="H562" s="119"/>
      <c r="I562" s="119"/>
      <c r="J562" s="119"/>
      <c r="K562" s="119"/>
      <c r="L562" s="119"/>
      <c r="M562" s="119"/>
      <c r="N562" s="119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19"/>
    </row>
    <row r="563" spans="1:26" x14ac:dyDescent="0.25">
      <c r="A563" s="119"/>
      <c r="B563" s="119"/>
      <c r="C563" s="119"/>
      <c r="D563" s="119"/>
      <c r="E563" s="119"/>
      <c r="F563" s="119"/>
      <c r="G563" s="119"/>
      <c r="H563" s="119"/>
      <c r="I563" s="119"/>
      <c r="J563" s="119"/>
      <c r="K563" s="119"/>
      <c r="L563" s="119"/>
      <c r="M563" s="119"/>
      <c r="N563" s="119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19"/>
    </row>
    <row r="564" spans="1:26" x14ac:dyDescent="0.25">
      <c r="A564" s="119"/>
      <c r="B564" s="119"/>
      <c r="C564" s="119"/>
      <c r="D564" s="119"/>
      <c r="E564" s="119"/>
      <c r="F564" s="119"/>
      <c r="G564" s="119"/>
      <c r="H564" s="119"/>
      <c r="I564" s="119"/>
      <c r="J564" s="119"/>
      <c r="K564" s="119"/>
      <c r="L564" s="119"/>
      <c r="M564" s="119"/>
      <c r="N564" s="119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19"/>
    </row>
    <row r="565" spans="1:26" x14ac:dyDescent="0.25">
      <c r="A565" s="119"/>
      <c r="B565" s="119"/>
      <c r="C565" s="119"/>
      <c r="D565" s="119"/>
      <c r="E565" s="119"/>
      <c r="F565" s="119"/>
      <c r="G565" s="119"/>
      <c r="H565" s="119"/>
      <c r="I565" s="119"/>
      <c r="J565" s="119"/>
      <c r="K565" s="119"/>
      <c r="L565" s="119"/>
      <c r="M565" s="119"/>
      <c r="N565" s="119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19"/>
    </row>
    <row r="566" spans="1:26" x14ac:dyDescent="0.25">
      <c r="A566" s="119"/>
      <c r="B566" s="119"/>
      <c r="C566" s="119"/>
      <c r="D566" s="119"/>
      <c r="E566" s="119"/>
      <c r="F566" s="119"/>
      <c r="G566" s="119"/>
      <c r="H566" s="119"/>
      <c r="I566" s="119"/>
      <c r="J566" s="119"/>
      <c r="K566" s="119"/>
      <c r="L566" s="119"/>
      <c r="M566" s="119"/>
      <c r="N566" s="119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19"/>
    </row>
    <row r="567" spans="1:26" x14ac:dyDescent="0.25">
      <c r="A567" s="119"/>
      <c r="B567" s="119"/>
      <c r="C567" s="119"/>
      <c r="D567" s="119"/>
      <c r="E567" s="119"/>
      <c r="F567" s="119"/>
      <c r="G567" s="119"/>
      <c r="H567" s="119"/>
      <c r="I567" s="119"/>
      <c r="J567" s="119"/>
      <c r="K567" s="119"/>
      <c r="L567" s="119"/>
      <c r="M567" s="119"/>
      <c r="N567" s="119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19"/>
    </row>
    <row r="568" spans="1:26" x14ac:dyDescent="0.25">
      <c r="A568" s="119"/>
      <c r="B568" s="119"/>
      <c r="C568" s="119"/>
      <c r="D568" s="119"/>
      <c r="E568" s="119"/>
      <c r="F568" s="119"/>
      <c r="G568" s="119"/>
      <c r="H568" s="119"/>
      <c r="I568" s="119"/>
      <c r="J568" s="119"/>
      <c r="K568" s="119"/>
      <c r="L568" s="119"/>
      <c r="M568" s="119"/>
      <c r="N568" s="119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19"/>
    </row>
    <row r="569" spans="1:26" x14ac:dyDescent="0.25">
      <c r="A569" s="119"/>
      <c r="B569" s="119"/>
      <c r="C569" s="119"/>
      <c r="D569" s="119"/>
      <c r="E569" s="119"/>
      <c r="F569" s="119"/>
      <c r="G569" s="119"/>
      <c r="H569" s="119"/>
      <c r="I569" s="119"/>
      <c r="J569" s="119"/>
      <c r="K569" s="119"/>
      <c r="L569" s="119"/>
      <c r="M569" s="119"/>
      <c r="N569" s="119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19"/>
    </row>
    <row r="570" spans="1:26" x14ac:dyDescent="0.25">
      <c r="A570" s="119"/>
      <c r="B570" s="119"/>
      <c r="C570" s="119"/>
      <c r="D570" s="119"/>
      <c r="E570" s="119"/>
      <c r="F570" s="119"/>
      <c r="G570" s="119"/>
      <c r="H570" s="119"/>
      <c r="I570" s="119"/>
      <c r="J570" s="119"/>
      <c r="K570" s="119"/>
      <c r="L570" s="119"/>
      <c r="M570" s="119"/>
      <c r="N570" s="119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19"/>
    </row>
    <row r="571" spans="1:26" x14ac:dyDescent="0.25">
      <c r="A571" s="119"/>
      <c r="B571" s="119"/>
      <c r="C571" s="119"/>
      <c r="D571" s="119"/>
      <c r="E571" s="119"/>
      <c r="F571" s="119"/>
      <c r="G571" s="119"/>
      <c r="H571" s="119"/>
      <c r="I571" s="119"/>
      <c r="J571" s="119"/>
      <c r="K571" s="119"/>
      <c r="L571" s="119"/>
      <c r="M571" s="119"/>
      <c r="N571" s="119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19"/>
    </row>
    <row r="572" spans="1:26" x14ac:dyDescent="0.25">
      <c r="A572" s="119"/>
      <c r="B572" s="119"/>
      <c r="C572" s="119"/>
      <c r="D572" s="119"/>
      <c r="E572" s="119"/>
      <c r="F572" s="119"/>
      <c r="G572" s="119"/>
      <c r="H572" s="119"/>
      <c r="I572" s="119"/>
      <c r="J572" s="119"/>
      <c r="K572" s="119"/>
      <c r="L572" s="119"/>
      <c r="M572" s="119"/>
      <c r="N572" s="119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19"/>
    </row>
    <row r="573" spans="1:26" x14ac:dyDescent="0.25">
      <c r="A573" s="119"/>
      <c r="B573" s="119"/>
      <c r="C573" s="119"/>
      <c r="D573" s="119"/>
      <c r="E573" s="119"/>
      <c r="F573" s="119"/>
      <c r="G573" s="119"/>
      <c r="H573" s="119"/>
      <c r="I573" s="119"/>
      <c r="J573" s="119"/>
      <c r="K573" s="119"/>
      <c r="L573" s="119"/>
      <c r="M573" s="119"/>
      <c r="N573" s="119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19"/>
    </row>
    <row r="574" spans="1:26" x14ac:dyDescent="0.25">
      <c r="A574" s="119"/>
      <c r="B574" s="119"/>
      <c r="C574" s="119"/>
      <c r="D574" s="119"/>
      <c r="E574" s="119"/>
      <c r="F574" s="119"/>
      <c r="G574" s="119"/>
      <c r="H574" s="119"/>
      <c r="I574" s="119"/>
      <c r="J574" s="119"/>
      <c r="K574" s="119"/>
      <c r="L574" s="119"/>
      <c r="M574" s="119"/>
      <c r="N574" s="119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19"/>
    </row>
    <row r="575" spans="1:26" x14ac:dyDescent="0.25">
      <c r="A575" s="119"/>
      <c r="B575" s="119"/>
      <c r="C575" s="119"/>
      <c r="D575" s="119"/>
      <c r="E575" s="119"/>
      <c r="F575" s="119"/>
      <c r="G575" s="119"/>
      <c r="H575" s="119"/>
      <c r="I575" s="119"/>
      <c r="J575" s="119"/>
      <c r="K575" s="119"/>
      <c r="L575" s="119"/>
      <c r="M575" s="119"/>
      <c r="N575" s="119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19"/>
    </row>
    <row r="576" spans="1:26" x14ac:dyDescent="0.25">
      <c r="A576" s="119"/>
      <c r="B576" s="119"/>
      <c r="C576" s="119"/>
      <c r="D576" s="119"/>
      <c r="E576" s="119"/>
      <c r="F576" s="119"/>
      <c r="G576" s="119"/>
      <c r="H576" s="119"/>
      <c r="I576" s="119"/>
      <c r="J576" s="119"/>
      <c r="K576" s="119"/>
      <c r="L576" s="119"/>
      <c r="M576" s="119"/>
      <c r="N576" s="119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19"/>
    </row>
    <row r="577" spans="1:26" x14ac:dyDescent="0.25">
      <c r="A577" s="119"/>
      <c r="B577" s="119"/>
      <c r="C577" s="119"/>
      <c r="D577" s="119"/>
      <c r="E577" s="119"/>
      <c r="F577" s="119"/>
      <c r="G577" s="119"/>
      <c r="H577" s="119"/>
      <c r="I577" s="119"/>
      <c r="J577" s="119"/>
      <c r="K577" s="119"/>
      <c r="L577" s="119"/>
      <c r="M577" s="119"/>
      <c r="N577" s="119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19"/>
    </row>
    <row r="578" spans="1:26" x14ac:dyDescent="0.25">
      <c r="A578" s="119"/>
      <c r="B578" s="119"/>
      <c r="C578" s="119"/>
      <c r="D578" s="119"/>
      <c r="E578" s="119"/>
      <c r="F578" s="119"/>
      <c r="G578" s="119"/>
      <c r="H578" s="119"/>
      <c r="I578" s="119"/>
      <c r="J578" s="119"/>
      <c r="K578" s="119"/>
      <c r="L578" s="119"/>
      <c r="M578" s="119"/>
      <c r="N578" s="119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19"/>
    </row>
    <row r="579" spans="1:26" x14ac:dyDescent="0.25">
      <c r="A579" s="119"/>
      <c r="B579" s="119"/>
      <c r="C579" s="119"/>
      <c r="D579" s="119"/>
      <c r="E579" s="119"/>
      <c r="F579" s="119"/>
      <c r="G579" s="119"/>
      <c r="H579" s="119"/>
      <c r="I579" s="119"/>
      <c r="J579" s="119"/>
      <c r="K579" s="119"/>
      <c r="L579" s="119"/>
      <c r="M579" s="119"/>
      <c r="N579" s="119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19"/>
    </row>
    <row r="580" spans="1:26" x14ac:dyDescent="0.25">
      <c r="A580" s="119"/>
      <c r="B580" s="119"/>
      <c r="C580" s="119"/>
      <c r="D580" s="119"/>
      <c r="E580" s="119"/>
      <c r="F580" s="119"/>
      <c r="G580" s="119"/>
      <c r="H580" s="119"/>
      <c r="I580" s="119"/>
      <c r="J580" s="119"/>
      <c r="K580" s="119"/>
      <c r="L580" s="119"/>
      <c r="M580" s="119"/>
      <c r="N580" s="119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19"/>
    </row>
    <row r="581" spans="1:26" x14ac:dyDescent="0.25">
      <c r="A581" s="119"/>
      <c r="B581" s="119"/>
      <c r="C581" s="119"/>
      <c r="D581" s="119"/>
      <c r="E581" s="119"/>
      <c r="F581" s="119"/>
      <c r="G581" s="119"/>
      <c r="H581" s="119"/>
      <c r="I581" s="119"/>
      <c r="J581" s="119"/>
      <c r="K581" s="119"/>
      <c r="L581" s="119"/>
      <c r="M581" s="119"/>
      <c r="N581" s="119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19"/>
    </row>
    <row r="582" spans="1:26" x14ac:dyDescent="0.25">
      <c r="A582" s="119"/>
      <c r="B582" s="119"/>
      <c r="C582" s="119"/>
      <c r="D582" s="119"/>
      <c r="E582" s="119"/>
      <c r="F582" s="119"/>
      <c r="G582" s="119"/>
      <c r="H582" s="119"/>
      <c r="I582" s="119"/>
      <c r="J582" s="119"/>
      <c r="K582" s="119"/>
      <c r="L582" s="119"/>
      <c r="M582" s="119"/>
      <c r="N582" s="119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19"/>
    </row>
    <row r="583" spans="1:26" x14ac:dyDescent="0.25">
      <c r="A583" s="119"/>
      <c r="B583" s="119"/>
      <c r="C583" s="119"/>
      <c r="D583" s="119"/>
      <c r="E583" s="119"/>
      <c r="F583" s="119"/>
      <c r="G583" s="119"/>
      <c r="H583" s="119"/>
      <c r="I583" s="119"/>
      <c r="J583" s="119"/>
      <c r="K583" s="119"/>
      <c r="L583" s="119"/>
      <c r="M583" s="119"/>
      <c r="N583" s="119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19"/>
    </row>
    <row r="584" spans="1:26" x14ac:dyDescent="0.25">
      <c r="A584" s="119"/>
      <c r="B584" s="119"/>
      <c r="C584" s="119"/>
      <c r="D584" s="119"/>
      <c r="E584" s="119"/>
      <c r="F584" s="119"/>
      <c r="G584" s="119"/>
      <c r="H584" s="119"/>
      <c r="I584" s="119"/>
      <c r="J584" s="119"/>
      <c r="K584" s="119"/>
      <c r="L584" s="119"/>
      <c r="M584" s="119"/>
      <c r="N584" s="119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19"/>
    </row>
    <row r="585" spans="1:26" x14ac:dyDescent="0.25">
      <c r="A585" s="119"/>
      <c r="B585" s="119"/>
      <c r="C585" s="119"/>
      <c r="D585" s="119"/>
      <c r="E585" s="119"/>
      <c r="F585" s="119"/>
      <c r="G585" s="119"/>
      <c r="H585" s="119"/>
      <c r="I585" s="119"/>
      <c r="J585" s="119"/>
      <c r="K585" s="119"/>
      <c r="L585" s="119"/>
      <c r="M585" s="119"/>
      <c r="N585" s="119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19"/>
    </row>
    <row r="586" spans="1:26" x14ac:dyDescent="0.25">
      <c r="A586" s="119"/>
      <c r="B586" s="119"/>
      <c r="C586" s="119"/>
      <c r="D586" s="119"/>
      <c r="E586" s="119"/>
      <c r="F586" s="119"/>
      <c r="G586" s="119"/>
      <c r="H586" s="119"/>
      <c r="I586" s="119"/>
      <c r="J586" s="119"/>
      <c r="K586" s="119"/>
      <c r="L586" s="119"/>
      <c r="M586" s="119"/>
      <c r="N586" s="119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19"/>
    </row>
    <row r="587" spans="1:26" x14ac:dyDescent="0.25">
      <c r="A587" s="119"/>
      <c r="B587" s="119"/>
      <c r="C587" s="119"/>
      <c r="D587" s="119"/>
      <c r="E587" s="119"/>
      <c r="F587" s="119"/>
      <c r="G587" s="119"/>
      <c r="H587" s="119"/>
      <c r="I587" s="119"/>
      <c r="J587" s="119"/>
      <c r="K587" s="119"/>
      <c r="L587" s="119"/>
      <c r="M587" s="119"/>
      <c r="N587" s="119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19"/>
    </row>
    <row r="588" spans="1:26" x14ac:dyDescent="0.25">
      <c r="A588" s="119"/>
      <c r="B588" s="119"/>
      <c r="C588" s="119"/>
      <c r="D588" s="119"/>
      <c r="E588" s="119"/>
      <c r="F588" s="119"/>
      <c r="G588" s="119"/>
      <c r="H588" s="119"/>
      <c r="I588" s="119"/>
      <c r="J588" s="119"/>
      <c r="K588" s="119"/>
      <c r="L588" s="119"/>
      <c r="M588" s="119"/>
      <c r="N588" s="119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19"/>
    </row>
    <row r="589" spans="1:26" x14ac:dyDescent="0.25">
      <c r="A589" s="119"/>
      <c r="B589" s="119"/>
      <c r="C589" s="119"/>
      <c r="D589" s="119"/>
      <c r="E589" s="119"/>
      <c r="F589" s="119"/>
      <c r="G589" s="119"/>
      <c r="H589" s="119"/>
      <c r="I589" s="119"/>
      <c r="J589" s="119"/>
      <c r="K589" s="119"/>
      <c r="L589" s="119"/>
      <c r="M589" s="119"/>
      <c r="N589" s="119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19"/>
    </row>
    <row r="590" spans="1:26" x14ac:dyDescent="0.25">
      <c r="A590" s="119"/>
      <c r="B590" s="119"/>
      <c r="C590" s="119"/>
      <c r="D590" s="119"/>
      <c r="E590" s="119"/>
      <c r="F590" s="119"/>
      <c r="G590" s="119"/>
      <c r="H590" s="119"/>
      <c r="I590" s="119"/>
      <c r="J590" s="119"/>
      <c r="K590" s="119"/>
      <c r="L590" s="119"/>
      <c r="M590" s="119"/>
      <c r="N590" s="119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19"/>
    </row>
    <row r="591" spans="1:26" x14ac:dyDescent="0.25">
      <c r="A591" s="119"/>
      <c r="B591" s="119"/>
      <c r="C591" s="119"/>
      <c r="D591" s="119"/>
      <c r="E591" s="119"/>
      <c r="F591" s="119"/>
      <c r="G591" s="119"/>
      <c r="H591" s="119"/>
      <c r="I591" s="119"/>
      <c r="J591" s="119"/>
      <c r="K591" s="119"/>
      <c r="L591" s="119"/>
      <c r="M591" s="119"/>
      <c r="N591" s="119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19"/>
    </row>
    <row r="592" spans="1:26" x14ac:dyDescent="0.25">
      <c r="A592" s="119"/>
      <c r="B592" s="119"/>
      <c r="C592" s="119"/>
      <c r="D592" s="119"/>
      <c r="E592" s="119"/>
      <c r="F592" s="119"/>
      <c r="G592" s="119"/>
      <c r="H592" s="119"/>
      <c r="I592" s="119"/>
      <c r="J592" s="119"/>
      <c r="K592" s="119"/>
      <c r="L592" s="119"/>
      <c r="M592" s="119"/>
      <c r="N592" s="119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19"/>
    </row>
    <row r="593" spans="1:26" x14ac:dyDescent="0.25">
      <c r="A593" s="119"/>
      <c r="B593" s="119"/>
      <c r="C593" s="119"/>
      <c r="D593" s="119"/>
      <c r="E593" s="119"/>
      <c r="F593" s="119"/>
      <c r="G593" s="119"/>
      <c r="H593" s="119"/>
      <c r="I593" s="119"/>
      <c r="J593" s="119"/>
      <c r="K593" s="119"/>
      <c r="L593" s="119"/>
      <c r="M593" s="119"/>
      <c r="N593" s="119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19"/>
    </row>
    <row r="594" spans="1:26" x14ac:dyDescent="0.25">
      <c r="A594" s="119"/>
      <c r="B594" s="119"/>
      <c r="C594" s="119"/>
      <c r="D594" s="119"/>
      <c r="E594" s="119"/>
      <c r="F594" s="119"/>
      <c r="G594" s="119"/>
      <c r="H594" s="119"/>
      <c r="I594" s="119"/>
      <c r="J594" s="119"/>
      <c r="K594" s="119"/>
      <c r="L594" s="119"/>
      <c r="M594" s="119"/>
      <c r="N594" s="119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19"/>
    </row>
    <row r="595" spans="1:26" x14ac:dyDescent="0.25">
      <c r="A595" s="119"/>
      <c r="B595" s="119"/>
      <c r="C595" s="119"/>
      <c r="D595" s="119"/>
      <c r="E595" s="119"/>
      <c r="F595" s="119"/>
      <c r="G595" s="119"/>
      <c r="H595" s="119"/>
      <c r="I595" s="119"/>
      <c r="J595" s="119"/>
      <c r="K595" s="119"/>
      <c r="L595" s="119"/>
      <c r="M595" s="119"/>
      <c r="N595" s="119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19"/>
    </row>
    <row r="596" spans="1:26" x14ac:dyDescent="0.25">
      <c r="A596" s="119"/>
      <c r="B596" s="119"/>
      <c r="C596" s="119"/>
      <c r="D596" s="119"/>
      <c r="E596" s="119"/>
      <c r="F596" s="119"/>
      <c r="G596" s="119"/>
      <c r="H596" s="119"/>
      <c r="I596" s="119"/>
      <c r="J596" s="119"/>
      <c r="K596" s="119"/>
      <c r="L596" s="119"/>
      <c r="M596" s="119"/>
      <c r="N596" s="119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19"/>
    </row>
    <row r="597" spans="1:26" x14ac:dyDescent="0.25">
      <c r="A597" s="119"/>
      <c r="B597" s="119"/>
      <c r="C597" s="119"/>
      <c r="D597" s="119"/>
      <c r="E597" s="119"/>
      <c r="F597" s="119"/>
      <c r="G597" s="119"/>
      <c r="H597" s="119"/>
      <c r="I597" s="119"/>
      <c r="J597" s="119"/>
      <c r="K597" s="119"/>
      <c r="L597" s="119"/>
      <c r="M597" s="119"/>
      <c r="N597" s="119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19"/>
    </row>
    <row r="598" spans="1:26" x14ac:dyDescent="0.25">
      <c r="A598" s="119"/>
      <c r="B598" s="119"/>
      <c r="C598" s="119"/>
      <c r="D598" s="119"/>
      <c r="E598" s="119"/>
      <c r="F598" s="119"/>
      <c r="G598" s="119"/>
      <c r="H598" s="119"/>
      <c r="I598" s="119"/>
      <c r="J598" s="119"/>
      <c r="K598" s="119"/>
      <c r="L598" s="119"/>
      <c r="M598" s="119"/>
      <c r="N598" s="119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19"/>
    </row>
    <row r="599" spans="1:26" x14ac:dyDescent="0.25">
      <c r="A599" s="119"/>
      <c r="B599" s="119"/>
      <c r="C599" s="119"/>
      <c r="D599" s="119"/>
      <c r="E599" s="119"/>
      <c r="F599" s="119"/>
      <c r="G599" s="119"/>
      <c r="H599" s="119"/>
      <c r="I599" s="119"/>
      <c r="J599" s="119"/>
      <c r="K599" s="119"/>
      <c r="L599" s="119"/>
      <c r="M599" s="119"/>
      <c r="N599" s="119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19"/>
    </row>
    <row r="600" spans="1:26" x14ac:dyDescent="0.25">
      <c r="A600" s="119"/>
      <c r="B600" s="119"/>
      <c r="C600" s="119"/>
      <c r="D600" s="119"/>
      <c r="E600" s="119"/>
      <c r="F600" s="119"/>
      <c r="G600" s="119"/>
      <c r="H600" s="119"/>
      <c r="I600" s="119"/>
      <c r="J600" s="119"/>
      <c r="K600" s="119"/>
      <c r="L600" s="119"/>
      <c r="M600" s="119"/>
      <c r="N600" s="119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19"/>
    </row>
    <row r="601" spans="1:26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spans="1:26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</sheetData>
  <dataConsolidate/>
  <mergeCells count="1">
    <mergeCell ref="B3:G3"/>
  </mergeCells>
  <phoneticPr fontId="12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373380</xdr:colOff>
                <xdr:row>1</xdr:row>
                <xdr:rowOff>0</xdr:rowOff>
              </from>
              <to>
                <xdr:col>5</xdr:col>
                <xdr:colOff>678180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259080</xdr:colOff>
                <xdr:row>0</xdr:row>
                <xdr:rowOff>137160</xdr:rowOff>
              </from>
              <to>
                <xdr:col>9</xdr:col>
                <xdr:colOff>304800</xdr:colOff>
                <xdr:row>1</xdr:row>
                <xdr:rowOff>259080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09375" defaultRowHeight="15.6" x14ac:dyDescent="0.3"/>
  <cols>
    <col min="1" max="1" width="7.44140625" style="47" customWidth="1"/>
    <col min="2" max="2" width="7.88671875" style="47" customWidth="1"/>
    <col min="3" max="3" width="39.109375" style="50" bestFit="1" customWidth="1"/>
    <col min="4" max="4" width="4.33203125" style="47" customWidth="1"/>
    <col min="5" max="6" width="11.44140625" style="47" customWidth="1"/>
    <col min="7" max="7" width="20" style="47" customWidth="1"/>
    <col min="8" max="8" width="11.44140625" style="47" customWidth="1"/>
    <col min="9" max="9" width="4.33203125" style="47" customWidth="1"/>
    <col min="10" max="16384" width="9.109375" style="47"/>
  </cols>
  <sheetData>
    <row r="1" spans="1:26" s="12" customFormat="1" ht="15" x14ac:dyDescent="0.25">
      <c r="A1" s="155" t="s">
        <v>191</v>
      </c>
      <c r="B1" s="12" t="str">
        <f>Issue</f>
        <v>2025/26 Show Season (final)</v>
      </c>
      <c r="C1" s="51"/>
    </row>
    <row r="2" spans="1:26" x14ac:dyDescent="0.3">
      <c r="H2" s="75"/>
      <c r="I2"/>
    </row>
    <row r="3" spans="1:26" ht="24.6" x14ac:dyDescent="0.4">
      <c r="B3" s="139"/>
      <c r="C3" s="361" t="s">
        <v>259</v>
      </c>
      <c r="D3" s="53"/>
      <c r="E3" s="54" t="str">
        <f>VLOOKUP(SelShowDay,ShowDates,3,FALSE)</f>
        <v>Sunday 9/28/2025</v>
      </c>
      <c r="F3" s="53"/>
      <c r="G3" s="53"/>
      <c r="H3" s="83" t="s">
        <v>110</v>
      </c>
      <c r="I3" s="55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3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3">
      <c r="A5" s="72"/>
      <c r="C5" s="51" t="s">
        <v>142</v>
      </c>
      <c r="F5" s="12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3">
      <c r="A6" s="52">
        <v>8</v>
      </c>
      <c r="B6" s="45" t="s">
        <v>92</v>
      </c>
      <c r="C6" s="45" t="s">
        <v>93</v>
      </c>
      <c r="D6" s="45" t="s">
        <v>94</v>
      </c>
      <c r="E6" s="45" t="s">
        <v>95</v>
      </c>
      <c r="F6" s="45" t="s">
        <v>96</v>
      </c>
      <c r="G6" s="45" t="s">
        <v>97</v>
      </c>
      <c r="H6" s="45" t="s">
        <v>98</v>
      </c>
      <c r="I6" s="45" t="s">
        <v>99</v>
      </c>
      <c r="J6" s="45" t="s">
        <v>100</v>
      </c>
      <c r="K6" s="45" t="s">
        <v>101</v>
      </c>
      <c r="L6" s="45" t="s">
        <v>110</v>
      </c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3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3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3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3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3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3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3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3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8B59197E-56B3-4575-87F1-C680842284A4}">
      <formula1>B6:L6</formula1>
    </dataValidation>
  </dataValidations>
  <pageMargins left="0.75" right="0.75" top="1" bottom="1" header="0.5" footer="0.5"/>
  <pageSetup scale="80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7620</xdr:rowOff>
              </from>
              <to>
                <xdr:col>12</xdr:col>
                <xdr:colOff>594360</xdr:colOff>
                <xdr:row>2</xdr:row>
                <xdr:rowOff>266700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12</xdr:col>
                <xdr:colOff>594360</xdr:colOff>
                <xdr:row>6</xdr:row>
                <xdr:rowOff>91440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236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2024/2025</v>
      </c>
    </row>
    <row r="4" spans="1:26" x14ac:dyDescent="0.3">
      <c r="C4" s="47" t="s">
        <v>142</v>
      </c>
    </row>
    <row r="5" spans="1:26" x14ac:dyDescent="0.3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282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16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16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75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20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283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338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84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7620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129540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236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2024/2025</v>
      </c>
    </row>
    <row r="4" spans="1:26" x14ac:dyDescent="0.3">
      <c r="C4" s="47" t="s">
        <v>142</v>
      </c>
    </row>
    <row r="5" spans="1:26" x14ac:dyDescent="0.3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ht="16.2" thickBot="1" x14ac:dyDescent="0.35">
      <c r="A17" s="48"/>
      <c r="B17" s="48" t="s">
        <v>92</v>
      </c>
      <c r="C17" s="48" t="s">
        <v>41</v>
      </c>
      <c r="D17" s="49"/>
      <c r="E17" s="49"/>
      <c r="F17" s="49"/>
      <c r="G17" s="49"/>
      <c r="H17" s="49"/>
      <c r="I17" s="49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93</v>
      </c>
      <c r="C19" s="48" t="s">
        <v>41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 t="s">
        <v>282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92</v>
      </c>
      <c r="C23" s="48" t="s">
        <v>253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93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94</v>
      </c>
      <c r="C27" s="48" t="s">
        <v>253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95</v>
      </c>
      <c r="C29" s="48" t="s">
        <v>338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96</v>
      </c>
      <c r="C31" s="48" t="s">
        <v>88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97</v>
      </c>
      <c r="C33" s="48" t="s">
        <v>88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98</v>
      </c>
      <c r="C35" s="48" t="s">
        <v>320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99</v>
      </c>
      <c r="C37" s="48" t="s">
        <v>338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6.2" thickBot="1" x14ac:dyDescent="0.35">
      <c r="A39" s="48"/>
      <c r="B39" s="48" t="s">
        <v>100</v>
      </c>
      <c r="C39" s="48" t="s">
        <v>84</v>
      </c>
      <c r="D39" s="49"/>
      <c r="E39" s="49"/>
      <c r="F39" s="49"/>
      <c r="G39" s="49"/>
      <c r="H39" s="49"/>
      <c r="I39" s="49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101</v>
      </c>
      <c r="C41" s="48" t="s">
        <v>320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 t="s">
        <v>283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94</v>
      </c>
      <c r="C45" s="48" t="s">
        <v>218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95</v>
      </c>
      <c r="C47" s="48" t="s">
        <v>338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96</v>
      </c>
      <c r="C49" s="48" t="s">
        <v>83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97</v>
      </c>
      <c r="C51" s="48" t="s">
        <v>18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98</v>
      </c>
      <c r="C53" s="48" t="s">
        <v>41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6.2" thickBot="1" x14ac:dyDescent="0.35">
      <c r="A55" s="48"/>
      <c r="B55" s="48" t="s">
        <v>99</v>
      </c>
      <c r="C55" s="48" t="s">
        <v>37</v>
      </c>
      <c r="D55" s="49"/>
      <c r="E55" s="49"/>
      <c r="F55" s="49"/>
      <c r="G55" s="49"/>
      <c r="H55" s="49"/>
      <c r="I55" s="49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6.2" thickBot="1" x14ac:dyDescent="0.35">
      <c r="A57" s="48"/>
      <c r="B57" s="48" t="s">
        <v>100</v>
      </c>
      <c r="C57" s="48" t="s">
        <v>88</v>
      </c>
      <c r="D57" s="49"/>
      <c r="E57" s="49"/>
      <c r="F57" s="49"/>
      <c r="G57" s="49"/>
      <c r="H57" s="49"/>
      <c r="I57" s="49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213360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7620</xdr:colOff>
                <xdr:row>3</xdr:row>
                <xdr:rowOff>7620</xdr:rowOff>
              </from>
              <to>
                <xdr:col>12</xdr:col>
                <xdr:colOff>594360</xdr:colOff>
                <xdr:row>4</xdr:row>
                <xdr:rowOff>137160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2024/2025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80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80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80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80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80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80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320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2024/2025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212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212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320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320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338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253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320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253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37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37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218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338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83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20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320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88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144780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3.2" x14ac:dyDescent="0.25"/>
  <cols>
    <col min="1" max="1" width="11.44140625" style="5" customWidth="1"/>
    <col min="2" max="2" width="42.88671875" style="65" customWidth="1"/>
    <col min="3" max="3" width="5.109375" style="65" customWidth="1"/>
    <col min="4" max="26" width="5.109375" customWidth="1"/>
    <col min="27" max="27" width="5.109375" style="65" customWidth="1"/>
    <col min="28" max="28" width="5.109375" customWidth="1"/>
    <col min="29" max="31" width="5.109375" style="65" customWidth="1"/>
    <col min="32" max="32" width="5.109375" customWidth="1"/>
  </cols>
  <sheetData>
    <row r="1" spans="1:28" x14ac:dyDescent="0.25">
      <c r="A1"/>
      <c r="B1"/>
      <c r="C1"/>
    </row>
    <row r="2" spans="1:28" x14ac:dyDescent="0.25">
      <c r="A2"/>
      <c r="B2" t="s">
        <v>185</v>
      </c>
    </row>
    <row r="3" spans="1:28" x14ac:dyDescent="0.25">
      <c r="A3"/>
      <c r="B3"/>
      <c r="C3"/>
    </row>
    <row r="4" spans="1:28" ht="18" thickBot="1" x14ac:dyDescent="0.35">
      <c r="B4" s="66" t="s">
        <v>305</v>
      </c>
    </row>
    <row r="5" spans="1:28" ht="67.2" x14ac:dyDescent="0.3">
      <c r="A5" s="127"/>
      <c r="B5" s="128" t="s">
        <v>325</v>
      </c>
      <c r="C5" s="129" t="s">
        <v>4</v>
      </c>
      <c r="D5" s="130" t="s">
        <v>83</v>
      </c>
      <c r="E5" s="130" t="s">
        <v>216</v>
      </c>
      <c r="F5" s="130" t="s">
        <v>16</v>
      </c>
      <c r="G5" s="130" t="s">
        <v>75</v>
      </c>
      <c r="H5" s="130" t="s">
        <v>12</v>
      </c>
      <c r="I5" s="130" t="s">
        <v>32</v>
      </c>
      <c r="J5" s="130" t="s">
        <v>320</v>
      </c>
      <c r="K5" s="130" t="s">
        <v>25</v>
      </c>
      <c r="L5" s="130" t="s">
        <v>81</v>
      </c>
      <c r="M5" s="130" t="s">
        <v>80</v>
      </c>
      <c r="N5" s="130" t="s">
        <v>218</v>
      </c>
      <c r="O5" s="130" t="s">
        <v>144</v>
      </c>
      <c r="P5" s="130" t="s">
        <v>20</v>
      </c>
      <c r="Q5" s="130" t="s">
        <v>253</v>
      </c>
      <c r="R5" s="130" t="s">
        <v>88</v>
      </c>
      <c r="S5" s="130" t="s">
        <v>84</v>
      </c>
      <c r="T5" s="130" t="s">
        <v>34</v>
      </c>
      <c r="U5" s="130" t="s">
        <v>338</v>
      </c>
      <c r="V5" s="130" t="s">
        <v>41</v>
      </c>
      <c r="W5" s="130" t="s">
        <v>212</v>
      </c>
      <c r="X5" s="130" t="s">
        <v>37</v>
      </c>
      <c r="Y5" s="130" t="s">
        <v>7</v>
      </c>
      <c r="Z5" s="130" t="s">
        <v>18</v>
      </c>
      <c r="AA5" s="129" t="s">
        <v>103</v>
      </c>
      <c r="AB5" s="131" t="s">
        <v>184</v>
      </c>
    </row>
    <row r="6" spans="1:28" x14ac:dyDescent="0.25">
      <c r="A6" s="132" t="s">
        <v>6</v>
      </c>
      <c r="B6" s="133" t="s">
        <v>271</v>
      </c>
      <c r="C6" s="133">
        <v>4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>
        <v>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33">
        <v>4</v>
      </c>
      <c r="AB6" s="134">
        <v>0</v>
      </c>
    </row>
    <row r="7" spans="1:28" x14ac:dyDescent="0.25">
      <c r="A7" s="132" t="s">
        <v>8</v>
      </c>
      <c r="B7" s="133" t="s">
        <v>272</v>
      </c>
      <c r="C7" s="133">
        <v>2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>
        <v>2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33">
        <v>2</v>
      </c>
      <c r="AB7" s="134">
        <v>0</v>
      </c>
    </row>
    <row r="8" spans="1:28" x14ac:dyDescent="0.25">
      <c r="A8" s="132" t="s">
        <v>9</v>
      </c>
      <c r="B8" s="133" t="s">
        <v>273</v>
      </c>
      <c r="C8" s="133">
        <v>2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>
        <v>2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33">
        <v>2</v>
      </c>
      <c r="AB8" s="134">
        <v>0</v>
      </c>
    </row>
    <row r="9" spans="1:28" x14ac:dyDescent="0.25">
      <c r="A9" s="132" t="s">
        <v>9</v>
      </c>
      <c r="B9" s="133" t="s">
        <v>339</v>
      </c>
      <c r="C9" s="133">
        <v>9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>
        <v>9</v>
      </c>
      <c r="R9" s="18"/>
      <c r="S9" s="18"/>
      <c r="T9" s="18"/>
      <c r="U9" s="18"/>
      <c r="V9" s="18"/>
      <c r="W9" s="18"/>
      <c r="X9" s="18"/>
      <c r="Y9" s="18"/>
      <c r="Z9" s="18"/>
      <c r="AA9" s="133">
        <v>9</v>
      </c>
      <c r="AB9" s="134">
        <v>0</v>
      </c>
    </row>
    <row r="10" spans="1:28" x14ac:dyDescent="0.25">
      <c r="A10" s="132" t="s">
        <v>10</v>
      </c>
      <c r="B10" s="133" t="s">
        <v>274</v>
      </c>
      <c r="C10" s="133">
        <v>2</v>
      </c>
      <c r="D10" s="18"/>
      <c r="E10" s="18"/>
      <c r="F10" s="18"/>
      <c r="G10" s="18"/>
      <c r="H10" s="18"/>
      <c r="I10" s="18"/>
      <c r="J10" s="18"/>
      <c r="K10" s="18"/>
      <c r="L10" s="18"/>
      <c r="M10" s="18">
        <v>2</v>
      </c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33">
        <v>2</v>
      </c>
      <c r="AB10" s="134">
        <v>0</v>
      </c>
    </row>
    <row r="11" spans="1:28" x14ac:dyDescent="0.25">
      <c r="A11" s="132" t="s">
        <v>11</v>
      </c>
      <c r="B11" s="133" t="s">
        <v>288</v>
      </c>
      <c r="C11" s="133">
        <v>8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>
        <v>8</v>
      </c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33">
        <v>8</v>
      </c>
      <c r="AB11" s="134">
        <v>0</v>
      </c>
    </row>
    <row r="12" spans="1:28" x14ac:dyDescent="0.25">
      <c r="A12" s="132"/>
      <c r="B12" s="133"/>
      <c r="C12" s="133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33"/>
      <c r="AB12" s="134">
        <v>0</v>
      </c>
    </row>
    <row r="13" spans="1:28" x14ac:dyDescent="0.25">
      <c r="A13" s="132" t="s">
        <v>13</v>
      </c>
      <c r="B13" s="133" t="s">
        <v>275</v>
      </c>
      <c r="C13" s="133">
        <v>6</v>
      </c>
      <c r="D13" s="18"/>
      <c r="E13" s="18"/>
      <c r="F13" s="18"/>
      <c r="G13" s="18"/>
      <c r="H13" s="18">
        <v>6</v>
      </c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33">
        <v>6</v>
      </c>
      <c r="AB13" s="134">
        <v>0</v>
      </c>
    </row>
    <row r="14" spans="1:28" x14ac:dyDescent="0.25">
      <c r="A14" s="132" t="s">
        <v>14</v>
      </c>
      <c r="B14" s="133"/>
      <c r="C14" s="133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33"/>
      <c r="AB14" s="134">
        <v>0</v>
      </c>
    </row>
    <row r="15" spans="1:28" x14ac:dyDescent="0.25">
      <c r="A15" s="132" t="s">
        <v>15</v>
      </c>
      <c r="B15" s="133"/>
      <c r="C15" s="133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33"/>
      <c r="AB15" s="134">
        <v>0</v>
      </c>
    </row>
    <row r="16" spans="1:28" x14ac:dyDescent="0.25">
      <c r="A16" s="132" t="s">
        <v>209</v>
      </c>
      <c r="B16" s="133" t="s">
        <v>210</v>
      </c>
      <c r="C16" s="133">
        <v>8</v>
      </c>
      <c r="D16" s="18"/>
      <c r="E16" s="18"/>
      <c r="F16" s="18">
        <v>8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33">
        <v>8</v>
      </c>
      <c r="AB16" s="134">
        <v>0</v>
      </c>
    </row>
    <row r="17" spans="1:28" x14ac:dyDescent="0.25">
      <c r="A17" s="132" t="s">
        <v>17</v>
      </c>
      <c r="B17" s="133" t="s">
        <v>289</v>
      </c>
      <c r="C17" s="133">
        <v>10</v>
      </c>
      <c r="D17" s="18"/>
      <c r="E17" s="18"/>
      <c r="F17" s="18"/>
      <c r="G17" s="18"/>
      <c r="H17" s="18"/>
      <c r="I17" s="18">
        <v>10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33">
        <v>10</v>
      </c>
      <c r="AB17" s="134">
        <v>0</v>
      </c>
    </row>
    <row r="18" spans="1:28" x14ac:dyDescent="0.25">
      <c r="A18" s="132" t="s">
        <v>19</v>
      </c>
      <c r="B18" s="133"/>
      <c r="C18" s="133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33"/>
      <c r="AB18" s="134">
        <v>0</v>
      </c>
    </row>
    <row r="19" spans="1:28" x14ac:dyDescent="0.25">
      <c r="A19" s="132" t="s">
        <v>21</v>
      </c>
      <c r="B19" s="133"/>
      <c r="C19" s="133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33"/>
      <c r="AB19" s="134">
        <v>0</v>
      </c>
    </row>
    <row r="20" spans="1:28" x14ac:dyDescent="0.25">
      <c r="A20" s="132" t="s">
        <v>22</v>
      </c>
      <c r="B20" s="133" t="s">
        <v>23</v>
      </c>
      <c r="C20" s="133">
        <v>8</v>
      </c>
      <c r="D20" s="18"/>
      <c r="E20" s="18"/>
      <c r="F20" s="18"/>
      <c r="G20" s="18"/>
      <c r="H20" s="18"/>
      <c r="I20" s="18"/>
      <c r="J20" s="18"/>
      <c r="K20" s="18">
        <v>8</v>
      </c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33">
        <v>8</v>
      </c>
      <c r="AB20" s="134">
        <v>0</v>
      </c>
    </row>
    <row r="21" spans="1:28" x14ac:dyDescent="0.25">
      <c r="A21" s="132" t="s">
        <v>24</v>
      </c>
      <c r="B21" s="133" t="s">
        <v>336</v>
      </c>
      <c r="C21" s="133">
        <v>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>
        <v>4</v>
      </c>
      <c r="Z21" s="18"/>
      <c r="AA21" s="133">
        <v>4</v>
      </c>
      <c r="AB21" s="134">
        <v>0</v>
      </c>
    </row>
    <row r="22" spans="1:28" x14ac:dyDescent="0.25">
      <c r="A22" s="132" t="s">
        <v>26</v>
      </c>
      <c r="B22" s="133" t="s">
        <v>27</v>
      </c>
      <c r="C22" s="133">
        <v>12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>
        <v>12</v>
      </c>
      <c r="Z22" s="18"/>
      <c r="AA22" s="133">
        <v>12</v>
      </c>
      <c r="AB22" s="134">
        <v>0</v>
      </c>
    </row>
    <row r="23" spans="1:28" x14ac:dyDescent="0.25">
      <c r="A23" s="132" t="s">
        <v>28</v>
      </c>
      <c r="B23" s="133"/>
      <c r="C23" s="133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33"/>
      <c r="AB23" s="134">
        <v>0</v>
      </c>
    </row>
    <row r="24" spans="1:28" x14ac:dyDescent="0.25">
      <c r="A24" s="132" t="s">
        <v>29</v>
      </c>
      <c r="B24" s="133"/>
      <c r="C24" s="133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33"/>
      <c r="AB24" s="134">
        <v>0</v>
      </c>
    </row>
    <row r="25" spans="1:28" x14ac:dyDescent="0.25">
      <c r="A25" s="132" t="s">
        <v>30</v>
      </c>
      <c r="B25" s="133" t="s">
        <v>31</v>
      </c>
      <c r="C25" s="133">
        <v>10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>
        <v>10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33">
        <v>10</v>
      </c>
      <c r="AB25" s="134">
        <v>0</v>
      </c>
    </row>
    <row r="26" spans="1:28" x14ac:dyDescent="0.25">
      <c r="A26" s="132" t="s">
        <v>33</v>
      </c>
      <c r="B26" s="133" t="s">
        <v>277</v>
      </c>
      <c r="C26" s="133">
        <v>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>
        <v>6</v>
      </c>
      <c r="Z26" s="18"/>
      <c r="AA26" s="133">
        <v>6</v>
      </c>
      <c r="AB26" s="134">
        <v>0</v>
      </c>
    </row>
    <row r="27" spans="1:28" x14ac:dyDescent="0.25">
      <c r="A27" s="132" t="s">
        <v>35</v>
      </c>
      <c r="B27" s="133" t="s">
        <v>36</v>
      </c>
      <c r="C27" s="133">
        <v>4</v>
      </c>
      <c r="D27" s="18"/>
      <c r="E27" s="18"/>
      <c r="F27" s="18"/>
      <c r="G27" s="18"/>
      <c r="H27" s="18"/>
      <c r="I27" s="18"/>
      <c r="J27" s="18"/>
      <c r="K27" s="18"/>
      <c r="L27" s="18">
        <v>4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33">
        <v>4</v>
      </c>
      <c r="AB27" s="134">
        <v>0</v>
      </c>
    </row>
    <row r="28" spans="1:28" x14ac:dyDescent="0.25">
      <c r="A28" s="132" t="s">
        <v>38</v>
      </c>
      <c r="B28" s="133"/>
      <c r="C28" s="133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33"/>
      <c r="AB28" s="134">
        <v>0</v>
      </c>
    </row>
    <row r="29" spans="1:28" x14ac:dyDescent="0.25">
      <c r="A29" s="132" t="s">
        <v>211</v>
      </c>
      <c r="B29" s="133" t="s">
        <v>290</v>
      </c>
      <c r="C29" s="133">
        <v>0</v>
      </c>
      <c r="D29" s="18"/>
      <c r="E29" s="18"/>
      <c r="F29" s="18"/>
      <c r="G29" s="18"/>
      <c r="H29" s="18"/>
      <c r="I29" s="18">
        <v>0</v>
      </c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33">
        <v>0</v>
      </c>
      <c r="AB29" s="134">
        <v>0</v>
      </c>
    </row>
    <row r="30" spans="1:28" x14ac:dyDescent="0.25">
      <c r="A30" s="132"/>
      <c r="B30" s="133" t="s">
        <v>291</v>
      </c>
      <c r="C30" s="133">
        <v>0</v>
      </c>
      <c r="D30" s="18"/>
      <c r="E30" s="18"/>
      <c r="F30" s="18"/>
      <c r="G30" s="18"/>
      <c r="H30" s="18"/>
      <c r="I30" s="18">
        <v>0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33">
        <v>0</v>
      </c>
      <c r="AB30" s="134">
        <v>0</v>
      </c>
    </row>
    <row r="31" spans="1:28" x14ac:dyDescent="0.25">
      <c r="A31" s="132" t="s">
        <v>39</v>
      </c>
      <c r="B31" s="133" t="s">
        <v>40</v>
      </c>
      <c r="C31" s="133">
        <v>1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>
        <v>1</v>
      </c>
      <c r="W31" s="18"/>
      <c r="X31" s="18"/>
      <c r="Y31" s="18"/>
      <c r="Z31" s="18"/>
      <c r="AA31" s="133">
        <v>1</v>
      </c>
      <c r="AB31" s="134">
        <v>0</v>
      </c>
    </row>
    <row r="32" spans="1:28" x14ac:dyDescent="0.25">
      <c r="A32" s="132" t="s">
        <v>42</v>
      </c>
      <c r="B32" s="133" t="s">
        <v>43</v>
      </c>
      <c r="C32" s="133">
        <v>12</v>
      </c>
      <c r="D32" s="18"/>
      <c r="E32" s="18"/>
      <c r="F32" s="18"/>
      <c r="G32" s="18"/>
      <c r="H32" s="18"/>
      <c r="I32" s="18"/>
      <c r="J32" s="18"/>
      <c r="K32" s="18"/>
      <c r="L32" s="18">
        <v>12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33">
        <v>12</v>
      </c>
      <c r="AB32" s="134">
        <v>0</v>
      </c>
    </row>
    <row r="33" spans="1:28" x14ac:dyDescent="0.25">
      <c r="A33" s="132" t="s">
        <v>44</v>
      </c>
      <c r="B33" s="133" t="s">
        <v>278</v>
      </c>
      <c r="C33" s="133">
        <v>1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>
        <v>1</v>
      </c>
      <c r="AA33" s="133">
        <v>1</v>
      </c>
      <c r="AB33" s="134">
        <v>0</v>
      </c>
    </row>
    <row r="34" spans="1:28" x14ac:dyDescent="0.25">
      <c r="A34" s="132" t="s">
        <v>45</v>
      </c>
      <c r="B34" s="133" t="s">
        <v>46</v>
      </c>
      <c r="C34" s="133">
        <v>2</v>
      </c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>
        <v>2</v>
      </c>
      <c r="X34" s="18"/>
      <c r="Y34" s="18"/>
      <c r="Z34" s="18"/>
      <c r="AA34" s="133">
        <v>2</v>
      </c>
      <c r="AB34" s="134">
        <v>0</v>
      </c>
    </row>
    <row r="35" spans="1:28" x14ac:dyDescent="0.25">
      <c r="A35" s="132" t="s">
        <v>47</v>
      </c>
      <c r="B35" s="133" t="s">
        <v>279</v>
      </c>
      <c r="C35" s="133">
        <v>2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>
        <v>2</v>
      </c>
      <c r="V35" s="18"/>
      <c r="W35" s="18"/>
      <c r="X35" s="18"/>
      <c r="Y35" s="18"/>
      <c r="Z35" s="18"/>
      <c r="AA35" s="133">
        <v>2</v>
      </c>
      <c r="AB35" s="134">
        <v>0</v>
      </c>
    </row>
    <row r="36" spans="1:28" x14ac:dyDescent="0.25">
      <c r="A36" s="132" t="s">
        <v>48</v>
      </c>
      <c r="B36" s="133" t="s">
        <v>287</v>
      </c>
      <c r="C36" s="133">
        <v>2</v>
      </c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>
        <v>2</v>
      </c>
      <c r="X36" s="18"/>
      <c r="Y36" s="18"/>
      <c r="Z36" s="18"/>
      <c r="AA36" s="133">
        <v>2</v>
      </c>
      <c r="AB36" s="134">
        <v>0</v>
      </c>
    </row>
    <row r="37" spans="1:28" x14ac:dyDescent="0.25">
      <c r="A37" s="132" t="s">
        <v>50</v>
      </c>
      <c r="B37" s="133" t="s">
        <v>328</v>
      </c>
      <c r="C37" s="133">
        <v>12</v>
      </c>
      <c r="D37" s="18"/>
      <c r="E37" s="18"/>
      <c r="F37" s="18"/>
      <c r="G37" s="18"/>
      <c r="H37" s="18"/>
      <c r="I37" s="18"/>
      <c r="J37" s="18"/>
      <c r="K37" s="18">
        <v>12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33">
        <v>12</v>
      </c>
      <c r="AB37" s="134">
        <v>0</v>
      </c>
    </row>
    <row r="38" spans="1:28" x14ac:dyDescent="0.25">
      <c r="A38" s="132"/>
      <c r="B38" s="133"/>
      <c r="C38" s="133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33"/>
      <c r="AB38" s="134">
        <v>0</v>
      </c>
    </row>
    <row r="39" spans="1:28" x14ac:dyDescent="0.25">
      <c r="A39" s="132" t="s">
        <v>194</v>
      </c>
      <c r="B39" s="133" t="s">
        <v>195</v>
      </c>
      <c r="C39" s="133">
        <v>1</v>
      </c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>
        <v>1</v>
      </c>
      <c r="T39" s="18"/>
      <c r="U39" s="18"/>
      <c r="V39" s="18"/>
      <c r="W39" s="18"/>
      <c r="X39" s="18"/>
      <c r="Y39" s="18"/>
      <c r="Z39" s="18"/>
      <c r="AA39" s="133">
        <v>1</v>
      </c>
      <c r="AB39" s="134">
        <v>0</v>
      </c>
    </row>
    <row r="40" spans="1:28" x14ac:dyDescent="0.25">
      <c r="A40" s="132" t="s">
        <v>196</v>
      </c>
      <c r="B40" s="133" t="s">
        <v>197</v>
      </c>
      <c r="C40" s="133">
        <v>1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>
        <v>1</v>
      </c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33">
        <v>1</v>
      </c>
      <c r="AB40" s="134">
        <v>0</v>
      </c>
    </row>
    <row r="41" spans="1:28" x14ac:dyDescent="0.25">
      <c r="A41" s="132"/>
      <c r="B41" s="133"/>
      <c r="C41" s="133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33"/>
      <c r="AB41" s="134"/>
    </row>
    <row r="42" spans="1:28" ht="13.8" thickBot="1" x14ac:dyDescent="0.3">
      <c r="A42" s="135"/>
      <c r="B42" s="136" t="s">
        <v>301</v>
      </c>
      <c r="C42" s="137">
        <v>129</v>
      </c>
      <c r="D42" s="61">
        <v>0</v>
      </c>
      <c r="E42" s="61">
        <v>0</v>
      </c>
      <c r="F42" s="61">
        <v>8</v>
      </c>
      <c r="G42" s="61">
        <v>0</v>
      </c>
      <c r="H42" s="61">
        <v>6</v>
      </c>
      <c r="I42" s="61">
        <v>10</v>
      </c>
      <c r="J42" s="61">
        <v>0</v>
      </c>
      <c r="K42" s="61">
        <v>20</v>
      </c>
      <c r="L42" s="61">
        <v>16</v>
      </c>
      <c r="M42" s="61">
        <v>2</v>
      </c>
      <c r="N42" s="61">
        <v>11</v>
      </c>
      <c r="O42" s="61">
        <v>16</v>
      </c>
      <c r="P42" s="61">
        <v>0</v>
      </c>
      <c r="Q42" s="61">
        <v>9</v>
      </c>
      <c r="R42" s="61">
        <v>0</v>
      </c>
      <c r="S42" s="61">
        <v>1</v>
      </c>
      <c r="T42" s="61">
        <v>0</v>
      </c>
      <c r="U42" s="61">
        <v>2</v>
      </c>
      <c r="V42" s="61">
        <v>1</v>
      </c>
      <c r="W42" s="61">
        <v>4</v>
      </c>
      <c r="X42" s="61">
        <v>0</v>
      </c>
      <c r="Y42" s="61">
        <v>22</v>
      </c>
      <c r="Z42" s="61">
        <v>1</v>
      </c>
      <c r="AA42" s="137">
        <v>129</v>
      </c>
      <c r="AB42" s="138">
        <v>0</v>
      </c>
    </row>
    <row r="46" spans="1:28" ht="18" thickBot="1" x14ac:dyDescent="0.35">
      <c r="B46" s="66" t="s">
        <v>302</v>
      </c>
    </row>
    <row r="47" spans="1:28" ht="67.2" x14ac:dyDescent="0.3">
      <c r="A47" s="127"/>
      <c r="B47" s="128" t="s">
        <v>325</v>
      </c>
      <c r="C47" s="129" t="s">
        <v>4</v>
      </c>
      <c r="D47" s="130" t="s">
        <v>83</v>
      </c>
      <c r="E47" s="130" t="s">
        <v>216</v>
      </c>
      <c r="F47" s="130" t="s">
        <v>16</v>
      </c>
      <c r="G47" s="130" t="s">
        <v>75</v>
      </c>
      <c r="H47" s="130" t="s">
        <v>12</v>
      </c>
      <c r="I47" s="130" t="s">
        <v>32</v>
      </c>
      <c r="J47" s="130" t="s">
        <v>320</v>
      </c>
      <c r="K47" s="130" t="s">
        <v>25</v>
      </c>
      <c r="L47" s="130" t="s">
        <v>81</v>
      </c>
      <c r="M47" s="130" t="s">
        <v>80</v>
      </c>
      <c r="N47" s="130" t="s">
        <v>218</v>
      </c>
      <c r="O47" s="130" t="s">
        <v>144</v>
      </c>
      <c r="P47" s="130" t="s">
        <v>20</v>
      </c>
      <c r="Q47" s="130" t="s">
        <v>253</v>
      </c>
      <c r="R47" s="130" t="s">
        <v>88</v>
      </c>
      <c r="S47" s="130" t="s">
        <v>84</v>
      </c>
      <c r="T47" s="130" t="s">
        <v>34</v>
      </c>
      <c r="U47" s="130" t="s">
        <v>338</v>
      </c>
      <c r="V47" s="130" t="s">
        <v>41</v>
      </c>
      <c r="W47" s="130" t="s">
        <v>212</v>
      </c>
      <c r="X47" s="130" t="s">
        <v>37</v>
      </c>
      <c r="Y47" s="130" t="s">
        <v>7</v>
      </c>
      <c r="Z47" s="130" t="s">
        <v>18</v>
      </c>
      <c r="AA47" s="129" t="s">
        <v>103</v>
      </c>
      <c r="AB47" s="131" t="s">
        <v>184</v>
      </c>
    </row>
    <row r="48" spans="1:28" x14ac:dyDescent="0.25">
      <c r="A48" s="132"/>
      <c r="B48" s="133"/>
      <c r="C48" s="133">
        <v>0</v>
      </c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33">
        <v>0</v>
      </c>
      <c r="AB48" s="134">
        <v>0</v>
      </c>
    </row>
    <row r="49" spans="1:28" x14ac:dyDescent="0.25">
      <c r="A49" s="132"/>
      <c r="B49" s="133"/>
      <c r="C49" s="133">
        <v>0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33">
        <v>0</v>
      </c>
      <c r="AB49" s="134">
        <v>0</v>
      </c>
    </row>
    <row r="50" spans="1:28" x14ac:dyDescent="0.25">
      <c r="A50" s="132" t="s">
        <v>49</v>
      </c>
      <c r="B50" s="133" t="s">
        <v>157</v>
      </c>
      <c r="C50" s="133">
        <v>9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>
        <v>9</v>
      </c>
      <c r="U50" s="18"/>
      <c r="V50" s="18"/>
      <c r="W50" s="18"/>
      <c r="X50" s="18"/>
      <c r="Y50" s="18"/>
      <c r="Z50" s="18"/>
      <c r="AA50" s="133">
        <v>9</v>
      </c>
      <c r="AB50" s="134">
        <v>0</v>
      </c>
    </row>
    <row r="51" spans="1:28" x14ac:dyDescent="0.25">
      <c r="A51" s="132" t="s">
        <v>52</v>
      </c>
      <c r="B51" s="133" t="s">
        <v>280</v>
      </c>
      <c r="C51" s="133">
        <v>24</v>
      </c>
      <c r="D51" s="18">
        <v>3</v>
      </c>
      <c r="E51" s="18"/>
      <c r="F51" s="18">
        <v>3</v>
      </c>
      <c r="G51" s="18">
        <v>2</v>
      </c>
      <c r="H51" s="18"/>
      <c r="I51" s="18"/>
      <c r="J51" s="18">
        <v>1</v>
      </c>
      <c r="K51" s="18"/>
      <c r="L51" s="18"/>
      <c r="M51" s="18"/>
      <c r="N51" s="18"/>
      <c r="O51" s="18"/>
      <c r="P51" s="18"/>
      <c r="Q51" s="18">
        <v>1</v>
      </c>
      <c r="R51" s="18"/>
      <c r="S51" s="18">
        <v>1</v>
      </c>
      <c r="T51" s="18"/>
      <c r="U51" s="18">
        <v>2</v>
      </c>
      <c r="V51" s="18">
        <v>3</v>
      </c>
      <c r="W51" s="18"/>
      <c r="X51" s="18">
        <v>5</v>
      </c>
      <c r="Y51" s="18">
        <v>2</v>
      </c>
      <c r="Z51" s="18">
        <v>1</v>
      </c>
      <c r="AA51" s="133">
        <v>24</v>
      </c>
      <c r="AB51" s="134">
        <v>0</v>
      </c>
    </row>
    <row r="52" spans="1:28" x14ac:dyDescent="0.25">
      <c r="A52" s="132" t="s">
        <v>294</v>
      </c>
      <c r="B52" s="133"/>
      <c r="C52" s="133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33">
        <v>0</v>
      </c>
      <c r="AB52" s="134">
        <v>0</v>
      </c>
    </row>
    <row r="53" spans="1:28" x14ac:dyDescent="0.25">
      <c r="A53" s="132" t="s">
        <v>237</v>
      </c>
      <c r="B53" s="133" t="s">
        <v>286</v>
      </c>
      <c r="C53" s="133">
        <v>2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>
        <v>2</v>
      </c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33">
        <v>2</v>
      </c>
      <c r="AB53" s="134">
        <v>0</v>
      </c>
    </row>
    <row r="54" spans="1:28" x14ac:dyDescent="0.25">
      <c r="A54" s="132" t="s">
        <v>105</v>
      </c>
      <c r="B54" s="133" t="s">
        <v>172</v>
      </c>
      <c r="C54" s="133">
        <v>3</v>
      </c>
      <c r="D54" s="18"/>
      <c r="E54" s="18"/>
      <c r="F54" s="18"/>
      <c r="G54" s="18"/>
      <c r="H54" s="18">
        <v>1</v>
      </c>
      <c r="I54" s="18"/>
      <c r="J54" s="18"/>
      <c r="K54" s="18"/>
      <c r="L54" s="18"/>
      <c r="M54" s="18"/>
      <c r="N54" s="18"/>
      <c r="O54" s="18"/>
      <c r="P54" s="18"/>
      <c r="Q54" s="18"/>
      <c r="R54" s="18">
        <v>1</v>
      </c>
      <c r="S54" s="18"/>
      <c r="T54" s="18"/>
      <c r="U54" s="18">
        <v>1</v>
      </c>
      <c r="V54" s="18"/>
      <c r="W54" s="18"/>
      <c r="X54" s="18"/>
      <c r="Y54" s="18"/>
      <c r="Z54" s="18"/>
      <c r="AA54" s="133">
        <v>3</v>
      </c>
      <c r="AB54" s="134">
        <v>0</v>
      </c>
    </row>
    <row r="55" spans="1:28" x14ac:dyDescent="0.25">
      <c r="A55" s="132" t="s">
        <v>104</v>
      </c>
      <c r="B55" s="133" t="s">
        <v>173</v>
      </c>
      <c r="C55" s="133">
        <v>1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>
        <v>1</v>
      </c>
      <c r="W55" s="18"/>
      <c r="X55" s="18"/>
      <c r="Y55" s="18"/>
      <c r="Z55" s="18"/>
      <c r="AA55" s="133">
        <v>1</v>
      </c>
      <c r="AB55" s="134">
        <v>0</v>
      </c>
    </row>
    <row r="56" spans="1:28" x14ac:dyDescent="0.25">
      <c r="A56" s="132" t="s">
        <v>106</v>
      </c>
      <c r="B56" s="133" t="s">
        <v>174</v>
      </c>
      <c r="C56" s="133">
        <v>3</v>
      </c>
      <c r="D56" s="18">
        <v>3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33">
        <v>3</v>
      </c>
      <c r="AB56" s="134">
        <v>0</v>
      </c>
    </row>
    <row r="57" spans="1:28" x14ac:dyDescent="0.25">
      <c r="A57" s="132" t="s">
        <v>107</v>
      </c>
      <c r="B57" s="133" t="s">
        <v>175</v>
      </c>
      <c r="C57" s="133">
        <v>1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>
        <v>1</v>
      </c>
      <c r="U57" s="18"/>
      <c r="V57" s="18"/>
      <c r="W57" s="18"/>
      <c r="X57" s="18"/>
      <c r="Y57" s="18"/>
      <c r="Z57" s="18"/>
      <c r="AA57" s="133">
        <v>1</v>
      </c>
      <c r="AB57" s="134">
        <v>0</v>
      </c>
    </row>
    <row r="58" spans="1:28" x14ac:dyDescent="0.25">
      <c r="A58" s="132" t="s">
        <v>130</v>
      </c>
      <c r="B58" s="133" t="s">
        <v>221</v>
      </c>
      <c r="C58" s="133">
        <v>7</v>
      </c>
      <c r="D58" s="18"/>
      <c r="E58" s="18"/>
      <c r="F58" s="18"/>
      <c r="G58" s="18"/>
      <c r="H58" s="18"/>
      <c r="I58" s="18"/>
      <c r="J58" s="18"/>
      <c r="K58" s="18"/>
      <c r="L58" s="18"/>
      <c r="M58" s="18">
        <v>1</v>
      </c>
      <c r="N58" s="18"/>
      <c r="O58" s="18"/>
      <c r="P58" s="18"/>
      <c r="Q58" s="18"/>
      <c r="R58" s="18"/>
      <c r="S58" s="18"/>
      <c r="T58" s="18"/>
      <c r="U58" s="18">
        <v>2</v>
      </c>
      <c r="V58" s="18"/>
      <c r="W58" s="18"/>
      <c r="X58" s="18">
        <v>3</v>
      </c>
      <c r="Y58" s="18"/>
      <c r="Z58" s="18">
        <v>1</v>
      </c>
      <c r="AA58" s="133">
        <v>7</v>
      </c>
      <c r="AB58" s="134">
        <v>0</v>
      </c>
    </row>
    <row r="59" spans="1:28" x14ac:dyDescent="0.25">
      <c r="A59" s="132" t="s">
        <v>131</v>
      </c>
      <c r="B59" s="133" t="s">
        <v>229</v>
      </c>
      <c r="C59" s="133">
        <v>6</v>
      </c>
      <c r="D59" s="18"/>
      <c r="E59" s="18"/>
      <c r="F59" s="18"/>
      <c r="G59" s="18"/>
      <c r="H59" s="18"/>
      <c r="I59" s="18"/>
      <c r="J59" s="18">
        <v>2</v>
      </c>
      <c r="K59" s="18"/>
      <c r="L59" s="18"/>
      <c r="M59" s="18"/>
      <c r="N59" s="18"/>
      <c r="O59" s="18"/>
      <c r="P59" s="18">
        <v>2</v>
      </c>
      <c r="Q59" s="18"/>
      <c r="R59" s="18"/>
      <c r="S59" s="18"/>
      <c r="T59" s="18"/>
      <c r="U59" s="18"/>
      <c r="V59" s="18"/>
      <c r="W59" s="18"/>
      <c r="X59" s="18"/>
      <c r="Y59" s="18"/>
      <c r="Z59" s="18">
        <v>2</v>
      </c>
      <c r="AA59" s="133">
        <v>6</v>
      </c>
      <c r="AB59" s="134">
        <v>0</v>
      </c>
    </row>
    <row r="60" spans="1:28" x14ac:dyDescent="0.25">
      <c r="A60" s="132" t="s">
        <v>53</v>
      </c>
      <c r="B60" s="133" t="s">
        <v>91</v>
      </c>
      <c r="C60" s="133">
        <v>7</v>
      </c>
      <c r="D60" s="18"/>
      <c r="E60" s="18"/>
      <c r="F60" s="18"/>
      <c r="G60" s="18"/>
      <c r="H60" s="18"/>
      <c r="I60" s="18"/>
      <c r="J60" s="18"/>
      <c r="K60" s="18"/>
      <c r="L60" s="18"/>
      <c r="M60" s="18">
        <v>7</v>
      </c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33">
        <v>7</v>
      </c>
      <c r="AB60" s="134">
        <v>0</v>
      </c>
    </row>
    <row r="61" spans="1:28" x14ac:dyDescent="0.25">
      <c r="A61" s="132" t="s">
        <v>54</v>
      </c>
      <c r="B61" s="133" t="s">
        <v>102</v>
      </c>
      <c r="C61" s="133">
        <v>10</v>
      </c>
      <c r="D61" s="18"/>
      <c r="E61" s="18"/>
      <c r="F61" s="18">
        <v>3</v>
      </c>
      <c r="G61" s="18">
        <v>1</v>
      </c>
      <c r="H61" s="18"/>
      <c r="I61" s="18"/>
      <c r="J61" s="18"/>
      <c r="K61" s="18"/>
      <c r="L61" s="18"/>
      <c r="M61" s="18">
        <v>3</v>
      </c>
      <c r="N61" s="18"/>
      <c r="O61" s="18"/>
      <c r="P61" s="18">
        <v>1</v>
      </c>
      <c r="Q61" s="18"/>
      <c r="R61" s="18"/>
      <c r="S61" s="18">
        <v>1</v>
      </c>
      <c r="T61" s="18"/>
      <c r="U61" s="18"/>
      <c r="V61" s="18"/>
      <c r="W61" s="18"/>
      <c r="X61" s="18"/>
      <c r="Y61" s="18">
        <v>1</v>
      </c>
      <c r="Z61" s="18"/>
      <c r="AA61" s="133">
        <v>10</v>
      </c>
      <c r="AB61" s="134">
        <v>0</v>
      </c>
    </row>
    <row r="62" spans="1:28" x14ac:dyDescent="0.25">
      <c r="A62" s="132" t="s">
        <v>55</v>
      </c>
      <c r="B62" s="133" t="s">
        <v>111</v>
      </c>
      <c r="C62" s="133">
        <v>7</v>
      </c>
      <c r="D62" s="18"/>
      <c r="E62" s="18"/>
      <c r="F62" s="18"/>
      <c r="G62" s="18">
        <v>1</v>
      </c>
      <c r="H62" s="18">
        <v>1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>
        <v>1</v>
      </c>
      <c r="T62" s="18">
        <v>1</v>
      </c>
      <c r="U62" s="18">
        <v>1</v>
      </c>
      <c r="V62" s="18"/>
      <c r="W62" s="18"/>
      <c r="X62" s="18">
        <v>1</v>
      </c>
      <c r="Y62" s="18">
        <v>1</v>
      </c>
      <c r="Z62" s="18"/>
      <c r="AA62" s="133">
        <v>7</v>
      </c>
      <c r="AB62" s="134">
        <v>0</v>
      </c>
    </row>
    <row r="63" spans="1:28" x14ac:dyDescent="0.25">
      <c r="A63" s="132" t="s">
        <v>56</v>
      </c>
      <c r="B63" s="133" t="s">
        <v>163</v>
      </c>
      <c r="C63" s="133">
        <v>9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>
        <v>5</v>
      </c>
      <c r="W63" s="18"/>
      <c r="X63" s="18">
        <v>4</v>
      </c>
      <c r="Y63" s="18"/>
      <c r="Z63" s="18"/>
      <c r="AA63" s="133">
        <v>9</v>
      </c>
      <c r="AB63" s="134">
        <v>0</v>
      </c>
    </row>
    <row r="64" spans="1:28" x14ac:dyDescent="0.25">
      <c r="A64" s="132" t="s">
        <v>57</v>
      </c>
      <c r="B64" s="133" t="s">
        <v>164</v>
      </c>
      <c r="C64" s="133">
        <v>10</v>
      </c>
      <c r="D64" s="18"/>
      <c r="E64" s="18"/>
      <c r="F64" s="18"/>
      <c r="G64" s="18"/>
      <c r="H64" s="18"/>
      <c r="I64" s="18"/>
      <c r="J64" s="18">
        <v>2</v>
      </c>
      <c r="K64" s="18"/>
      <c r="L64" s="18"/>
      <c r="M64" s="18"/>
      <c r="N64" s="18"/>
      <c r="O64" s="18"/>
      <c r="P64" s="18"/>
      <c r="Q64" s="18">
        <v>3</v>
      </c>
      <c r="R64" s="18">
        <v>2</v>
      </c>
      <c r="S64" s="18">
        <v>1</v>
      </c>
      <c r="T64" s="18"/>
      <c r="U64" s="18">
        <v>2</v>
      </c>
      <c r="V64" s="18"/>
      <c r="W64" s="18"/>
      <c r="X64" s="18"/>
      <c r="Y64" s="18"/>
      <c r="Z64" s="18"/>
      <c r="AA64" s="133">
        <v>10</v>
      </c>
      <c r="AB64" s="134">
        <v>0</v>
      </c>
    </row>
    <row r="65" spans="1:28" x14ac:dyDescent="0.25">
      <c r="A65" s="132" t="s">
        <v>58</v>
      </c>
      <c r="B65" s="133" t="s">
        <v>165</v>
      </c>
      <c r="C65" s="133">
        <v>7</v>
      </c>
      <c r="D65" s="18">
        <v>1</v>
      </c>
      <c r="E65" s="18"/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>
        <v>1</v>
      </c>
      <c r="S65" s="18"/>
      <c r="T65" s="18"/>
      <c r="U65" s="18">
        <v>1</v>
      </c>
      <c r="V65" s="18">
        <v>1</v>
      </c>
      <c r="W65" s="18"/>
      <c r="X65" s="18">
        <v>1</v>
      </c>
      <c r="Y65" s="18"/>
      <c r="Z65" s="18">
        <v>1</v>
      </c>
      <c r="AA65" s="133">
        <v>7</v>
      </c>
      <c r="AB65" s="134">
        <v>0</v>
      </c>
    </row>
    <row r="66" spans="1:28" x14ac:dyDescent="0.25">
      <c r="A66" s="132" t="s">
        <v>59</v>
      </c>
      <c r="B66" s="133" t="s">
        <v>222</v>
      </c>
      <c r="C66" s="133">
        <v>22</v>
      </c>
      <c r="D66" s="18">
        <v>2</v>
      </c>
      <c r="E66" s="18"/>
      <c r="F66" s="18"/>
      <c r="G66" s="18"/>
      <c r="H66" s="18">
        <v>2</v>
      </c>
      <c r="I66" s="18"/>
      <c r="J66" s="18">
        <v>3</v>
      </c>
      <c r="K66" s="18"/>
      <c r="L66" s="18"/>
      <c r="M66" s="18">
        <v>5</v>
      </c>
      <c r="N66" s="18"/>
      <c r="O66" s="18"/>
      <c r="P66" s="18">
        <v>1</v>
      </c>
      <c r="Q66" s="18"/>
      <c r="R66" s="18">
        <v>2</v>
      </c>
      <c r="S66" s="18"/>
      <c r="T66" s="18"/>
      <c r="U66" s="18"/>
      <c r="V66" s="18">
        <v>5</v>
      </c>
      <c r="W66" s="18"/>
      <c r="X66" s="18"/>
      <c r="Y66" s="18"/>
      <c r="Z66" s="18">
        <v>2</v>
      </c>
      <c r="AA66" s="133">
        <v>22</v>
      </c>
      <c r="AB66" s="134">
        <v>0</v>
      </c>
    </row>
    <row r="67" spans="1:28" x14ac:dyDescent="0.25">
      <c r="A67" s="132" t="s">
        <v>59</v>
      </c>
      <c r="B67" s="133" t="s">
        <v>223</v>
      </c>
      <c r="C67" s="133">
        <v>14</v>
      </c>
      <c r="D67" s="18"/>
      <c r="E67" s="18"/>
      <c r="F67" s="18">
        <v>1</v>
      </c>
      <c r="G67" s="18">
        <v>1</v>
      </c>
      <c r="H67" s="18">
        <v>2</v>
      </c>
      <c r="I67" s="18">
        <v>2</v>
      </c>
      <c r="J67" s="18"/>
      <c r="K67" s="18"/>
      <c r="L67" s="18"/>
      <c r="M67" s="18">
        <v>1</v>
      </c>
      <c r="N67" s="18"/>
      <c r="O67" s="18"/>
      <c r="P67" s="18"/>
      <c r="Q67" s="18"/>
      <c r="R67" s="18">
        <v>4</v>
      </c>
      <c r="S67" s="18"/>
      <c r="T67" s="18"/>
      <c r="U67" s="18">
        <v>3</v>
      </c>
      <c r="V67" s="18"/>
      <c r="W67" s="18"/>
      <c r="X67" s="18"/>
      <c r="Y67" s="18"/>
      <c r="Z67" s="18"/>
      <c r="AA67" s="133">
        <v>14</v>
      </c>
      <c r="AB67" s="134">
        <v>0</v>
      </c>
    </row>
    <row r="68" spans="1:28" x14ac:dyDescent="0.25">
      <c r="A68" s="132" t="s">
        <v>226</v>
      </c>
      <c r="B68" s="133" t="s">
        <v>224</v>
      </c>
      <c r="C68" s="133">
        <v>22</v>
      </c>
      <c r="D68" s="18"/>
      <c r="E68" s="18"/>
      <c r="F68" s="18">
        <v>1</v>
      </c>
      <c r="G68" s="18"/>
      <c r="H68" s="18"/>
      <c r="I68" s="18">
        <v>5</v>
      </c>
      <c r="J68" s="18">
        <v>2</v>
      </c>
      <c r="K68" s="18"/>
      <c r="L68" s="18"/>
      <c r="M68" s="18"/>
      <c r="N68" s="18"/>
      <c r="O68" s="18"/>
      <c r="P68" s="18"/>
      <c r="Q68" s="18">
        <v>2</v>
      </c>
      <c r="R68" s="18">
        <v>3</v>
      </c>
      <c r="S68" s="18"/>
      <c r="T68" s="18">
        <v>2</v>
      </c>
      <c r="U68" s="18">
        <v>2</v>
      </c>
      <c r="V68" s="18">
        <v>1</v>
      </c>
      <c r="W68" s="18"/>
      <c r="X68" s="18">
        <v>4</v>
      </c>
      <c r="Y68" s="18"/>
      <c r="Z68" s="18"/>
      <c r="AA68" s="133">
        <v>22</v>
      </c>
      <c r="AB68" s="134">
        <v>0</v>
      </c>
    </row>
    <row r="69" spans="1:28" x14ac:dyDescent="0.25">
      <c r="A69" s="132" t="s">
        <v>226</v>
      </c>
      <c r="B69" s="133" t="s">
        <v>225</v>
      </c>
      <c r="C69" s="133">
        <v>14</v>
      </c>
      <c r="D69" s="18">
        <v>3</v>
      </c>
      <c r="E69" s="18"/>
      <c r="F69" s="18"/>
      <c r="G69" s="18"/>
      <c r="H69" s="18"/>
      <c r="I69" s="18"/>
      <c r="J69" s="18">
        <v>2</v>
      </c>
      <c r="K69" s="18"/>
      <c r="L69" s="18"/>
      <c r="M69" s="18"/>
      <c r="N69" s="18"/>
      <c r="O69" s="18"/>
      <c r="P69" s="18"/>
      <c r="Q69" s="18">
        <v>2</v>
      </c>
      <c r="R69" s="18">
        <v>1</v>
      </c>
      <c r="S69" s="18"/>
      <c r="T69" s="18">
        <v>3</v>
      </c>
      <c r="U69" s="18"/>
      <c r="V69" s="18">
        <v>2</v>
      </c>
      <c r="W69" s="18">
        <v>1</v>
      </c>
      <c r="X69" s="18"/>
      <c r="Y69" s="18"/>
      <c r="Z69" s="18"/>
      <c r="AA69" s="133">
        <v>14</v>
      </c>
      <c r="AB69" s="134">
        <v>0</v>
      </c>
    </row>
    <row r="70" spans="1:28" x14ac:dyDescent="0.25">
      <c r="A70" s="132" t="s">
        <v>60</v>
      </c>
      <c r="B70" s="133" t="s">
        <v>166</v>
      </c>
      <c r="C70" s="133">
        <v>7</v>
      </c>
      <c r="D70" s="18"/>
      <c r="E70" s="18"/>
      <c r="F70" s="18"/>
      <c r="G70" s="18">
        <v>1</v>
      </c>
      <c r="H70" s="18"/>
      <c r="I70" s="18"/>
      <c r="J70" s="18">
        <v>1</v>
      </c>
      <c r="K70" s="18"/>
      <c r="L70" s="18"/>
      <c r="M70" s="18">
        <v>1</v>
      </c>
      <c r="N70" s="18"/>
      <c r="O70" s="18"/>
      <c r="P70" s="18"/>
      <c r="Q70" s="18"/>
      <c r="R70" s="18">
        <v>1</v>
      </c>
      <c r="S70" s="18"/>
      <c r="T70" s="18"/>
      <c r="U70" s="18"/>
      <c r="V70" s="18">
        <v>1</v>
      </c>
      <c r="W70" s="18">
        <v>1</v>
      </c>
      <c r="X70" s="18"/>
      <c r="Y70" s="18">
        <v>1</v>
      </c>
      <c r="Z70" s="18"/>
      <c r="AA70" s="133">
        <v>7</v>
      </c>
      <c r="AB70" s="134">
        <v>0</v>
      </c>
    </row>
    <row r="71" spans="1:28" x14ac:dyDescent="0.25">
      <c r="A71" s="132" t="s">
        <v>60</v>
      </c>
      <c r="B71" s="133" t="s">
        <v>167</v>
      </c>
      <c r="C71" s="133">
        <v>6</v>
      </c>
      <c r="D71" s="18"/>
      <c r="E71" s="18"/>
      <c r="F71" s="18">
        <v>1</v>
      </c>
      <c r="G71" s="18"/>
      <c r="H71" s="18"/>
      <c r="I71" s="18"/>
      <c r="J71" s="18"/>
      <c r="K71" s="18"/>
      <c r="L71" s="18"/>
      <c r="M71" s="18"/>
      <c r="N71" s="18"/>
      <c r="O71" s="18"/>
      <c r="P71" s="18">
        <v>1</v>
      </c>
      <c r="Q71" s="18"/>
      <c r="R71" s="18">
        <v>1</v>
      </c>
      <c r="S71" s="18">
        <v>1</v>
      </c>
      <c r="T71" s="18"/>
      <c r="U71" s="18">
        <v>1</v>
      </c>
      <c r="V71" s="18">
        <v>1</v>
      </c>
      <c r="W71" s="18"/>
      <c r="X71" s="18"/>
      <c r="Y71" s="18"/>
      <c r="Z71" s="18"/>
      <c r="AA71" s="133">
        <v>6</v>
      </c>
      <c r="AB71" s="134">
        <v>0</v>
      </c>
    </row>
    <row r="72" spans="1:28" x14ac:dyDescent="0.25">
      <c r="A72" s="132" t="s">
        <v>183</v>
      </c>
      <c r="B72" s="133" t="s">
        <v>293</v>
      </c>
      <c r="C72" s="133">
        <v>7</v>
      </c>
      <c r="D72" s="18">
        <v>2</v>
      </c>
      <c r="E72" s="18"/>
      <c r="F72" s="18"/>
      <c r="G72" s="18"/>
      <c r="H72" s="18"/>
      <c r="I72" s="18"/>
      <c r="J72" s="18">
        <v>1</v>
      </c>
      <c r="K72" s="18"/>
      <c r="L72" s="18"/>
      <c r="M72" s="18"/>
      <c r="N72" s="18"/>
      <c r="O72" s="18"/>
      <c r="P72" s="18"/>
      <c r="Q72" s="18"/>
      <c r="R72" s="18">
        <v>2</v>
      </c>
      <c r="S72" s="18"/>
      <c r="T72" s="18"/>
      <c r="U72" s="18"/>
      <c r="V72" s="18"/>
      <c r="W72" s="18">
        <v>1</v>
      </c>
      <c r="X72" s="18">
        <v>1</v>
      </c>
      <c r="Y72" s="18"/>
      <c r="Z72" s="18"/>
      <c r="AA72" s="133">
        <v>7</v>
      </c>
      <c r="AB72" s="134">
        <v>0</v>
      </c>
    </row>
    <row r="73" spans="1:28" x14ac:dyDescent="0.25">
      <c r="A73" s="132" t="s">
        <v>122</v>
      </c>
      <c r="B73" s="133" t="s">
        <v>292</v>
      </c>
      <c r="C73" s="133">
        <v>5</v>
      </c>
      <c r="D73" s="18">
        <v>1</v>
      </c>
      <c r="E73" s="18"/>
      <c r="F73" s="18"/>
      <c r="G73" s="18">
        <v>1</v>
      </c>
      <c r="H73" s="18">
        <v>1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>
        <v>1</v>
      </c>
      <c r="Y73" s="18">
        <v>1</v>
      </c>
      <c r="Z73" s="18"/>
      <c r="AA73" s="133">
        <v>5</v>
      </c>
      <c r="AB73" s="134">
        <v>0</v>
      </c>
    </row>
    <row r="74" spans="1:28" x14ac:dyDescent="0.25">
      <c r="A74" s="132" t="s">
        <v>61</v>
      </c>
      <c r="B74" s="133" t="s">
        <v>171</v>
      </c>
      <c r="C74" s="133">
        <v>7</v>
      </c>
      <c r="D74" s="18">
        <v>2</v>
      </c>
      <c r="E74" s="18"/>
      <c r="F74" s="18"/>
      <c r="G74" s="18"/>
      <c r="H74" s="18"/>
      <c r="I74" s="18">
        <v>1</v>
      </c>
      <c r="J74" s="18"/>
      <c r="K74" s="18"/>
      <c r="L74" s="18"/>
      <c r="M74" s="18"/>
      <c r="N74" s="18"/>
      <c r="O74" s="18"/>
      <c r="P74" s="18"/>
      <c r="Q74" s="18"/>
      <c r="R74" s="18"/>
      <c r="S74" s="18">
        <v>1</v>
      </c>
      <c r="T74" s="18">
        <v>2</v>
      </c>
      <c r="U74" s="18"/>
      <c r="V74" s="18">
        <v>1</v>
      </c>
      <c r="W74" s="18"/>
      <c r="X74" s="18"/>
      <c r="Y74" s="18"/>
      <c r="Z74" s="18"/>
      <c r="AA74" s="133">
        <v>7</v>
      </c>
      <c r="AB74" s="134">
        <v>0</v>
      </c>
    </row>
    <row r="75" spans="1:28" x14ac:dyDescent="0.25">
      <c r="A75" s="132" t="s">
        <v>61</v>
      </c>
      <c r="B75" s="133" t="s">
        <v>170</v>
      </c>
      <c r="C75" s="133">
        <v>6</v>
      </c>
      <c r="D75" s="18">
        <v>1</v>
      </c>
      <c r="E75" s="18"/>
      <c r="F75" s="18"/>
      <c r="G75" s="18"/>
      <c r="H75" s="18"/>
      <c r="I75" s="18">
        <v>2</v>
      </c>
      <c r="J75" s="18"/>
      <c r="K75" s="18"/>
      <c r="L75" s="18"/>
      <c r="M75" s="18"/>
      <c r="N75" s="18"/>
      <c r="O75" s="18"/>
      <c r="P75" s="18">
        <v>1</v>
      </c>
      <c r="Q75" s="18">
        <v>1</v>
      </c>
      <c r="R75" s="18"/>
      <c r="S75" s="18"/>
      <c r="T75" s="18"/>
      <c r="U75" s="18"/>
      <c r="V75" s="18">
        <v>1</v>
      </c>
      <c r="W75" s="18"/>
      <c r="X75" s="18"/>
      <c r="Y75" s="18"/>
      <c r="Z75" s="18"/>
      <c r="AA75" s="133">
        <v>6</v>
      </c>
      <c r="AB75" s="134">
        <v>0</v>
      </c>
    </row>
    <row r="76" spans="1:28" x14ac:dyDescent="0.25">
      <c r="A76" s="132" t="s">
        <v>248</v>
      </c>
      <c r="B76" s="133" t="s">
        <v>250</v>
      </c>
      <c r="C76" s="133">
        <v>0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33">
        <v>0</v>
      </c>
      <c r="AB76" s="134">
        <v>0</v>
      </c>
    </row>
    <row r="77" spans="1:28" x14ac:dyDescent="0.25">
      <c r="A77" s="132" t="s">
        <v>249</v>
      </c>
      <c r="B77" s="133" t="s">
        <v>251</v>
      </c>
      <c r="C77" s="133">
        <v>0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33">
        <v>0</v>
      </c>
      <c r="AB77" s="134">
        <v>0</v>
      </c>
    </row>
    <row r="78" spans="1:28" x14ac:dyDescent="0.25">
      <c r="A78" s="132" t="s">
        <v>108</v>
      </c>
      <c r="B78" s="133" t="s">
        <v>168</v>
      </c>
      <c r="C78" s="133">
        <v>3</v>
      </c>
      <c r="D78" s="18"/>
      <c r="E78" s="18"/>
      <c r="F78" s="18"/>
      <c r="G78" s="18"/>
      <c r="H78" s="18"/>
      <c r="I78" s="18"/>
      <c r="J78" s="18">
        <v>1</v>
      </c>
      <c r="K78" s="18"/>
      <c r="L78" s="18"/>
      <c r="M78" s="18"/>
      <c r="N78" s="18"/>
      <c r="O78" s="18"/>
      <c r="P78" s="18"/>
      <c r="Q78" s="18"/>
      <c r="R78" s="18"/>
      <c r="S78" s="18">
        <v>2</v>
      </c>
      <c r="T78" s="18"/>
      <c r="U78" s="18"/>
      <c r="V78" s="18"/>
      <c r="W78" s="18"/>
      <c r="X78" s="18"/>
      <c r="Y78" s="18"/>
      <c r="Z78" s="18"/>
      <c r="AA78" s="133">
        <v>3</v>
      </c>
      <c r="AB78" s="134">
        <v>0</v>
      </c>
    </row>
    <row r="79" spans="1:28" x14ac:dyDescent="0.25">
      <c r="A79" s="132" t="s">
        <v>109</v>
      </c>
      <c r="B79" s="133" t="s">
        <v>169</v>
      </c>
      <c r="C79" s="133">
        <v>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>
        <v>1</v>
      </c>
      <c r="R79" s="18"/>
      <c r="S79" s="18"/>
      <c r="T79" s="18"/>
      <c r="U79" s="18"/>
      <c r="V79" s="18"/>
      <c r="W79" s="18"/>
      <c r="X79" s="18"/>
      <c r="Y79" s="18"/>
      <c r="Z79" s="18"/>
      <c r="AA79" s="133">
        <v>1</v>
      </c>
      <c r="AB79" s="134">
        <v>0</v>
      </c>
    </row>
    <row r="80" spans="1:28" x14ac:dyDescent="0.25">
      <c r="A80" s="132" t="s">
        <v>238</v>
      </c>
      <c r="B80" s="133" t="s">
        <v>239</v>
      </c>
      <c r="C80" s="133">
        <v>9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>
        <v>9</v>
      </c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33">
        <v>9</v>
      </c>
      <c r="AB80" s="134">
        <v>0</v>
      </c>
    </row>
    <row r="81" spans="1:28" x14ac:dyDescent="0.25">
      <c r="A81" s="132" t="s">
        <v>227</v>
      </c>
      <c r="B81" s="133" t="s">
        <v>69</v>
      </c>
      <c r="C81" s="133">
        <v>2</v>
      </c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2</v>
      </c>
      <c r="U81" s="18"/>
      <c r="V81" s="18"/>
      <c r="W81" s="18"/>
      <c r="X81" s="18"/>
      <c r="Y81" s="18"/>
      <c r="Z81" s="18"/>
      <c r="AA81" s="133">
        <v>2</v>
      </c>
      <c r="AB81" s="134">
        <v>0</v>
      </c>
    </row>
    <row r="82" spans="1:28" x14ac:dyDescent="0.25">
      <c r="A82" s="132" t="s">
        <v>228</v>
      </c>
      <c r="B82" s="133" t="s">
        <v>182</v>
      </c>
      <c r="C82" s="133">
        <v>6</v>
      </c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>
        <v>4</v>
      </c>
      <c r="Q82" s="18"/>
      <c r="R82" s="18"/>
      <c r="S82" s="18"/>
      <c r="T82" s="18"/>
      <c r="U82" s="18">
        <v>1</v>
      </c>
      <c r="V82" s="18"/>
      <c r="W82" s="18"/>
      <c r="X82" s="18"/>
      <c r="Y82" s="18"/>
      <c r="Z82" s="18"/>
      <c r="AA82" s="133">
        <v>6</v>
      </c>
      <c r="AB82" s="134">
        <v>0</v>
      </c>
    </row>
    <row r="83" spans="1:28" x14ac:dyDescent="0.25">
      <c r="A83" s="132"/>
      <c r="B83" s="133"/>
      <c r="C83" s="133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33"/>
      <c r="AB83" s="134"/>
    </row>
    <row r="84" spans="1:28" x14ac:dyDescent="0.25">
      <c r="A84" s="132"/>
      <c r="B84" s="140" t="s">
        <v>306</v>
      </c>
      <c r="C84" s="133">
        <v>237</v>
      </c>
      <c r="D84" s="18">
        <v>18</v>
      </c>
      <c r="E84" s="18">
        <v>0</v>
      </c>
      <c r="F84" s="18">
        <v>10</v>
      </c>
      <c r="G84" s="18">
        <v>7</v>
      </c>
      <c r="H84" s="18">
        <v>7</v>
      </c>
      <c r="I84" s="18">
        <v>11</v>
      </c>
      <c r="J84" s="18">
        <v>15</v>
      </c>
      <c r="K84" s="18">
        <v>0</v>
      </c>
      <c r="L84" s="18">
        <v>0</v>
      </c>
      <c r="M84" s="18">
        <v>18</v>
      </c>
      <c r="N84" s="18">
        <v>2</v>
      </c>
      <c r="O84" s="18">
        <v>0</v>
      </c>
      <c r="P84" s="18">
        <v>19</v>
      </c>
      <c r="Q84" s="18">
        <v>10</v>
      </c>
      <c r="R84" s="18">
        <v>18</v>
      </c>
      <c r="S84" s="18">
        <v>8</v>
      </c>
      <c r="T84" s="18">
        <v>20</v>
      </c>
      <c r="U84" s="18">
        <v>16</v>
      </c>
      <c r="V84" s="18">
        <v>22</v>
      </c>
      <c r="W84" s="18">
        <v>3</v>
      </c>
      <c r="X84" s="18">
        <v>20</v>
      </c>
      <c r="Y84" s="18">
        <v>6</v>
      </c>
      <c r="Z84" s="18">
        <v>7</v>
      </c>
      <c r="AA84" s="133">
        <v>237</v>
      </c>
      <c r="AB84" s="134">
        <v>0</v>
      </c>
    </row>
    <row r="85" spans="1:28" x14ac:dyDescent="0.25">
      <c r="A85" s="132"/>
      <c r="B85" s="133"/>
      <c r="C85" s="133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33"/>
      <c r="AB85" s="134"/>
    </row>
    <row r="86" spans="1:28" ht="13.8" thickBot="1" x14ac:dyDescent="0.3">
      <c r="A86" s="135"/>
      <c r="B86" s="136" t="s">
        <v>307</v>
      </c>
      <c r="C86" s="137">
        <v>366</v>
      </c>
      <c r="D86" s="61">
        <v>18</v>
      </c>
      <c r="E86" s="61">
        <v>0</v>
      </c>
      <c r="F86" s="61">
        <v>18</v>
      </c>
      <c r="G86" s="61">
        <v>7</v>
      </c>
      <c r="H86" s="61">
        <v>13</v>
      </c>
      <c r="I86" s="61">
        <v>21</v>
      </c>
      <c r="J86" s="61">
        <v>15</v>
      </c>
      <c r="K86" s="61">
        <v>20</v>
      </c>
      <c r="L86" s="61">
        <v>16</v>
      </c>
      <c r="M86" s="61">
        <v>20</v>
      </c>
      <c r="N86" s="61">
        <v>13</v>
      </c>
      <c r="O86" s="61">
        <v>16</v>
      </c>
      <c r="P86" s="61">
        <v>19</v>
      </c>
      <c r="Q86" s="61">
        <v>19</v>
      </c>
      <c r="R86" s="61">
        <v>18</v>
      </c>
      <c r="S86" s="61">
        <v>9</v>
      </c>
      <c r="T86" s="61">
        <v>20</v>
      </c>
      <c r="U86" s="61">
        <v>18</v>
      </c>
      <c r="V86" s="61">
        <v>23</v>
      </c>
      <c r="W86" s="61">
        <v>7</v>
      </c>
      <c r="X86" s="61">
        <v>20</v>
      </c>
      <c r="Y86" s="61">
        <v>28</v>
      </c>
      <c r="Z86" s="61">
        <v>8</v>
      </c>
      <c r="AA86" s="137">
        <v>366</v>
      </c>
      <c r="AB86" s="138">
        <v>0</v>
      </c>
    </row>
    <row r="90" spans="1:28" ht="18" thickBot="1" x14ac:dyDescent="0.35">
      <c r="B90" s="66" t="s">
        <v>308</v>
      </c>
    </row>
    <row r="91" spans="1:28" ht="67.2" x14ac:dyDescent="0.3">
      <c r="A91" s="127"/>
      <c r="B91" s="128" t="s">
        <v>325</v>
      </c>
      <c r="C91" s="129" t="s">
        <v>4</v>
      </c>
      <c r="D91" s="130" t="s">
        <v>83</v>
      </c>
      <c r="E91" s="130" t="s">
        <v>216</v>
      </c>
      <c r="F91" s="130" t="s">
        <v>16</v>
      </c>
      <c r="G91" s="130" t="s">
        <v>75</v>
      </c>
      <c r="H91" s="130" t="s">
        <v>12</v>
      </c>
      <c r="I91" s="130" t="s">
        <v>32</v>
      </c>
      <c r="J91" s="130" t="s">
        <v>320</v>
      </c>
      <c r="K91" s="130" t="s">
        <v>25</v>
      </c>
      <c r="L91" s="130" t="s">
        <v>81</v>
      </c>
      <c r="M91" s="130" t="s">
        <v>80</v>
      </c>
      <c r="N91" s="130" t="s">
        <v>218</v>
      </c>
      <c r="O91" s="130" t="s">
        <v>144</v>
      </c>
      <c r="P91" s="130" t="s">
        <v>20</v>
      </c>
      <c r="Q91" s="130" t="s">
        <v>253</v>
      </c>
      <c r="R91" s="130" t="s">
        <v>88</v>
      </c>
      <c r="S91" s="130" t="s">
        <v>84</v>
      </c>
      <c r="T91" s="130" t="s">
        <v>34</v>
      </c>
      <c r="U91" s="130" t="s">
        <v>338</v>
      </c>
      <c r="V91" s="130" t="s">
        <v>41</v>
      </c>
      <c r="W91" s="130" t="s">
        <v>212</v>
      </c>
      <c r="X91" s="130" t="s">
        <v>37</v>
      </c>
      <c r="Y91" s="130" t="s">
        <v>7</v>
      </c>
      <c r="Z91" s="130" t="s">
        <v>18</v>
      </c>
      <c r="AA91" s="129" t="s">
        <v>103</v>
      </c>
      <c r="AB91" s="131" t="s">
        <v>184</v>
      </c>
    </row>
    <row r="92" spans="1:28" x14ac:dyDescent="0.25">
      <c r="A92" s="132" t="s">
        <v>6</v>
      </c>
      <c r="B92" s="133" t="s">
        <v>271</v>
      </c>
      <c r="C92" s="133">
        <v>4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>
        <v>4</v>
      </c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33">
        <v>4</v>
      </c>
      <c r="AB92" s="134">
        <v>0</v>
      </c>
    </row>
    <row r="93" spans="1:28" x14ac:dyDescent="0.25">
      <c r="A93" s="132" t="s">
        <v>8</v>
      </c>
      <c r="B93" s="133" t="s">
        <v>272</v>
      </c>
      <c r="C93" s="133">
        <v>2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>
        <v>2</v>
      </c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33">
        <v>2</v>
      </c>
      <c r="AB93" s="134">
        <v>0</v>
      </c>
    </row>
    <row r="94" spans="1:28" x14ac:dyDescent="0.25">
      <c r="A94" s="132"/>
      <c r="B94" s="133" t="s">
        <v>273</v>
      </c>
      <c r="C94" s="133">
        <v>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>
        <v>2</v>
      </c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33">
        <v>2</v>
      </c>
      <c r="AB94" s="134">
        <v>0</v>
      </c>
    </row>
    <row r="95" spans="1:28" x14ac:dyDescent="0.25">
      <c r="A95" s="132" t="s">
        <v>9</v>
      </c>
      <c r="B95" s="133" t="s">
        <v>339</v>
      </c>
      <c r="C95" s="133">
        <v>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>
        <v>9</v>
      </c>
      <c r="R95" s="18"/>
      <c r="S95" s="18"/>
      <c r="T95" s="18"/>
      <c r="U95" s="18"/>
      <c r="V95" s="18"/>
      <c r="W95" s="18"/>
      <c r="X95" s="18"/>
      <c r="Y95" s="18"/>
      <c r="Z95" s="18"/>
      <c r="AA95" s="133">
        <v>9</v>
      </c>
      <c r="AB95" s="134">
        <v>0</v>
      </c>
    </row>
    <row r="96" spans="1:28" x14ac:dyDescent="0.25">
      <c r="A96" s="132" t="s">
        <v>10</v>
      </c>
      <c r="B96" s="133" t="s">
        <v>274</v>
      </c>
      <c r="C96" s="133">
        <v>2</v>
      </c>
      <c r="D96" s="18"/>
      <c r="E96" s="18"/>
      <c r="F96" s="18"/>
      <c r="G96" s="18"/>
      <c r="H96" s="18"/>
      <c r="I96" s="18"/>
      <c r="J96" s="18"/>
      <c r="K96" s="18"/>
      <c r="L96" s="18"/>
      <c r="M96" s="18">
        <v>2</v>
      </c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33">
        <v>2</v>
      </c>
      <c r="AB96" s="134">
        <v>0</v>
      </c>
    </row>
    <row r="97" spans="1:28" x14ac:dyDescent="0.25">
      <c r="A97" s="132" t="s">
        <v>11</v>
      </c>
      <c r="B97" s="133" t="s">
        <v>288</v>
      </c>
      <c r="C97" s="133">
        <v>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>
        <v>2</v>
      </c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33">
        <v>2</v>
      </c>
      <c r="AB97" s="134">
        <v>0</v>
      </c>
    </row>
    <row r="98" spans="1:28" x14ac:dyDescent="0.25">
      <c r="A98" s="132" t="s">
        <v>13</v>
      </c>
      <c r="B98" s="133" t="s">
        <v>275</v>
      </c>
      <c r="C98" s="133">
        <v>6</v>
      </c>
      <c r="D98" s="18"/>
      <c r="E98" s="18"/>
      <c r="F98" s="18"/>
      <c r="G98" s="18"/>
      <c r="H98" s="18">
        <v>6</v>
      </c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33">
        <v>6</v>
      </c>
      <c r="AB98" s="134">
        <v>0</v>
      </c>
    </row>
    <row r="99" spans="1:28" x14ac:dyDescent="0.25">
      <c r="A99" s="132"/>
      <c r="B99" s="133"/>
      <c r="C99" s="133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33"/>
      <c r="AB99" s="134">
        <v>0</v>
      </c>
    </row>
    <row r="100" spans="1:28" x14ac:dyDescent="0.25">
      <c r="A100" s="132"/>
      <c r="B100" s="133"/>
      <c r="C100" s="133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33"/>
      <c r="AB100" s="134">
        <v>0</v>
      </c>
    </row>
    <row r="101" spans="1:28" x14ac:dyDescent="0.25">
      <c r="A101" s="132" t="s">
        <v>209</v>
      </c>
      <c r="B101" s="133" t="s">
        <v>210</v>
      </c>
      <c r="C101" s="133">
        <v>8</v>
      </c>
      <c r="D101" s="18"/>
      <c r="E101" s="18"/>
      <c r="F101" s="18">
        <v>8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33">
        <v>8</v>
      </c>
      <c r="AB101" s="134">
        <v>0</v>
      </c>
    </row>
    <row r="102" spans="1:28" x14ac:dyDescent="0.25">
      <c r="A102" s="132" t="s">
        <v>17</v>
      </c>
      <c r="B102" s="133" t="s">
        <v>289</v>
      </c>
      <c r="C102" s="133">
        <v>10</v>
      </c>
      <c r="D102" s="18"/>
      <c r="E102" s="18"/>
      <c r="F102" s="18"/>
      <c r="G102" s="18"/>
      <c r="H102" s="18"/>
      <c r="I102" s="18">
        <v>10</v>
      </c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33">
        <v>10</v>
      </c>
      <c r="AB102" s="134">
        <v>0</v>
      </c>
    </row>
    <row r="103" spans="1:28" x14ac:dyDescent="0.25">
      <c r="A103" s="132"/>
      <c r="B103" s="133"/>
      <c r="C103" s="133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33"/>
      <c r="AB103" s="134">
        <v>0</v>
      </c>
    </row>
    <row r="104" spans="1:28" x14ac:dyDescent="0.25">
      <c r="A104" s="132" t="s">
        <v>22</v>
      </c>
      <c r="B104" s="133" t="s">
        <v>23</v>
      </c>
      <c r="C104" s="133">
        <v>8</v>
      </c>
      <c r="D104" s="18"/>
      <c r="E104" s="18"/>
      <c r="F104" s="18"/>
      <c r="G104" s="18"/>
      <c r="H104" s="18"/>
      <c r="I104" s="18"/>
      <c r="J104" s="18"/>
      <c r="K104" s="18">
        <v>8</v>
      </c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33">
        <v>8</v>
      </c>
      <c r="AB104" s="134">
        <v>0</v>
      </c>
    </row>
    <row r="105" spans="1:28" x14ac:dyDescent="0.25">
      <c r="A105" s="132" t="s">
        <v>24</v>
      </c>
      <c r="B105" s="133" t="s">
        <v>276</v>
      </c>
      <c r="C105" s="133">
        <v>4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>
        <v>4</v>
      </c>
      <c r="U105" s="18"/>
      <c r="V105" s="18"/>
      <c r="W105" s="18"/>
      <c r="X105" s="18"/>
      <c r="Y105" s="18"/>
      <c r="Z105" s="18"/>
      <c r="AA105" s="133">
        <v>4</v>
      </c>
      <c r="AB105" s="134">
        <v>0</v>
      </c>
    </row>
    <row r="106" spans="1:28" x14ac:dyDescent="0.25">
      <c r="A106" s="132" t="s">
        <v>26</v>
      </c>
      <c r="B106" s="133" t="s">
        <v>27</v>
      </c>
      <c r="C106" s="133">
        <v>12</v>
      </c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>
        <v>12</v>
      </c>
      <c r="U106" s="18"/>
      <c r="V106" s="18"/>
      <c r="W106" s="18"/>
      <c r="X106" s="18"/>
      <c r="Y106" s="18"/>
      <c r="Z106" s="18"/>
      <c r="AA106" s="133">
        <v>12</v>
      </c>
      <c r="AB106" s="134">
        <v>0</v>
      </c>
    </row>
    <row r="107" spans="1:28" x14ac:dyDescent="0.25">
      <c r="A107" s="132"/>
      <c r="B107" s="133"/>
      <c r="C107" s="133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33"/>
      <c r="AB107" s="134">
        <v>0</v>
      </c>
    </row>
    <row r="108" spans="1:28" x14ac:dyDescent="0.25">
      <c r="A108" s="132"/>
      <c r="B108" s="133"/>
      <c r="C108" s="133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33"/>
      <c r="AB108" s="134">
        <v>0</v>
      </c>
    </row>
    <row r="109" spans="1:28" x14ac:dyDescent="0.25">
      <c r="A109" s="132" t="s">
        <v>30</v>
      </c>
      <c r="B109" s="133" t="s">
        <v>64</v>
      </c>
      <c r="C109" s="133">
        <v>1</v>
      </c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>
        <v>1</v>
      </c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33">
        <v>1</v>
      </c>
      <c r="AB109" s="134">
        <v>0</v>
      </c>
    </row>
    <row r="110" spans="1:28" x14ac:dyDescent="0.25">
      <c r="A110" s="132" t="s">
        <v>33</v>
      </c>
      <c r="B110" s="133" t="s">
        <v>277</v>
      </c>
      <c r="C110" s="133">
        <v>6</v>
      </c>
      <c r="D110" s="18"/>
      <c r="E110" s="18"/>
      <c r="F110" s="18"/>
      <c r="G110" s="18"/>
      <c r="H110" s="18"/>
      <c r="I110" s="18"/>
      <c r="J110" s="18"/>
      <c r="K110" s="18">
        <v>6</v>
      </c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33">
        <v>6</v>
      </c>
      <c r="AB110" s="134">
        <v>0</v>
      </c>
    </row>
    <row r="111" spans="1:28" x14ac:dyDescent="0.25">
      <c r="A111" s="132" t="s">
        <v>35</v>
      </c>
      <c r="B111" s="133" t="s">
        <v>36</v>
      </c>
      <c r="C111" s="133">
        <v>4</v>
      </c>
      <c r="D111" s="18"/>
      <c r="E111" s="18"/>
      <c r="F111" s="18"/>
      <c r="G111" s="18"/>
      <c r="H111" s="18"/>
      <c r="I111" s="18"/>
      <c r="J111" s="18"/>
      <c r="K111" s="18"/>
      <c r="L111" s="18">
        <v>4</v>
      </c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33">
        <v>4</v>
      </c>
      <c r="AB111" s="134">
        <v>0</v>
      </c>
    </row>
    <row r="112" spans="1:28" x14ac:dyDescent="0.25">
      <c r="A112" s="132" t="s">
        <v>38</v>
      </c>
      <c r="B112" s="133" t="s">
        <v>291</v>
      </c>
      <c r="C112" s="133">
        <v>0</v>
      </c>
      <c r="D112" s="18"/>
      <c r="E112" s="18"/>
      <c r="F112" s="18"/>
      <c r="G112" s="18"/>
      <c r="H112" s="18"/>
      <c r="I112" s="18">
        <v>0</v>
      </c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33">
        <v>0</v>
      </c>
      <c r="AB112" s="134">
        <v>0</v>
      </c>
    </row>
    <row r="113" spans="1:28" x14ac:dyDescent="0.25">
      <c r="A113" s="132" t="s">
        <v>211</v>
      </c>
      <c r="B113" s="133" t="s">
        <v>290</v>
      </c>
      <c r="C113" s="133">
        <v>0</v>
      </c>
      <c r="D113" s="18"/>
      <c r="E113" s="18"/>
      <c r="F113" s="18"/>
      <c r="G113" s="18"/>
      <c r="H113" s="18"/>
      <c r="I113" s="18">
        <v>0</v>
      </c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33">
        <v>0</v>
      </c>
      <c r="AB113" s="134">
        <v>0</v>
      </c>
    </row>
    <row r="114" spans="1:28" x14ac:dyDescent="0.25">
      <c r="A114" s="132" t="s">
        <v>39</v>
      </c>
      <c r="B114" s="133" t="s">
        <v>40</v>
      </c>
      <c r="C114" s="133">
        <v>1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>
        <v>1</v>
      </c>
      <c r="W114" s="18"/>
      <c r="X114" s="18"/>
      <c r="Y114" s="18"/>
      <c r="Z114" s="18"/>
      <c r="AA114" s="133">
        <v>1</v>
      </c>
      <c r="AB114" s="134">
        <v>0</v>
      </c>
    </row>
    <row r="115" spans="1:28" x14ac:dyDescent="0.25">
      <c r="A115" s="132" t="s">
        <v>42</v>
      </c>
      <c r="B115" s="133" t="s">
        <v>65</v>
      </c>
      <c r="C115" s="133">
        <v>12</v>
      </c>
      <c r="D115" s="18"/>
      <c r="E115" s="18"/>
      <c r="F115" s="18"/>
      <c r="G115" s="18"/>
      <c r="H115" s="18"/>
      <c r="I115" s="18"/>
      <c r="J115" s="18"/>
      <c r="K115" s="18"/>
      <c r="L115" s="18">
        <v>12</v>
      </c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33">
        <v>12</v>
      </c>
      <c r="AB115" s="134">
        <v>0</v>
      </c>
    </row>
    <row r="116" spans="1:28" x14ac:dyDescent="0.25">
      <c r="A116" s="132" t="s">
        <v>44</v>
      </c>
      <c r="B116" s="133" t="s">
        <v>278</v>
      </c>
      <c r="C116" s="133">
        <v>1</v>
      </c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>
        <v>1</v>
      </c>
      <c r="AA116" s="133">
        <v>1</v>
      </c>
      <c r="AB116" s="134">
        <v>0</v>
      </c>
    </row>
    <row r="117" spans="1:28" x14ac:dyDescent="0.25">
      <c r="A117" s="132" t="s">
        <v>45</v>
      </c>
      <c r="B117" s="133" t="s">
        <v>46</v>
      </c>
      <c r="C117" s="133">
        <v>2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>
        <v>2</v>
      </c>
      <c r="X117" s="18"/>
      <c r="Y117" s="18"/>
      <c r="Z117" s="18"/>
      <c r="AA117" s="133">
        <v>2</v>
      </c>
      <c r="AB117" s="134">
        <v>0</v>
      </c>
    </row>
    <row r="118" spans="1:28" x14ac:dyDescent="0.25">
      <c r="A118" s="132" t="s">
        <v>47</v>
      </c>
      <c r="B118" s="133" t="s">
        <v>279</v>
      </c>
      <c r="C118" s="133">
        <v>2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>
        <v>2</v>
      </c>
      <c r="V118" s="18"/>
      <c r="W118" s="18"/>
      <c r="X118" s="18"/>
      <c r="Y118" s="18"/>
      <c r="Z118" s="18"/>
      <c r="AA118" s="133">
        <v>2</v>
      </c>
      <c r="AB118" s="134">
        <v>0</v>
      </c>
    </row>
    <row r="119" spans="1:28" x14ac:dyDescent="0.25">
      <c r="A119" s="132" t="s">
        <v>48</v>
      </c>
      <c r="B119" s="133" t="s">
        <v>287</v>
      </c>
      <c r="C119" s="133">
        <v>2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>
        <v>2</v>
      </c>
      <c r="X119" s="18"/>
      <c r="Y119" s="18"/>
      <c r="Z119" s="18"/>
      <c r="AA119" s="133">
        <v>2</v>
      </c>
      <c r="AB119" s="134">
        <v>0</v>
      </c>
    </row>
    <row r="120" spans="1:28" x14ac:dyDescent="0.25">
      <c r="A120" s="132" t="s">
        <v>50</v>
      </c>
      <c r="B120" s="133" t="s">
        <v>328</v>
      </c>
      <c r="C120" s="133">
        <v>8</v>
      </c>
      <c r="D120" s="18"/>
      <c r="E120" s="18"/>
      <c r="F120" s="18"/>
      <c r="G120" s="18"/>
      <c r="H120" s="18"/>
      <c r="I120" s="18"/>
      <c r="J120" s="18"/>
      <c r="K120" s="18">
        <v>8</v>
      </c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33">
        <v>8</v>
      </c>
      <c r="AB120" s="134">
        <v>0</v>
      </c>
    </row>
    <row r="121" spans="1:28" x14ac:dyDescent="0.25">
      <c r="A121" s="132"/>
      <c r="B121" s="133"/>
      <c r="C121" s="133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33"/>
      <c r="AB121" s="134">
        <v>0</v>
      </c>
    </row>
    <row r="122" spans="1:28" x14ac:dyDescent="0.25">
      <c r="A122" s="132" t="s">
        <v>194</v>
      </c>
      <c r="B122" s="133" t="s">
        <v>195</v>
      </c>
      <c r="C122" s="133">
        <v>1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1</v>
      </c>
      <c r="T122" s="18"/>
      <c r="U122" s="18"/>
      <c r="V122" s="18"/>
      <c r="W122" s="18"/>
      <c r="X122" s="18"/>
      <c r="Y122" s="18"/>
      <c r="Z122" s="18"/>
      <c r="AA122" s="133">
        <v>1</v>
      </c>
      <c r="AB122" s="134">
        <v>0</v>
      </c>
    </row>
    <row r="123" spans="1:28" x14ac:dyDescent="0.25">
      <c r="A123" s="132" t="s">
        <v>196</v>
      </c>
      <c r="B123" s="133" t="s">
        <v>197</v>
      </c>
      <c r="C123" s="133">
        <v>1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>
        <v>1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33">
        <v>1</v>
      </c>
      <c r="AB123" s="134">
        <v>0</v>
      </c>
    </row>
    <row r="124" spans="1:28" x14ac:dyDescent="0.25">
      <c r="A124" s="132"/>
      <c r="B124" s="133"/>
      <c r="C124" s="133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33"/>
      <c r="AB124" s="134"/>
    </row>
    <row r="125" spans="1:28" ht="13.8" thickBot="1" x14ac:dyDescent="0.3">
      <c r="A125" s="135"/>
      <c r="B125" s="136" t="s">
        <v>309</v>
      </c>
      <c r="C125" s="137">
        <v>110</v>
      </c>
      <c r="D125" s="61">
        <v>0</v>
      </c>
      <c r="E125" s="61">
        <v>0</v>
      </c>
      <c r="F125" s="61">
        <v>8</v>
      </c>
      <c r="G125" s="61">
        <v>0</v>
      </c>
      <c r="H125" s="61">
        <v>6</v>
      </c>
      <c r="I125" s="61">
        <v>10</v>
      </c>
      <c r="J125" s="61">
        <v>0</v>
      </c>
      <c r="K125" s="61">
        <v>22</v>
      </c>
      <c r="L125" s="61">
        <v>16</v>
      </c>
      <c r="M125" s="61">
        <v>2</v>
      </c>
      <c r="N125" s="61">
        <v>2</v>
      </c>
      <c r="O125" s="61">
        <v>10</v>
      </c>
      <c r="P125" s="61">
        <v>0</v>
      </c>
      <c r="Q125" s="61">
        <v>9</v>
      </c>
      <c r="R125" s="61">
        <v>0</v>
      </c>
      <c r="S125" s="61">
        <v>1</v>
      </c>
      <c r="T125" s="61">
        <v>16</v>
      </c>
      <c r="U125" s="61">
        <v>2</v>
      </c>
      <c r="V125" s="61">
        <v>1</v>
      </c>
      <c r="W125" s="61">
        <v>4</v>
      </c>
      <c r="X125" s="61">
        <v>0</v>
      </c>
      <c r="Y125" s="61">
        <v>0</v>
      </c>
      <c r="Z125" s="61">
        <v>1</v>
      </c>
      <c r="AA125" s="137">
        <v>110</v>
      </c>
      <c r="AB125" s="138">
        <v>0</v>
      </c>
    </row>
    <row r="129" spans="1:28" ht="18" thickBot="1" x14ac:dyDescent="0.35">
      <c r="B129" s="66" t="s">
        <v>310</v>
      </c>
    </row>
    <row r="130" spans="1:28" ht="67.2" x14ac:dyDescent="0.3">
      <c r="A130" s="127"/>
      <c r="B130" s="128" t="s">
        <v>325</v>
      </c>
      <c r="C130" s="129" t="s">
        <v>4</v>
      </c>
      <c r="D130" s="130" t="s">
        <v>83</v>
      </c>
      <c r="E130" s="130" t="s">
        <v>216</v>
      </c>
      <c r="F130" s="130" t="s">
        <v>16</v>
      </c>
      <c r="G130" s="130" t="s">
        <v>75</v>
      </c>
      <c r="H130" s="130" t="s">
        <v>12</v>
      </c>
      <c r="I130" s="130" t="s">
        <v>32</v>
      </c>
      <c r="J130" s="130" t="s">
        <v>320</v>
      </c>
      <c r="K130" s="130" t="s">
        <v>25</v>
      </c>
      <c r="L130" s="130" t="s">
        <v>81</v>
      </c>
      <c r="M130" s="130" t="s">
        <v>80</v>
      </c>
      <c r="N130" s="130" t="s">
        <v>218</v>
      </c>
      <c r="O130" s="130" t="s">
        <v>144</v>
      </c>
      <c r="P130" s="130" t="s">
        <v>20</v>
      </c>
      <c r="Q130" s="130" t="s">
        <v>253</v>
      </c>
      <c r="R130" s="130" t="s">
        <v>88</v>
      </c>
      <c r="S130" s="130" t="s">
        <v>84</v>
      </c>
      <c r="T130" s="130" t="s">
        <v>34</v>
      </c>
      <c r="U130" s="130" t="s">
        <v>338</v>
      </c>
      <c r="V130" s="130" t="s">
        <v>41</v>
      </c>
      <c r="W130" s="130" t="s">
        <v>212</v>
      </c>
      <c r="X130" s="130" t="s">
        <v>37</v>
      </c>
      <c r="Y130" s="130" t="s">
        <v>7</v>
      </c>
      <c r="Z130" s="130" t="s">
        <v>18</v>
      </c>
      <c r="AA130" s="129" t="s">
        <v>103</v>
      </c>
      <c r="AB130" s="131" t="s">
        <v>184</v>
      </c>
    </row>
    <row r="131" spans="1:28" x14ac:dyDescent="0.25">
      <c r="A131" s="132" t="s">
        <v>49</v>
      </c>
      <c r="B131" s="133" t="s">
        <v>157</v>
      </c>
      <c r="C131" s="133">
        <v>8</v>
      </c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>
        <v>8</v>
      </c>
      <c r="U131" s="18"/>
      <c r="V131" s="18"/>
      <c r="W131" s="18"/>
      <c r="X131" s="18"/>
      <c r="Y131" s="18"/>
      <c r="Z131" s="18"/>
      <c r="AA131" s="133">
        <v>8</v>
      </c>
      <c r="AB131" s="134">
        <v>0</v>
      </c>
    </row>
    <row r="132" spans="1:28" x14ac:dyDescent="0.25">
      <c r="A132" s="132" t="s">
        <v>52</v>
      </c>
      <c r="B132" s="133" t="s">
        <v>280</v>
      </c>
      <c r="C132" s="133">
        <v>24</v>
      </c>
      <c r="D132" s="18">
        <v>4</v>
      </c>
      <c r="E132" s="18"/>
      <c r="F132" s="18"/>
      <c r="G132" s="18">
        <v>1</v>
      </c>
      <c r="H132" s="18">
        <v>1</v>
      </c>
      <c r="I132" s="18">
        <v>1</v>
      </c>
      <c r="J132" s="18">
        <v>1</v>
      </c>
      <c r="K132" s="18"/>
      <c r="L132" s="18"/>
      <c r="M132" s="18"/>
      <c r="N132" s="18"/>
      <c r="O132" s="18"/>
      <c r="P132" s="18"/>
      <c r="Q132" s="18">
        <v>2</v>
      </c>
      <c r="R132" s="18"/>
      <c r="S132" s="18">
        <v>1</v>
      </c>
      <c r="T132" s="18"/>
      <c r="U132" s="18">
        <v>1</v>
      </c>
      <c r="V132" s="18">
        <v>3</v>
      </c>
      <c r="W132" s="18"/>
      <c r="X132" s="18">
        <v>6</v>
      </c>
      <c r="Y132" s="18">
        <v>2</v>
      </c>
      <c r="Z132" s="18">
        <v>1</v>
      </c>
      <c r="AA132" s="133">
        <v>24</v>
      </c>
      <c r="AB132" s="134">
        <v>0</v>
      </c>
    </row>
    <row r="133" spans="1:28" x14ac:dyDescent="0.25">
      <c r="A133" s="132" t="s">
        <v>237</v>
      </c>
      <c r="B133" s="133"/>
      <c r="C133" s="133">
        <v>0</v>
      </c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33">
        <v>0</v>
      </c>
      <c r="AB133" s="134">
        <v>0</v>
      </c>
    </row>
    <row r="134" spans="1:28" x14ac:dyDescent="0.25">
      <c r="A134" s="132" t="s">
        <v>303</v>
      </c>
      <c r="B134" s="133" t="s">
        <v>286</v>
      </c>
      <c r="C134" s="133">
        <v>2</v>
      </c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>
        <v>2</v>
      </c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33">
        <v>2</v>
      </c>
      <c r="AB134" s="134">
        <v>0</v>
      </c>
    </row>
    <row r="135" spans="1:28" x14ac:dyDescent="0.25">
      <c r="A135" s="132" t="s">
        <v>105</v>
      </c>
      <c r="B135" s="133" t="s">
        <v>172</v>
      </c>
      <c r="C135" s="133">
        <v>3</v>
      </c>
      <c r="D135" s="18"/>
      <c r="E135" s="18"/>
      <c r="F135" s="18"/>
      <c r="G135" s="18"/>
      <c r="H135" s="18"/>
      <c r="I135" s="18"/>
      <c r="J135" s="18">
        <v>1</v>
      </c>
      <c r="K135" s="18"/>
      <c r="L135" s="18"/>
      <c r="M135" s="18"/>
      <c r="N135" s="18"/>
      <c r="O135" s="18"/>
      <c r="P135" s="18"/>
      <c r="Q135" s="18">
        <v>1</v>
      </c>
      <c r="R135" s="18"/>
      <c r="S135" s="18"/>
      <c r="T135" s="18"/>
      <c r="U135" s="18"/>
      <c r="V135" s="18">
        <v>1</v>
      </c>
      <c r="W135" s="18"/>
      <c r="X135" s="18"/>
      <c r="Y135" s="18"/>
      <c r="Z135" s="18"/>
      <c r="AA135" s="133">
        <v>3</v>
      </c>
      <c r="AB135" s="134">
        <v>0</v>
      </c>
    </row>
    <row r="136" spans="1:28" x14ac:dyDescent="0.25">
      <c r="A136" s="132" t="s">
        <v>104</v>
      </c>
      <c r="B136" s="133" t="s">
        <v>173</v>
      </c>
      <c r="C136" s="133">
        <v>1</v>
      </c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>
        <v>1</v>
      </c>
      <c r="U136" s="18"/>
      <c r="V136" s="18"/>
      <c r="W136" s="18"/>
      <c r="X136" s="18"/>
      <c r="Y136" s="18"/>
      <c r="Z136" s="18"/>
      <c r="AA136" s="133">
        <v>1</v>
      </c>
      <c r="AB136" s="134">
        <v>0</v>
      </c>
    </row>
    <row r="137" spans="1:28" x14ac:dyDescent="0.25">
      <c r="A137" s="132" t="s">
        <v>106</v>
      </c>
      <c r="B137" s="133" t="s">
        <v>174</v>
      </c>
      <c r="C137" s="133">
        <v>3</v>
      </c>
      <c r="D137" s="18"/>
      <c r="E137" s="18"/>
      <c r="F137" s="18"/>
      <c r="G137" s="18"/>
      <c r="H137" s="18"/>
      <c r="I137" s="18">
        <v>2</v>
      </c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>
        <v>1</v>
      </c>
      <c r="W137" s="18"/>
      <c r="X137" s="18"/>
      <c r="Y137" s="18"/>
      <c r="Z137" s="18"/>
      <c r="AA137" s="133">
        <v>3</v>
      </c>
      <c r="AB137" s="134">
        <v>0</v>
      </c>
    </row>
    <row r="138" spans="1:28" x14ac:dyDescent="0.25">
      <c r="A138" s="132" t="s">
        <v>107</v>
      </c>
      <c r="B138" s="133" t="s">
        <v>175</v>
      </c>
      <c r="C138" s="133">
        <v>1</v>
      </c>
      <c r="D138" s="18">
        <v>1</v>
      </c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33">
        <v>1</v>
      </c>
      <c r="AB138" s="134">
        <v>0</v>
      </c>
    </row>
    <row r="139" spans="1:28" x14ac:dyDescent="0.25">
      <c r="A139" s="132" t="s">
        <v>130</v>
      </c>
      <c r="B139" s="133" t="s">
        <v>176</v>
      </c>
      <c r="C139" s="133">
        <v>7</v>
      </c>
      <c r="D139" s="18"/>
      <c r="E139" s="18"/>
      <c r="F139" s="18"/>
      <c r="G139" s="18">
        <v>1</v>
      </c>
      <c r="H139" s="18">
        <v>2</v>
      </c>
      <c r="I139" s="18"/>
      <c r="J139" s="18">
        <v>2</v>
      </c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>
        <v>2</v>
      </c>
      <c r="W139" s="18"/>
      <c r="X139" s="18"/>
      <c r="Y139" s="18"/>
      <c r="Z139" s="18"/>
      <c r="AA139" s="133">
        <v>7</v>
      </c>
      <c r="AB139" s="134">
        <v>0</v>
      </c>
    </row>
    <row r="140" spans="1:28" x14ac:dyDescent="0.25">
      <c r="A140" s="132" t="s">
        <v>131</v>
      </c>
      <c r="B140" s="133" t="s">
        <v>177</v>
      </c>
      <c r="C140" s="133">
        <v>6</v>
      </c>
      <c r="D140" s="18">
        <v>1</v>
      </c>
      <c r="E140" s="18"/>
      <c r="F140" s="18"/>
      <c r="G140" s="18"/>
      <c r="H140" s="18"/>
      <c r="I140" s="18"/>
      <c r="J140" s="18">
        <v>1</v>
      </c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>
        <v>2</v>
      </c>
      <c r="W140" s="18"/>
      <c r="X140" s="18"/>
      <c r="Y140" s="18"/>
      <c r="Z140" s="18">
        <v>2</v>
      </c>
      <c r="AA140" s="133">
        <v>6</v>
      </c>
      <c r="AB140" s="134">
        <v>0</v>
      </c>
    </row>
    <row r="141" spans="1:28" x14ac:dyDescent="0.25">
      <c r="A141" s="132" t="s">
        <v>53</v>
      </c>
      <c r="B141" s="133" t="s">
        <v>91</v>
      </c>
      <c r="C141" s="133">
        <v>9</v>
      </c>
      <c r="D141" s="18"/>
      <c r="E141" s="18"/>
      <c r="F141" s="18"/>
      <c r="G141" s="18"/>
      <c r="H141" s="18"/>
      <c r="I141" s="18"/>
      <c r="J141" s="18"/>
      <c r="K141" s="18"/>
      <c r="L141" s="18"/>
      <c r="M141" s="18">
        <v>7</v>
      </c>
      <c r="N141" s="18"/>
      <c r="O141" s="18"/>
      <c r="P141" s="18">
        <v>2</v>
      </c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33">
        <v>9</v>
      </c>
      <c r="AB141" s="134">
        <v>0</v>
      </c>
    </row>
    <row r="142" spans="1:28" x14ac:dyDescent="0.25">
      <c r="A142" s="132" t="s">
        <v>54</v>
      </c>
      <c r="B142" s="133" t="s">
        <v>102</v>
      </c>
      <c r="C142" s="133">
        <v>10</v>
      </c>
      <c r="D142" s="18"/>
      <c r="E142" s="18"/>
      <c r="F142" s="18"/>
      <c r="G142" s="18"/>
      <c r="H142" s="18"/>
      <c r="I142" s="18"/>
      <c r="J142" s="18"/>
      <c r="K142" s="18"/>
      <c r="L142" s="18"/>
      <c r="M142" s="18">
        <v>8</v>
      </c>
      <c r="N142" s="18"/>
      <c r="O142" s="18"/>
      <c r="P142" s="18"/>
      <c r="Q142" s="18"/>
      <c r="R142" s="18"/>
      <c r="S142" s="18">
        <v>1</v>
      </c>
      <c r="T142" s="18">
        <v>1</v>
      </c>
      <c r="U142" s="18"/>
      <c r="V142" s="18"/>
      <c r="W142" s="18"/>
      <c r="X142" s="18"/>
      <c r="Y142" s="18"/>
      <c r="Z142" s="18"/>
      <c r="AA142" s="133">
        <v>10</v>
      </c>
      <c r="AB142" s="134">
        <v>0</v>
      </c>
    </row>
    <row r="143" spans="1:28" x14ac:dyDescent="0.25">
      <c r="A143" s="132" t="s">
        <v>55</v>
      </c>
      <c r="B143" s="133" t="s">
        <v>111</v>
      </c>
      <c r="C143" s="133">
        <v>7</v>
      </c>
      <c r="D143" s="18"/>
      <c r="E143" s="18"/>
      <c r="F143" s="18"/>
      <c r="G143" s="18">
        <v>1</v>
      </c>
      <c r="H143" s="18">
        <v>1</v>
      </c>
      <c r="I143" s="18"/>
      <c r="J143" s="18">
        <v>1</v>
      </c>
      <c r="K143" s="18"/>
      <c r="L143" s="18"/>
      <c r="M143" s="18"/>
      <c r="N143" s="18"/>
      <c r="O143" s="18"/>
      <c r="P143" s="18"/>
      <c r="Q143" s="18"/>
      <c r="R143" s="18"/>
      <c r="S143" s="18"/>
      <c r="T143" s="18">
        <v>2</v>
      </c>
      <c r="U143" s="18"/>
      <c r="V143" s="18"/>
      <c r="W143" s="18"/>
      <c r="X143" s="18">
        <v>1</v>
      </c>
      <c r="Y143" s="18">
        <v>1</v>
      </c>
      <c r="Z143" s="18"/>
      <c r="AA143" s="133">
        <v>7</v>
      </c>
      <c r="AB143" s="134">
        <v>0</v>
      </c>
    </row>
    <row r="144" spans="1:28" x14ac:dyDescent="0.25">
      <c r="A144" s="132" t="s">
        <v>56</v>
      </c>
      <c r="B144" s="133" t="s">
        <v>163</v>
      </c>
      <c r="C144" s="133">
        <v>9</v>
      </c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>
        <v>5</v>
      </c>
      <c r="W144" s="18"/>
      <c r="X144" s="18">
        <v>4</v>
      </c>
      <c r="Y144" s="18"/>
      <c r="Z144" s="18"/>
      <c r="AA144" s="133">
        <v>9</v>
      </c>
      <c r="AB144" s="134">
        <v>0</v>
      </c>
    </row>
    <row r="145" spans="1:28" x14ac:dyDescent="0.25">
      <c r="A145" s="132" t="s">
        <v>57</v>
      </c>
      <c r="B145" s="133" t="s">
        <v>164</v>
      </c>
      <c r="C145" s="133">
        <v>10</v>
      </c>
      <c r="D145" s="18"/>
      <c r="E145" s="18"/>
      <c r="F145" s="18"/>
      <c r="G145" s="18"/>
      <c r="H145" s="18"/>
      <c r="I145" s="18"/>
      <c r="J145" s="18">
        <v>3</v>
      </c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>
        <v>3</v>
      </c>
      <c r="V145" s="18"/>
      <c r="W145" s="18">
        <v>2</v>
      </c>
      <c r="X145" s="18">
        <v>2</v>
      </c>
      <c r="Y145" s="18"/>
      <c r="Z145" s="18"/>
      <c r="AA145" s="133">
        <v>10</v>
      </c>
      <c r="AB145" s="134">
        <v>0</v>
      </c>
    </row>
    <row r="146" spans="1:28" x14ac:dyDescent="0.25">
      <c r="A146" s="132" t="s">
        <v>58</v>
      </c>
      <c r="B146" s="133" t="s">
        <v>165</v>
      </c>
      <c r="C146" s="133">
        <v>7</v>
      </c>
      <c r="D146" s="18">
        <v>2</v>
      </c>
      <c r="E146" s="18"/>
      <c r="F146" s="18">
        <v>1</v>
      </c>
      <c r="G146" s="18"/>
      <c r="H146" s="18"/>
      <c r="I146" s="18"/>
      <c r="J146" s="18">
        <v>1</v>
      </c>
      <c r="K146" s="18"/>
      <c r="L146" s="18"/>
      <c r="M146" s="18"/>
      <c r="N146" s="18"/>
      <c r="O146" s="18"/>
      <c r="P146" s="18">
        <v>1</v>
      </c>
      <c r="Q146" s="18"/>
      <c r="R146" s="18"/>
      <c r="S146" s="18"/>
      <c r="T146" s="18"/>
      <c r="U146" s="18">
        <v>1</v>
      </c>
      <c r="V146" s="18"/>
      <c r="W146" s="18"/>
      <c r="X146" s="18">
        <v>1</v>
      </c>
      <c r="Y146" s="18"/>
      <c r="Z146" s="18"/>
      <c r="AA146" s="133">
        <v>7</v>
      </c>
      <c r="AB146" s="134">
        <v>0</v>
      </c>
    </row>
    <row r="147" spans="1:28" x14ac:dyDescent="0.25">
      <c r="A147" s="132" t="s">
        <v>67</v>
      </c>
      <c r="B147" s="133" t="s">
        <v>178</v>
      </c>
      <c r="C147" s="133">
        <v>22</v>
      </c>
      <c r="D147" s="18">
        <v>5</v>
      </c>
      <c r="E147" s="18"/>
      <c r="F147" s="18"/>
      <c r="G147" s="18">
        <v>3</v>
      </c>
      <c r="H147" s="18"/>
      <c r="I147" s="18">
        <v>3</v>
      </c>
      <c r="J147" s="18"/>
      <c r="K147" s="18"/>
      <c r="L147" s="18"/>
      <c r="M147" s="18"/>
      <c r="N147" s="18"/>
      <c r="O147" s="18"/>
      <c r="P147" s="18"/>
      <c r="Q147" s="18"/>
      <c r="R147" s="18">
        <v>4</v>
      </c>
      <c r="S147" s="18"/>
      <c r="T147" s="18"/>
      <c r="U147" s="18">
        <v>1</v>
      </c>
      <c r="V147" s="18">
        <v>6</v>
      </c>
      <c r="W147" s="18"/>
      <c r="X147" s="18"/>
      <c r="Y147" s="18"/>
      <c r="Z147" s="18"/>
      <c r="AA147" s="133">
        <v>22</v>
      </c>
      <c r="AB147" s="134">
        <v>0</v>
      </c>
    </row>
    <row r="148" spans="1:28" x14ac:dyDescent="0.25">
      <c r="A148" s="132" t="s">
        <v>67</v>
      </c>
      <c r="B148" s="133" t="s">
        <v>179</v>
      </c>
      <c r="C148" s="133">
        <v>14</v>
      </c>
      <c r="D148" s="18">
        <v>1</v>
      </c>
      <c r="E148" s="18"/>
      <c r="F148" s="18"/>
      <c r="G148" s="18">
        <v>1</v>
      </c>
      <c r="H148" s="18">
        <v>2</v>
      </c>
      <c r="I148" s="18">
        <v>2</v>
      </c>
      <c r="J148" s="18">
        <v>4</v>
      </c>
      <c r="K148" s="18"/>
      <c r="L148" s="18"/>
      <c r="M148" s="18"/>
      <c r="N148" s="18"/>
      <c r="O148" s="18"/>
      <c r="P148" s="18">
        <v>1</v>
      </c>
      <c r="Q148" s="18">
        <v>2</v>
      </c>
      <c r="R148" s="18"/>
      <c r="S148" s="18"/>
      <c r="T148" s="18"/>
      <c r="U148" s="18">
        <v>1</v>
      </c>
      <c r="V148" s="18"/>
      <c r="W148" s="18"/>
      <c r="X148" s="18"/>
      <c r="Y148" s="18"/>
      <c r="Z148" s="18"/>
      <c r="AA148" s="133">
        <v>14</v>
      </c>
      <c r="AB148" s="134">
        <v>0</v>
      </c>
    </row>
    <row r="149" spans="1:28" x14ac:dyDescent="0.25">
      <c r="A149" s="132" t="s">
        <v>68</v>
      </c>
      <c r="B149" s="133" t="s">
        <v>180</v>
      </c>
      <c r="C149" s="133">
        <v>22</v>
      </c>
      <c r="D149" s="18"/>
      <c r="E149" s="18"/>
      <c r="F149" s="18">
        <v>2</v>
      </c>
      <c r="G149" s="18"/>
      <c r="H149" s="18"/>
      <c r="I149" s="18">
        <v>2</v>
      </c>
      <c r="J149" s="18">
        <v>4</v>
      </c>
      <c r="K149" s="18"/>
      <c r="L149" s="18"/>
      <c r="M149" s="18"/>
      <c r="N149" s="18"/>
      <c r="O149" s="18"/>
      <c r="P149" s="18">
        <v>1</v>
      </c>
      <c r="Q149" s="18">
        <v>2</v>
      </c>
      <c r="R149" s="18">
        <v>1</v>
      </c>
      <c r="S149" s="18"/>
      <c r="T149" s="18"/>
      <c r="U149" s="18">
        <v>2</v>
      </c>
      <c r="V149" s="18"/>
      <c r="W149" s="18"/>
      <c r="X149" s="18">
        <v>2</v>
      </c>
      <c r="Y149" s="18">
        <v>3</v>
      </c>
      <c r="Z149" s="18">
        <v>3</v>
      </c>
      <c r="AA149" s="133">
        <v>22</v>
      </c>
      <c r="AB149" s="134">
        <v>0</v>
      </c>
    </row>
    <row r="150" spans="1:28" x14ac:dyDescent="0.25">
      <c r="A150" s="132" t="s">
        <v>68</v>
      </c>
      <c r="B150" s="133" t="s">
        <v>181</v>
      </c>
      <c r="C150" s="133">
        <v>14</v>
      </c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>
        <v>4</v>
      </c>
      <c r="S150" s="18"/>
      <c r="T150" s="18">
        <v>2</v>
      </c>
      <c r="U150" s="18">
        <v>3</v>
      </c>
      <c r="V150" s="18">
        <v>3</v>
      </c>
      <c r="W150" s="18">
        <v>1</v>
      </c>
      <c r="X150" s="18"/>
      <c r="Y150" s="18">
        <v>1</v>
      </c>
      <c r="Z150" s="18"/>
      <c r="AA150" s="133">
        <v>14</v>
      </c>
      <c r="AB150" s="134">
        <v>0</v>
      </c>
    </row>
    <row r="151" spans="1:28" x14ac:dyDescent="0.25">
      <c r="A151" s="132" t="s">
        <v>119</v>
      </c>
      <c r="B151" s="133" t="s">
        <v>166</v>
      </c>
      <c r="C151" s="133">
        <v>7</v>
      </c>
      <c r="D151" s="18"/>
      <c r="E151" s="18"/>
      <c r="F151" s="18">
        <v>2</v>
      </c>
      <c r="G151" s="18"/>
      <c r="H151" s="18"/>
      <c r="I151" s="18"/>
      <c r="J151" s="18">
        <v>1</v>
      </c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>
        <v>1</v>
      </c>
      <c r="V151" s="18"/>
      <c r="W151" s="18">
        <v>1</v>
      </c>
      <c r="X151" s="18"/>
      <c r="Y151" s="18">
        <v>2</v>
      </c>
      <c r="Z151" s="18"/>
      <c r="AA151" s="133">
        <v>7</v>
      </c>
      <c r="AB151" s="134">
        <v>0</v>
      </c>
    </row>
    <row r="152" spans="1:28" x14ac:dyDescent="0.25">
      <c r="A152" s="132" t="s">
        <v>120</v>
      </c>
      <c r="B152" s="133" t="s">
        <v>167</v>
      </c>
      <c r="C152" s="133">
        <v>6</v>
      </c>
      <c r="D152" s="18">
        <v>1</v>
      </c>
      <c r="E152" s="18"/>
      <c r="F152" s="18"/>
      <c r="G152" s="18"/>
      <c r="H152" s="18">
        <v>1</v>
      </c>
      <c r="I152" s="18">
        <v>2</v>
      </c>
      <c r="J152" s="18"/>
      <c r="K152" s="18"/>
      <c r="L152" s="18"/>
      <c r="M152" s="18"/>
      <c r="N152" s="18"/>
      <c r="O152" s="18"/>
      <c r="P152" s="18"/>
      <c r="Q152" s="18"/>
      <c r="R152" s="18">
        <v>1</v>
      </c>
      <c r="S152" s="18">
        <v>1</v>
      </c>
      <c r="T152" s="18"/>
      <c r="U152" s="18"/>
      <c r="V152" s="18"/>
      <c r="W152" s="18"/>
      <c r="X152" s="18"/>
      <c r="Y152" s="18"/>
      <c r="Z152" s="18"/>
      <c r="AA152" s="133">
        <v>6</v>
      </c>
      <c r="AB152" s="134">
        <v>0</v>
      </c>
    </row>
    <row r="153" spans="1:28" x14ac:dyDescent="0.25">
      <c r="A153" s="132" t="s">
        <v>183</v>
      </c>
      <c r="B153" s="133" t="s">
        <v>293</v>
      </c>
      <c r="C153" s="133">
        <v>7</v>
      </c>
      <c r="D153" s="18">
        <v>2</v>
      </c>
      <c r="E153" s="18"/>
      <c r="F153" s="18"/>
      <c r="G153" s="18">
        <v>1</v>
      </c>
      <c r="H153" s="18">
        <v>2</v>
      </c>
      <c r="I153" s="18"/>
      <c r="J153" s="18"/>
      <c r="K153" s="18"/>
      <c r="L153" s="18"/>
      <c r="M153" s="18"/>
      <c r="N153" s="18"/>
      <c r="O153" s="18"/>
      <c r="P153" s="18">
        <v>1</v>
      </c>
      <c r="Q153" s="18"/>
      <c r="R153" s="18"/>
      <c r="S153" s="18">
        <v>1</v>
      </c>
      <c r="T153" s="18"/>
      <c r="U153" s="18"/>
      <c r="V153" s="18"/>
      <c r="W153" s="18"/>
      <c r="X153" s="18"/>
      <c r="Y153" s="18"/>
      <c r="Z153" s="18"/>
      <c r="AA153" s="133">
        <v>7</v>
      </c>
      <c r="AB153" s="134">
        <v>0</v>
      </c>
    </row>
    <row r="154" spans="1:28" x14ac:dyDescent="0.25">
      <c r="A154" s="132" t="s">
        <v>122</v>
      </c>
      <c r="B154" s="133" t="s">
        <v>292</v>
      </c>
      <c r="C154" s="133">
        <v>5</v>
      </c>
      <c r="D154" s="18"/>
      <c r="E154" s="18"/>
      <c r="F154" s="18"/>
      <c r="G154" s="18">
        <v>1</v>
      </c>
      <c r="H154" s="18">
        <v>2</v>
      </c>
      <c r="I154" s="18"/>
      <c r="J154" s="18">
        <v>1</v>
      </c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>
        <v>1</v>
      </c>
      <c r="V154" s="18"/>
      <c r="W154" s="18"/>
      <c r="X154" s="18"/>
      <c r="Y154" s="18"/>
      <c r="Z154" s="18"/>
      <c r="AA154" s="133">
        <v>5</v>
      </c>
      <c r="AB154" s="134">
        <v>0</v>
      </c>
    </row>
    <row r="155" spans="1:28" x14ac:dyDescent="0.25">
      <c r="A155" s="132" t="s">
        <v>61</v>
      </c>
      <c r="B155" s="133" t="s">
        <v>171</v>
      </c>
      <c r="C155" s="133">
        <v>7</v>
      </c>
      <c r="D155" s="18"/>
      <c r="E155" s="18"/>
      <c r="F155" s="18">
        <v>1</v>
      </c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>
        <v>1</v>
      </c>
      <c r="S155" s="18"/>
      <c r="T155" s="18"/>
      <c r="U155" s="18"/>
      <c r="V155" s="18">
        <v>3</v>
      </c>
      <c r="W155" s="18">
        <v>2</v>
      </c>
      <c r="X155" s="18"/>
      <c r="Y155" s="18"/>
      <c r="Z155" s="18"/>
      <c r="AA155" s="133">
        <v>7</v>
      </c>
      <c r="AB155" s="134">
        <v>0</v>
      </c>
    </row>
    <row r="156" spans="1:28" x14ac:dyDescent="0.25">
      <c r="A156" s="132" t="s">
        <v>61</v>
      </c>
      <c r="B156" s="133" t="s">
        <v>170</v>
      </c>
      <c r="C156" s="133">
        <v>6</v>
      </c>
      <c r="D156" s="18"/>
      <c r="E156" s="18"/>
      <c r="F156" s="18">
        <v>2</v>
      </c>
      <c r="G156" s="18"/>
      <c r="H156" s="18"/>
      <c r="I156" s="18">
        <v>1</v>
      </c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>
        <v>2</v>
      </c>
      <c r="W156" s="18"/>
      <c r="X156" s="18"/>
      <c r="Y156" s="18">
        <v>1</v>
      </c>
      <c r="Z156" s="18"/>
      <c r="AA156" s="133">
        <v>6</v>
      </c>
      <c r="AB156" s="134">
        <v>0</v>
      </c>
    </row>
    <row r="157" spans="1:28" x14ac:dyDescent="0.25">
      <c r="A157" s="132" t="s">
        <v>248</v>
      </c>
      <c r="B157" s="133" t="s">
        <v>250</v>
      </c>
      <c r="C157" s="133">
        <v>0</v>
      </c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33">
        <v>0</v>
      </c>
      <c r="AB157" s="134">
        <v>0</v>
      </c>
    </row>
    <row r="158" spans="1:28" x14ac:dyDescent="0.25">
      <c r="A158" s="132" t="s">
        <v>249</v>
      </c>
      <c r="B158" s="133" t="s">
        <v>251</v>
      </c>
      <c r="C158" s="133">
        <v>0</v>
      </c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33">
        <v>0</v>
      </c>
      <c r="AB158" s="134">
        <v>0</v>
      </c>
    </row>
    <row r="159" spans="1:28" x14ac:dyDescent="0.25">
      <c r="A159" s="132" t="s">
        <v>123</v>
      </c>
      <c r="B159" s="133" t="s">
        <v>168</v>
      </c>
      <c r="C159" s="133">
        <v>3</v>
      </c>
      <c r="D159" s="18"/>
      <c r="E159" s="18"/>
      <c r="F159" s="18"/>
      <c r="G159" s="18">
        <v>1</v>
      </c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2</v>
      </c>
      <c r="T159" s="18"/>
      <c r="U159" s="18"/>
      <c r="V159" s="18"/>
      <c r="W159" s="18"/>
      <c r="X159" s="18"/>
      <c r="Y159" s="18"/>
      <c r="Z159" s="18"/>
      <c r="AA159" s="133">
        <v>3</v>
      </c>
      <c r="AB159" s="134">
        <v>0</v>
      </c>
    </row>
    <row r="160" spans="1:28" x14ac:dyDescent="0.25">
      <c r="A160" s="132" t="s">
        <v>124</v>
      </c>
      <c r="B160" s="133" t="s">
        <v>169</v>
      </c>
      <c r="C160" s="133">
        <v>1</v>
      </c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>
        <v>1</v>
      </c>
      <c r="V160" s="18"/>
      <c r="W160" s="18"/>
      <c r="X160" s="18"/>
      <c r="Y160" s="18"/>
      <c r="Z160" s="18"/>
      <c r="AA160" s="133">
        <v>1</v>
      </c>
      <c r="AB160" s="134">
        <v>0</v>
      </c>
    </row>
    <row r="161" spans="1:28" x14ac:dyDescent="0.25">
      <c r="A161" s="132" t="s">
        <v>238</v>
      </c>
      <c r="B161" s="133" t="s">
        <v>239</v>
      </c>
      <c r="C161" s="133">
        <v>9</v>
      </c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>
        <v>2</v>
      </c>
      <c r="Q161" s="18"/>
      <c r="R161" s="18">
        <v>7</v>
      </c>
      <c r="S161" s="18"/>
      <c r="T161" s="18"/>
      <c r="U161" s="18"/>
      <c r="V161" s="18"/>
      <c r="W161" s="18"/>
      <c r="X161" s="18"/>
      <c r="Y161" s="18"/>
      <c r="Z161" s="18"/>
      <c r="AA161" s="133">
        <v>9</v>
      </c>
      <c r="AB161" s="134">
        <v>0</v>
      </c>
    </row>
    <row r="162" spans="1:28" x14ac:dyDescent="0.25">
      <c r="A162" s="132" t="s">
        <v>62</v>
      </c>
      <c r="B162" s="133" t="s">
        <v>69</v>
      </c>
      <c r="C162" s="133">
        <v>2</v>
      </c>
      <c r="D162" s="18"/>
      <c r="E162" s="18"/>
      <c r="F162" s="18"/>
      <c r="G162" s="18"/>
      <c r="H162" s="18"/>
      <c r="I162" s="18">
        <v>2</v>
      </c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33">
        <v>2</v>
      </c>
      <c r="AB162" s="134">
        <v>0</v>
      </c>
    </row>
    <row r="163" spans="1:28" x14ac:dyDescent="0.25">
      <c r="A163" s="132" t="s">
        <v>84</v>
      </c>
      <c r="B163" s="133" t="s">
        <v>182</v>
      </c>
      <c r="C163" s="133">
        <v>6</v>
      </c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>
        <v>5</v>
      </c>
      <c r="Q163" s="18"/>
      <c r="R163" s="18"/>
      <c r="S163" s="18"/>
      <c r="T163" s="18"/>
      <c r="U163" s="18">
        <v>1</v>
      </c>
      <c r="V163" s="18"/>
      <c r="W163" s="18"/>
      <c r="X163" s="18"/>
      <c r="Y163" s="18"/>
      <c r="Z163" s="18"/>
      <c r="AA163" s="133">
        <v>6</v>
      </c>
      <c r="AB163" s="134">
        <v>0</v>
      </c>
    </row>
    <row r="164" spans="1:28" x14ac:dyDescent="0.25">
      <c r="A164" s="132"/>
      <c r="B164" s="133"/>
      <c r="C164" s="133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33"/>
      <c r="AB164" s="134"/>
    </row>
    <row r="165" spans="1:28" x14ac:dyDescent="0.25">
      <c r="A165" s="132"/>
      <c r="B165" s="140" t="s">
        <v>311</v>
      </c>
      <c r="C165" s="133">
        <v>238</v>
      </c>
      <c r="D165" s="18">
        <v>17</v>
      </c>
      <c r="E165" s="18">
        <v>0</v>
      </c>
      <c r="F165" s="18">
        <v>8</v>
      </c>
      <c r="G165" s="18">
        <v>10</v>
      </c>
      <c r="H165" s="18">
        <v>11</v>
      </c>
      <c r="I165" s="18">
        <v>15</v>
      </c>
      <c r="J165" s="18">
        <v>20</v>
      </c>
      <c r="K165" s="18">
        <v>0</v>
      </c>
      <c r="L165" s="18">
        <v>0</v>
      </c>
      <c r="M165" s="18">
        <v>15</v>
      </c>
      <c r="N165" s="18">
        <v>2</v>
      </c>
      <c r="O165" s="18">
        <v>0</v>
      </c>
      <c r="P165" s="18">
        <v>13</v>
      </c>
      <c r="Q165" s="18">
        <v>7</v>
      </c>
      <c r="R165" s="18">
        <v>18</v>
      </c>
      <c r="S165" s="18">
        <v>6</v>
      </c>
      <c r="T165" s="18">
        <v>14</v>
      </c>
      <c r="U165" s="18">
        <v>16</v>
      </c>
      <c r="V165" s="18">
        <v>28</v>
      </c>
      <c r="W165" s="18">
        <v>6</v>
      </c>
      <c r="X165" s="18">
        <v>16</v>
      </c>
      <c r="Y165" s="18">
        <v>10</v>
      </c>
      <c r="Z165" s="18">
        <v>6</v>
      </c>
      <c r="AA165" s="133">
        <v>238</v>
      </c>
      <c r="AB165" s="134">
        <v>0</v>
      </c>
    </row>
    <row r="166" spans="1:28" x14ac:dyDescent="0.25">
      <c r="A166" s="132"/>
      <c r="B166" s="133"/>
      <c r="C166" s="133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33"/>
      <c r="AB166" s="134"/>
    </row>
    <row r="167" spans="1:28" ht="13.8" thickBot="1" x14ac:dyDescent="0.3">
      <c r="A167" s="141"/>
      <c r="B167" s="142" t="s">
        <v>312</v>
      </c>
      <c r="C167" s="143">
        <v>348</v>
      </c>
      <c r="D167" s="144">
        <v>17</v>
      </c>
      <c r="E167" s="144">
        <v>0</v>
      </c>
      <c r="F167" s="144">
        <v>16</v>
      </c>
      <c r="G167" s="144">
        <v>10</v>
      </c>
      <c r="H167" s="144">
        <v>17</v>
      </c>
      <c r="I167" s="144">
        <v>25</v>
      </c>
      <c r="J167" s="144">
        <v>20</v>
      </c>
      <c r="K167" s="144">
        <v>22</v>
      </c>
      <c r="L167" s="144">
        <v>16</v>
      </c>
      <c r="M167" s="144">
        <v>17</v>
      </c>
      <c r="N167" s="144">
        <v>4</v>
      </c>
      <c r="O167" s="144">
        <v>10</v>
      </c>
      <c r="P167" s="144">
        <v>13</v>
      </c>
      <c r="Q167" s="144">
        <v>16</v>
      </c>
      <c r="R167" s="144">
        <v>18</v>
      </c>
      <c r="S167" s="144">
        <v>7</v>
      </c>
      <c r="T167" s="144">
        <v>30</v>
      </c>
      <c r="U167" s="144">
        <v>18</v>
      </c>
      <c r="V167" s="144">
        <v>29</v>
      </c>
      <c r="W167" s="144">
        <v>10</v>
      </c>
      <c r="X167" s="144">
        <v>16</v>
      </c>
      <c r="Y167" s="144">
        <v>10</v>
      </c>
      <c r="Z167" s="144">
        <v>7</v>
      </c>
      <c r="AA167" s="143">
        <v>348</v>
      </c>
      <c r="AB167" s="145">
        <v>0</v>
      </c>
    </row>
    <row r="168" spans="1:28" x14ac:dyDescent="0.25">
      <c r="A168" s="127"/>
      <c r="B168" s="146"/>
      <c r="C168" s="146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6"/>
      <c r="AB168" s="148"/>
    </row>
    <row r="169" spans="1:28" x14ac:dyDescent="0.25">
      <c r="A169" s="132"/>
      <c r="B169" s="140" t="s">
        <v>313</v>
      </c>
      <c r="C169" s="133">
        <v>714</v>
      </c>
      <c r="D169" s="18">
        <v>35</v>
      </c>
      <c r="E169" s="18">
        <v>0</v>
      </c>
      <c r="F169" s="18">
        <v>34</v>
      </c>
      <c r="G169" s="18">
        <v>17</v>
      </c>
      <c r="H169" s="18">
        <v>30</v>
      </c>
      <c r="I169" s="18">
        <v>46</v>
      </c>
      <c r="J169" s="18">
        <v>35</v>
      </c>
      <c r="K169" s="18">
        <v>42</v>
      </c>
      <c r="L169" s="18">
        <v>32</v>
      </c>
      <c r="M169" s="18">
        <v>37</v>
      </c>
      <c r="N169" s="18">
        <v>17</v>
      </c>
      <c r="O169" s="18">
        <v>26</v>
      </c>
      <c r="P169" s="18">
        <v>32</v>
      </c>
      <c r="Q169" s="18">
        <v>35</v>
      </c>
      <c r="R169" s="18">
        <v>36</v>
      </c>
      <c r="S169" s="18">
        <v>16</v>
      </c>
      <c r="T169" s="18">
        <v>50</v>
      </c>
      <c r="U169" s="18">
        <v>36</v>
      </c>
      <c r="V169" s="18">
        <v>52</v>
      </c>
      <c r="W169" s="18">
        <v>17</v>
      </c>
      <c r="X169" s="18">
        <v>36</v>
      </c>
      <c r="Y169" s="18">
        <v>38</v>
      </c>
      <c r="Z169" s="18">
        <v>15</v>
      </c>
      <c r="AA169" s="133">
        <v>714</v>
      </c>
      <c r="AB169" s="134">
        <v>0</v>
      </c>
    </row>
    <row r="170" spans="1:28" x14ac:dyDescent="0.25">
      <c r="A170" s="132"/>
      <c r="B170" s="140" t="s">
        <v>314</v>
      </c>
      <c r="C170" s="133"/>
      <c r="D170" s="18">
        <v>2</v>
      </c>
      <c r="E170" s="18">
        <v>0</v>
      </c>
      <c r="F170" s="18">
        <v>2</v>
      </c>
      <c r="G170" s="18">
        <v>1</v>
      </c>
      <c r="H170" s="18">
        <v>2</v>
      </c>
      <c r="I170" s="18">
        <v>3</v>
      </c>
      <c r="J170" s="18">
        <v>2</v>
      </c>
      <c r="K170" s="18">
        <v>2</v>
      </c>
      <c r="L170" s="18">
        <v>2</v>
      </c>
      <c r="M170" s="18">
        <v>2</v>
      </c>
      <c r="N170" s="18">
        <v>1</v>
      </c>
      <c r="O170" s="18">
        <v>1</v>
      </c>
      <c r="P170" s="18">
        <v>2</v>
      </c>
      <c r="Q170" s="18">
        <v>2</v>
      </c>
      <c r="R170" s="18">
        <v>2</v>
      </c>
      <c r="S170" s="18">
        <v>1</v>
      </c>
      <c r="T170" s="18">
        <v>3</v>
      </c>
      <c r="U170" s="18">
        <v>2</v>
      </c>
      <c r="V170" s="18">
        <v>3</v>
      </c>
      <c r="W170" s="18">
        <v>1</v>
      </c>
      <c r="X170" s="18">
        <v>2</v>
      </c>
      <c r="Y170" s="18">
        <v>2</v>
      </c>
      <c r="Z170" s="18">
        <v>1</v>
      </c>
      <c r="AA170" s="133"/>
      <c r="AB170" s="134"/>
    </row>
    <row r="171" spans="1:28" x14ac:dyDescent="0.25">
      <c r="A171" s="132"/>
      <c r="B171" s="140" t="s">
        <v>315</v>
      </c>
      <c r="C171" s="133"/>
      <c r="D171" s="150">
        <v>0.17073170731707421</v>
      </c>
      <c r="E171" s="150">
        <v>0</v>
      </c>
      <c r="F171" s="149">
        <v>-0.82926829268292579</v>
      </c>
      <c r="G171" s="149">
        <v>-0.41463414634146289</v>
      </c>
      <c r="H171" s="149">
        <v>-4.8292682926829258</v>
      </c>
      <c r="I171" s="149">
        <v>-6.2439024390243887</v>
      </c>
      <c r="J171" s="150">
        <v>0.17073170731707421</v>
      </c>
      <c r="K171" s="150">
        <v>7.1707317073170742</v>
      </c>
      <c r="L171" s="149">
        <v>-2.8292682926829258</v>
      </c>
      <c r="M171" s="150">
        <v>2.1707317073170742</v>
      </c>
      <c r="N171" s="149">
        <v>-0.41463414634146289</v>
      </c>
      <c r="O171" s="150">
        <v>8.5853658536585371</v>
      </c>
      <c r="P171" s="149">
        <v>-2.8292682926829258</v>
      </c>
      <c r="Q171" s="150">
        <v>0.17073170731707421</v>
      </c>
      <c r="R171" s="150">
        <v>1.1707317073170742</v>
      </c>
      <c r="S171" s="149">
        <v>-1.4146341463414629</v>
      </c>
      <c r="T171" s="149">
        <v>-2.2439024390243887</v>
      </c>
      <c r="U171" s="150">
        <v>1.1707317073170742</v>
      </c>
      <c r="V171" s="149">
        <v>-0.24390243902438868</v>
      </c>
      <c r="W171" s="149">
        <v>-0.41463414634146289</v>
      </c>
      <c r="X171" s="150">
        <v>1.1707317073170742</v>
      </c>
      <c r="Y171" s="150">
        <v>3.1707317073170742</v>
      </c>
      <c r="Z171" s="149">
        <v>-2.4146341463414629</v>
      </c>
      <c r="AA171" s="133"/>
      <c r="AB171" s="134"/>
    </row>
    <row r="172" spans="1:28" x14ac:dyDescent="0.25">
      <c r="A172" s="132"/>
      <c r="B172" s="133"/>
      <c r="C172" s="133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33"/>
      <c r="AB172" s="134"/>
    </row>
    <row r="173" spans="1:28" x14ac:dyDescent="0.25">
      <c r="A173" s="132"/>
      <c r="B173" s="133"/>
      <c r="C173" s="133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33"/>
      <c r="AB173" s="134"/>
    </row>
    <row r="174" spans="1:28" x14ac:dyDescent="0.25">
      <c r="A174" s="132"/>
      <c r="B174" s="140" t="s">
        <v>316</v>
      </c>
      <c r="C174" s="133">
        <v>714</v>
      </c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33"/>
      <c r="AB174" s="134"/>
    </row>
    <row r="175" spans="1:28" x14ac:dyDescent="0.25">
      <c r="A175" s="132"/>
      <c r="B175" s="140" t="s">
        <v>317</v>
      </c>
      <c r="C175" s="133">
        <v>41</v>
      </c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33"/>
      <c r="AB175" s="134"/>
    </row>
    <row r="176" spans="1:28" ht="13.8" thickBot="1" x14ac:dyDescent="0.3">
      <c r="A176" s="135"/>
      <c r="B176" s="151" t="s">
        <v>129</v>
      </c>
      <c r="C176" s="137">
        <v>17.414634146341463</v>
      </c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137"/>
      <c r="AB176" s="138"/>
    </row>
  </sheetData>
  <phoneticPr fontId="12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2827020</xdr:colOff>
                <xdr:row>1</xdr:row>
                <xdr:rowOff>7620</xdr:rowOff>
              </from>
              <to>
                <xdr:col>3</xdr:col>
                <xdr:colOff>228600</xdr:colOff>
                <xdr:row>2</xdr:row>
                <xdr:rowOff>114300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45720</xdr:colOff>
                <xdr:row>1</xdr:row>
                <xdr:rowOff>7620</xdr:rowOff>
              </from>
              <to>
                <xdr:col>7</xdr:col>
                <xdr:colOff>220980</xdr:colOff>
                <xdr:row>2</xdr:row>
                <xdr:rowOff>137160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289560</xdr:colOff>
                <xdr:row>1</xdr:row>
                <xdr:rowOff>22860</xdr:rowOff>
              </from>
              <to>
                <xdr:col>11</xdr:col>
                <xdr:colOff>251460</xdr:colOff>
                <xdr:row>2</xdr:row>
                <xdr:rowOff>121920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30480</xdr:colOff>
                <xdr:row>0</xdr:row>
                <xdr:rowOff>152400</xdr:rowOff>
              </from>
              <to>
                <xdr:col>15</xdr:col>
                <xdr:colOff>190500</xdr:colOff>
                <xdr:row>2</xdr:row>
                <xdr:rowOff>129540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274320</xdr:colOff>
                <xdr:row>0</xdr:row>
                <xdr:rowOff>152400</xdr:rowOff>
              </from>
              <to>
                <xdr:col>18</xdr:col>
                <xdr:colOff>144780</xdr:colOff>
                <xdr:row>2</xdr:row>
                <xdr:rowOff>121920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2025-10-14T12:57:56Z</cp:lastPrinted>
  <dcterms:created xsi:type="dcterms:W3CDTF">2005-10-16T17:50:13Z</dcterms:created>
  <dcterms:modified xsi:type="dcterms:W3CDTF">2026-02-22T16:21:09Z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