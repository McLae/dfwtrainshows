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5A52A20B-0FD0-43C5-920F-7424918A0D3F}" xr6:coauthVersionLast="47" xr6:coauthVersionMax="47" xr10:uidLastSave="{00000000-0000-0000-0000-000000000000}"/>
  <bookViews>
    <workbookView xWindow="14430" yWindow="-180" windowWidth="14400" windowHeight="15600" tabRatio="846" firstSheet="3" activeTab="6" xr2:uid="{78FDD764-69A0-4D1F-9A2E-6D5DFF482086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  <sheet name="Sheet2" sheetId="45" r:id="rId17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Friday">'FALL Friday'!$A$5</definedName>
    <definedName name="FALLSaturday">'FALL Saturday'!$A$5</definedName>
    <definedName name="FALLSaturdayRows">Scrap!$C$5</definedName>
    <definedName name="FALLSunday">'FALL Sunday'!$A$5</definedName>
    <definedName name="GrandTotalHours">S.O.A.!$C$180</definedName>
    <definedName name="HoursPerShare">Participants!$C$38</definedName>
    <definedName name="HTSDayWorkHours">S.O.A.!$C$49:$C$85</definedName>
    <definedName name="HTSFridayCols">Scrap!$D$4</definedName>
    <definedName name="HTSFridayRows">Scrap!$C$4</definedName>
    <definedName name="HTSPreShow">S.O.A.!$A$5:$D$41</definedName>
    <definedName name="HTSPreshowTaskClubs">S.O.A.!$D$5:$D$41</definedName>
    <definedName name="HTSPreshowTaskHours">S.O.A.!$C$5:$C$41</definedName>
    <definedName name="HTSSaturdayCols">Scrap!$D$5</definedName>
    <definedName name="HTSSaturdayRows">Scrap!$C$5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Sunday'!$A$1:$K$30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</definedNames>
  <calcPr calcId="191029" calcMode="manual"/>
</workbook>
</file>

<file path=xl/calcChain.xml><?xml version="1.0" encoding="utf-8"?>
<calcChain xmlns="http://schemas.openxmlformats.org/spreadsheetml/2006/main">
  <c r="E36" i="2" l="1"/>
  <c r="C34" i="2"/>
  <c r="D176" i="1"/>
  <c r="C176" i="1"/>
  <c r="C133" i="1"/>
  <c r="C86" i="1"/>
  <c r="C42" i="1"/>
  <c r="C88" i="1" s="1"/>
  <c r="E8" i="37"/>
  <c r="C8" i="37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B8" i="37"/>
  <c r="D8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E3" i="28" s="1"/>
  <c r="B2" i="1"/>
  <c r="B3" i="1"/>
  <c r="B47" i="1"/>
  <c r="B48" i="1"/>
  <c r="D86" i="1"/>
  <c r="B97" i="1"/>
  <c r="B98" i="1"/>
  <c r="C98" i="1"/>
  <c r="D98" i="1"/>
  <c r="B138" i="1"/>
  <c r="B139" i="1"/>
  <c r="B5" i="2"/>
  <c r="D7" i="38"/>
  <c r="C8" i="38"/>
  <c r="D8" i="38"/>
  <c r="D9" i="38"/>
  <c r="C178" i="1" l="1"/>
  <c r="C180" i="1" s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  <c r="C36" i="2"/>
</calcChain>
</file>

<file path=xl/sharedStrings.xml><?xml version="1.0" encoding="utf-8"?>
<sst xmlns="http://schemas.openxmlformats.org/spreadsheetml/2006/main" count="1909" uniqueCount="370">
  <si>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</si>
  <si>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</si>
  <si>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</si>
  <si>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</si>
  <si>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</si>
  <si>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</si>
  <si>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</si>
  <si>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</si>
  <si>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</si>
  <si>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</si>
  <si>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</si>
  <si>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</si>
  <si>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</si>
  <si>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</si>
  <si>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</si>
  <si>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Flyer Mailouts (7) - Local mailing list</t>
  </si>
  <si>
    <t>F3</t>
  </si>
  <si>
    <t>Email flyer distribution</t>
  </si>
  <si>
    <t>DA</t>
  </si>
  <si>
    <t>G</t>
  </si>
  <si>
    <t>TREX</t>
  </si>
  <si>
    <t>H</t>
  </si>
  <si>
    <t>Make Up/Print/Mail Contracts (3)</t>
  </si>
  <si>
    <t>NTNT</t>
  </si>
  <si>
    <t>I</t>
  </si>
  <si>
    <t>Compile and maintain Dealer Lists (4)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</si>
  <si>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</si>
  <si>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</si>
  <si>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</si>
  <si>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</si>
  <si>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</si>
  <si>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</si>
  <si>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</si>
  <si>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</si>
  <si>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Dealer Layout/Space Assignment (Friday) (5)</t>
  </si>
  <si>
    <t>N</t>
  </si>
  <si>
    <t>Ass't Space Assign/Floor Walker (Friday) (5)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</si>
  <si>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</si>
  <si>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</si>
  <si>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</si>
  <si>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</si>
  <si>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</si>
  <si>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</si>
  <si>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</si>
  <si>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</si>
  <si>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</si>
  <si>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</si>
  <si>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</si>
  <si>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</si>
  <si>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</si>
  <si>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</si>
  <si>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</si>
  <si>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</si>
  <si>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</si>
  <si>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</si>
  <si>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</si>
  <si>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Z1</t>
  </si>
  <si>
    <t>Z2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</si>
  <si>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</si>
  <si>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</si>
  <si>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</si>
  <si>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</si>
  <si>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</si>
  <si>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</si>
  <si>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</si>
  <si>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</si>
  <si>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</si>
  <si>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</si>
  <si>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</si>
  <si>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</si>
  <si>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</si>
  <si>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</si>
  <si>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</si>
  <si>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</si>
  <si>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</si>
  <si>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</si>
  <si>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</si>
  <si>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</si>
  <si>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</si>
  <si>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QQ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</si>
  <si>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</si>
  <si>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</si>
  <si>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</si>
  <si>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</si>
  <si>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</si>
  <si>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</si>
  <si>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</si>
  <si>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</si>
  <si>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</si>
  <si>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</si>
  <si>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</si>
  <si>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</si>
  <si>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</si>
  <si>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</si>
  <si>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</si>
  <si>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</si>
  <si>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</si>
  <si>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</si>
  <si>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</si>
  <si>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</si>
  <si>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</si>
  <si>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</si>
  <si>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</si>
  <si>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</si>
  <si>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</si>
  <si>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Overnight Security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</si>
  <si>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</si>
  <si>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</si>
  <si>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</si>
  <si>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</si>
  <si>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</si>
  <si>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</si>
  <si>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</si>
  <si>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</si>
  <si>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</si>
  <si>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</si>
  <si>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</si>
  <si>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</si>
  <si>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</si>
  <si>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</si>
  <si>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</si>
  <si>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</si>
  <si>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</si>
  <si>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</si>
  <si>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</si>
  <si>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</si>
  <si>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</si>
  <si>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</si>
  <si>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</si>
  <si>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</si>
  <si>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</si>
  <si>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</si>
  <si>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</si>
  <si>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</si>
  <si>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</si>
  <si>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</si>
  <si>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</si>
  <si>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</si>
  <si>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</si>
  <si>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</si>
  <si>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</si>
  <si>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</si>
  <si>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 xml:space="preserve">Dealer Layout/Space Assignment </t>
  </si>
  <si>
    <t xml:space="preserve">Ass't Space Assign/Floor Walker 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</si>
  <si>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</si>
  <si>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</si>
  <si>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</si>
  <si>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</si>
  <si>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</si>
  <si>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</si>
  <si>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</si>
  <si>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</si>
  <si>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</si>
  <si>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</si>
  <si>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</si>
  <si>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</si>
  <si>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</si>
  <si>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</si>
  <si>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Pre-HTS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</si>
  <si>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</si>
  <si>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</si>
  <si>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</si>
  <si>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</si>
  <si>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</si>
  <si>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</si>
  <si>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</si>
  <si>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</si>
  <si>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</si>
  <si>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</si>
  <si>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</si>
  <si>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</si>
  <si>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</si>
  <si>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</si>
  <si>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</si>
  <si>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</si>
  <si>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</si>
  <si>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</si>
  <si>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</si>
  <si>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</si>
  <si>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</si>
  <si>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</si>
  <si>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</si>
  <si>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</si>
  <si>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Overnight Security Saturday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</si>
  <si>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</si>
  <si>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</si>
  <si>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</si>
  <si>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</si>
  <si>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</si>
  <si>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</si>
  <si>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</si>
  <si>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</si>
  <si>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</si>
  <si>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</si>
  <si>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</si>
  <si>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</si>
  <si>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</si>
  <si>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</si>
  <si>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</si>
  <si>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</si>
  <si>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</si>
  <si>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</si>
  <si>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</si>
  <si>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</si>
  <si>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Publicist</t>
  </si>
  <si>
    <t>Plano Pre-Show Hours</t>
  </si>
  <si>
    <t>Plano Day Work Hours</t>
  </si>
  <si>
    <t>Diff</t>
  </si>
  <si>
    <t>Subtotals Plano Pre-Show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</si>
  <si>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</si>
  <si>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</si>
  <si>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</si>
  <si>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</si>
  <si>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</si>
  <si>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</si>
  <si>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</si>
  <si>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</si>
  <si>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</si>
  <si>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</si>
  <si>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</si>
  <si>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</si>
  <si>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</si>
  <si>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</si>
  <si>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HTS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</si>
  <si>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</si>
  <si>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</si>
  <si>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</si>
  <si>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</si>
  <si>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</si>
  <si>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</si>
  <si>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</si>
  <si>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</si>
  <si>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</si>
  <si>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</si>
  <si>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</si>
  <si>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</si>
  <si>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</si>
  <si>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</si>
  <si>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</si>
  <si>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</si>
  <si>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</si>
  <si>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</si>
  <si>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</si>
  <si>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Tour Brochure Creation/Duplication (9)</t>
  </si>
  <si>
    <t>F4</t>
  </si>
  <si>
    <t>Survey Data</t>
  </si>
  <si>
    <t>1P if possible, Plano only (4 HOURS IN FT. WORTH) Do not double hours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</si>
  <si>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</si>
  <si>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</si>
  <si>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</si>
  <si>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</si>
  <si>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</si>
  <si>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</si>
  <si>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</si>
  <si>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</si>
  <si>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</si>
  <si>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</si>
  <si>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</si>
  <si>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</si>
  <si>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</si>
  <si>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</si>
  <si>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</si>
  <si>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</si>
  <si>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</si>
  <si>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</si>
  <si>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</si>
  <si>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</si>
  <si>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</si>
  <si>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</si>
  <si>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</si>
  <si>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</si>
  <si>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</si>
  <si>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</si>
  <si>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</si>
  <si>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</si>
  <si>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</si>
  <si>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</si>
  <si>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</si>
  <si>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</si>
  <si>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</si>
  <si>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</si>
  <si>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</si>
  <si>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</si>
  <si>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</si>
  <si>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</si>
  <si>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</si>
  <si>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</si>
  <si>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</si>
  <si>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</si>
  <si>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</si>
  <si>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</si>
  <si>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</si>
  <si>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</si>
  <si>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</si>
  <si>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</si>
  <si>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</si>
  <si>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</si>
  <si>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</si>
  <si>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</si>
  <si>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</si>
  <si>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</si>
  <si>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</si>
  <si>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</si>
  <si>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</si>
  <si>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</si>
  <si>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</si>
  <si>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</si>
  <si>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</si>
  <si>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</si>
  <si>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</si>
  <si>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</si>
  <si>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</si>
  <si>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</si>
  <si>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</si>
  <si>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</si>
  <si>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</si>
  <si>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</si>
  <si>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</si>
  <si>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</si>
  <si>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2024 Show Season V1 7/22/2024</t>
  </si>
  <si>
    <t xml:space="preserve"> </t>
  </si>
  <si>
    <t>FALL pre-show</t>
  </si>
  <si>
    <t>FALL day work</t>
  </si>
  <si>
    <t>Fort Worth Pre-Show Hours</t>
  </si>
  <si>
    <t>Subtotals Fort Worth Pre-Show</t>
  </si>
  <si>
    <t>Fort Worth Day Work Hours</t>
  </si>
  <si>
    <t>Subtotals Fort Worth Day Work</t>
  </si>
  <si>
    <t>Totals Fort Worth</t>
  </si>
  <si>
    <t>Task</t>
  </si>
  <si>
    <t>DOOR Control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</si>
  <si>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</si>
  <si>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</si>
  <si>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</si>
  <si>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</si>
  <si>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</si>
  <si>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</si>
  <si>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</si>
  <si>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</si>
  <si>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</si>
  <si>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</si>
  <si>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PSA Mailings (6)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</si>
  <si>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</si>
  <si>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</si>
  <si>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</si>
  <si>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</si>
  <si>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</si>
  <si>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</si>
  <si>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</si>
  <si>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</si>
  <si>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</si>
  <si>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</si>
  <si>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</si>
  <si>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</si>
  <si>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</si>
  <si>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</si>
  <si>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</si>
  <si>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</si>
  <si>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</si>
  <si>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</si>
  <si>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</si>
  <si>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</si>
  <si>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</si>
  <si>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DOOR PRIZES (SHOW DAY) Sat</t>
  </si>
  <si>
    <t>VENDER CHECKIN Friday</t>
  </si>
  <si>
    <t>VENDER CHECKIN Sat</t>
  </si>
  <si>
    <t>x1</t>
  </si>
  <si>
    <t>?</t>
  </si>
  <si>
    <t>DOOR PRIZES Sat</t>
  </si>
  <si>
    <t>Version 9   May 2024</t>
  </si>
  <si>
    <t>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</si>
</sst>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mm\ d\,\ yyyy"/>
    <numFmt numFmtId="166" formatCode="##0"/>
    <numFmt numFmtId="167" formatCode="0.000"/>
    <numFmt numFmtId="168" formatCode="[$-409]d\-mmm\-yy;@"/>
  </numFmts>
  <fonts count="33" x14ac:knownFonts="1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97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5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5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5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/>
    <xf numFmtId="49" fontId="4" fillId="0" borderId="0" xfId="0" applyNumberFormat="1" applyFont="1"/>
    <xf numFmtId="0" fontId="0" fillId="0" borderId="0" xfId="0" applyAlignment="1">
      <alignment horizontal="right"/>
    </xf>
    <xf numFmtId="0" fontId="2" fillId="5" borderId="9" xfId="0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6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0" xfId="0" applyNumberFormat="1" applyAlignment="1">
      <alignment horizontal="right"/>
    </xf>
    <xf numFmtId="167" fontId="0" fillId="0" borderId="1" xfId="0" applyNumberFormat="1" applyBorder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7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7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7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167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3" fillId="0" borderId="37" xfId="0" applyFont="1" applyBorder="1" applyAlignment="1">
      <alignment horizontal="center"/>
    </xf>
    <xf numFmtId="0" fontId="5" fillId="0" borderId="38" xfId="0" applyFont="1" applyBorder="1"/>
    <xf numFmtId="0" fontId="3" fillId="0" borderId="38" xfId="0" applyFont="1" applyBorder="1" applyAlignment="1">
      <alignment textRotation="255"/>
    </xf>
    <xf numFmtId="0" fontId="0" fillId="0" borderId="38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3" fillId="0" borderId="11" xfId="0" applyFont="1" applyBorder="1" applyAlignment="1">
      <alignment horizontal="right"/>
    </xf>
    <xf numFmtId="0" fontId="3" fillId="0" borderId="38" xfId="0" applyFont="1" applyBorder="1"/>
    <xf numFmtId="0" fontId="0" fillId="0" borderId="38" xfId="0" applyBorder="1"/>
    <xf numFmtId="164" fontId="3" fillId="0" borderId="26" xfId="0" applyNumberFormat="1" applyFont="1" applyBorder="1" applyAlignment="1">
      <alignment horizontal="right"/>
    </xf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6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7" fontId="26" fillId="0" borderId="3" xfId="0" applyNumberFormat="1" applyFont="1" applyBorder="1" applyAlignment="1">
      <alignment horizontal="right"/>
    </xf>
    <xf numFmtId="167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3" fillId="0" borderId="40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164" fontId="4" fillId="0" borderId="11" xfId="0" applyNumberFormat="1" applyFont="1" applyBorder="1"/>
    <xf numFmtId="164" fontId="27" fillId="0" borderId="11" xfId="0" applyNumberFormat="1" applyFont="1" applyBorder="1"/>
    <xf numFmtId="168" fontId="2" fillId="0" borderId="0" xfId="0" applyNumberFormat="1" applyFont="1"/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9" fillId="5" borderId="0" xfId="0" applyNumberFormat="1" applyFont="1" applyFill="1" applyAlignment="1">
      <alignment horizontal="center" vertical="center"/>
    </xf>
    <xf numFmtId="0" fontId="0" fillId="0" borderId="41" xfId="0" applyBorder="1" applyAlignment="1">
      <alignment textRotation="255"/>
    </xf>
    <xf numFmtId="0" fontId="0" fillId="0" borderId="15" xfId="0" applyBorder="1"/>
    <xf numFmtId="0" fontId="0" fillId="0" borderId="32" xfId="0" applyBorder="1"/>
    <xf numFmtId="0" fontId="0" fillId="0" borderId="42" xfId="0" applyBorder="1"/>
    <xf numFmtId="0" fontId="0" fillId="0" borderId="41" xfId="0" applyBorder="1"/>
    <xf numFmtId="0" fontId="14" fillId="7" borderId="0" xfId="0" applyFont="1" applyFill="1" applyAlignment="1">
      <alignment horizontal="center" vertical="center"/>
    </xf>
    <xf numFmtId="0" fontId="14" fillId="7" borderId="0" xfId="0" applyFont="1" applyFill="1"/>
    <xf numFmtId="0" fontId="2" fillId="7" borderId="0" xfId="0" applyFont="1" applyFill="1" applyAlignment="1">
      <alignment vertical="center"/>
    </xf>
    <xf numFmtId="0" fontId="0" fillId="8" borderId="0" xfId="0" applyFill="1"/>
    <xf numFmtId="0" fontId="0" fillId="8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9" borderId="11" xfId="0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0" fontId="8" fillId="0" borderId="9" xfId="0" applyFont="1" applyBorder="1"/>
    <xf numFmtId="0" fontId="8" fillId="0" borderId="18" xfId="0" applyFont="1" applyBorder="1"/>
    <xf numFmtId="0" fontId="12" fillId="0" borderId="18" xfId="0" applyFont="1" applyBorder="1" applyProtection="1">
      <protection locked="0"/>
    </xf>
    <xf numFmtId="0" fontId="8" fillId="0" borderId="18" xfId="0" quotePrefix="1" applyFont="1" applyBorder="1" applyProtection="1">
      <protection locked="0"/>
    </xf>
    <xf numFmtId="0" fontId="12" fillId="0" borderId="0" xfId="0" applyFont="1" applyProtection="1"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12" fillId="0" borderId="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11" borderId="0" xfId="0" applyFill="1"/>
    <xf numFmtId="0" fontId="0" fillId="12" borderId="11" xfId="0" applyFill="1" applyBorder="1" applyAlignment="1">
      <alignment horizontal="center"/>
    </xf>
    <xf numFmtId="0" fontId="8" fillId="11" borderId="11" xfId="0" applyFont="1" applyFill="1" applyBorder="1"/>
    <xf numFmtId="0" fontId="0" fillId="10" borderId="15" xfId="0" applyFill="1" applyBorder="1" applyAlignment="1">
      <alignment horizontal="center"/>
    </xf>
    <xf numFmtId="0" fontId="4" fillId="0" borderId="0" xfId="0" quotePrefix="1" applyFont="1"/>
    <xf numFmtId="0" fontId="12" fillId="15" borderId="9" xfId="0" applyFont="1" applyFill="1" applyBorder="1" applyAlignment="1">
      <alignment horizontal="center"/>
    </xf>
    <xf numFmtId="0" fontId="8" fillId="14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8" fillId="22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8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12" fillId="28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12" fillId="30" borderId="9" xfId="0" applyFont="1" applyFill="1" applyBorder="1" applyAlignment="1">
      <alignment horizontal="center"/>
    </xf>
    <xf numFmtId="0" fontId="8" fillId="31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32" borderId="9" xfId="0" applyFont="1" applyFill="1" applyBorder="1" applyAlignment="1">
      <alignment horizontal="center"/>
    </xf>
    <xf numFmtId="167" fontId="1" fillId="25" borderId="0" xfId="0" applyNumberFormat="1" applyFont="1" applyFill="1" applyAlignment="1">
      <alignment horizontal="right"/>
    </xf>
    <xf numFmtId="167" fontId="22" fillId="25" borderId="0" xfId="0" applyNumberFormat="1" applyFont="1" applyFill="1" applyAlignment="1">
      <alignment horizontal="right"/>
    </xf>
    <xf numFmtId="167" fontId="23" fillId="25" borderId="0" xfId="0" applyNumberFormat="1" applyFont="1" applyFill="1" applyAlignment="1">
      <alignment horizontal="right"/>
    </xf>
    <xf numFmtId="167" fontId="24" fillId="25" borderId="0" xfId="0" applyNumberFormat="1" applyFont="1" applyFill="1" applyAlignment="1">
      <alignment horizontal="right"/>
    </xf>
    <xf numFmtId="167" fontId="18" fillId="25" borderId="0" xfId="0" applyNumberFormat="1" applyFont="1" applyFill="1" applyAlignment="1">
      <alignment horizontal="center"/>
    </xf>
    <xf numFmtId="167" fontId="6" fillId="25" borderId="0" xfId="0" applyNumberFormat="1" applyFont="1" applyFill="1" applyAlignment="1">
      <alignment horizontal="right"/>
    </xf>
    <xf numFmtId="167" fontId="4" fillId="25" borderId="0" xfId="0" applyNumberFormat="1" applyFont="1" applyFill="1" applyAlignment="1">
      <alignment horizontal="right"/>
    </xf>
    <xf numFmtId="167" fontId="25" fillId="25" borderId="0" xfId="0" applyNumberFormat="1" applyFont="1" applyFill="1" applyAlignment="1">
      <alignment horizontal="right"/>
    </xf>
    <xf numFmtId="0" fontId="8" fillId="25" borderId="11" xfId="0" applyFont="1" applyFill="1" applyBorder="1"/>
    <xf numFmtId="0" fontId="8" fillId="25" borderId="18" xfId="0" applyFont="1" applyFill="1" applyBorder="1" applyProtection="1">
      <protection locked="0"/>
    </xf>
    <xf numFmtId="0" fontId="8" fillId="25" borderId="0" xfId="0" applyFont="1" applyFill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25" borderId="0" xfId="0" applyFont="1" applyFill="1"/>
    <xf numFmtId="0" fontId="8" fillId="25" borderId="9" xfId="0" applyFont="1" applyFill="1" applyBorder="1" applyProtection="1">
      <protection locked="0"/>
    </xf>
    <xf numFmtId="0" fontId="5" fillId="0" borderId="27" xfId="0" applyFont="1" applyBorder="1" applyAlignment="1">
      <alignment horizontal="left"/>
    </xf>
    <xf numFmtId="0" fontId="8" fillId="15" borderId="11" xfId="0" applyFont="1" applyFill="1" applyBorder="1" applyProtection="1">
      <protection locked="0"/>
    </xf>
    <xf numFmtId="0" fontId="8" fillId="15" borderId="18" xfId="0" applyFont="1" applyFill="1" applyBorder="1" applyProtection="1">
      <protection locked="0"/>
    </xf>
    <xf numFmtId="0" fontId="8" fillId="15" borderId="0" xfId="0" applyFont="1" applyFill="1" applyProtection="1">
      <protection locked="0"/>
    </xf>
    <xf numFmtId="0" fontId="32" fillId="0" borderId="13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9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5" fillId="0" borderId="1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0" fillId="0" borderId="0" xfId="0" applyFont="1" applyFill="1" applyAlignment="1">
      <alignment horizontal="center"/>
    </xf>
    <xf numFmtId="0" fontId="0" fillId="0" borderId="0" xfId="0" applyFill="1"/>
    <xf numFmtId="0" fontId="4" fillId="0" borderId="5" xfId="0" applyFont="1" applyFill="1" applyBorder="1"/>
    <xf numFmtId="0" fontId="4" fillId="0" borderId="11" xfId="0" applyFont="1" applyFill="1" applyBorder="1"/>
    <xf numFmtId="0" fontId="31" fillId="0" borderId="11" xfId="0" applyFont="1" applyFill="1" applyBorder="1"/>
    <xf numFmtId="0" fontId="0" fillId="0" borderId="11" xfId="0" applyFill="1" applyBorder="1"/>
    <xf numFmtId="0" fontId="4" fillId="0" borderId="0" xfId="0" applyFont="1" applyFill="1"/>
    <xf numFmtId="0" fontId="4" fillId="0" borderId="26" xfId="0" applyFont="1" applyFill="1" applyBorder="1"/>
    <xf numFmtId="0" fontId="2" fillId="0" borderId="0" xfId="0" applyFont="1" applyFill="1" applyAlignment="1">
      <alignment horizontal="center"/>
    </xf>
    <xf numFmtId="0" fontId="8" fillId="0" borderId="24" xfId="0" applyFont="1" applyFill="1" applyBorder="1"/>
    <xf numFmtId="0" fontId="8" fillId="0" borderId="14" xfId="0" applyFont="1" applyFill="1" applyBorder="1"/>
    <xf numFmtId="0" fontId="0" fillId="0" borderId="8" xfId="0" applyFill="1" applyBorder="1"/>
    <xf numFmtId="0" fontId="5" fillId="0" borderId="12" xfId="0" applyFont="1" applyFill="1" applyBorder="1" applyAlignment="1">
      <alignment horizontal="left"/>
    </xf>
    <xf numFmtId="0" fontId="0" fillId="0" borderId="26" xfId="0" applyFill="1" applyBorder="1"/>
    <xf numFmtId="0" fontId="0" fillId="0" borderId="11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4" fillId="0" borderId="0" xfId="0" applyFont="1" applyFill="1" applyProtection="1">
      <protection locked="0"/>
    </xf>
    <xf numFmtId="167" fontId="0" fillId="0" borderId="0" xfId="0" applyNumberFormat="1" applyFill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workbookViewId="0"/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97" customWidth="1"/>
    <col min="7" max="7" width="33.5703125" style="244" customWidth="1"/>
    <col min="8" max="8" width="64.28515625" customWidth="1"/>
    <col min="9" max="9" width="12.28515625" bestFit="1" customWidth="1"/>
  </cols>
  <sheetData>
    <row r="1" spans="1:18" x14ac:dyDescent="0.2">
      <c r="A1" s="91"/>
      <c r="B1" s="90"/>
      <c r="C1" s="23"/>
      <c r="D1" s="24"/>
      <c r="E1" s="101"/>
      <c r="F1" s="98"/>
      <c r="G1" s="237"/>
      <c r="K1" s="2"/>
    </row>
    <row r="2" spans="1:18" ht="18" x14ac:dyDescent="0.25">
      <c r="A2" s="268" t="s">
        <v>81</v>
      </c>
      <c r="B2" s="269"/>
      <c r="C2" s="269"/>
      <c r="D2" s="270"/>
      <c r="E2" s="93"/>
      <c r="F2" s="99"/>
      <c r="G2" s="238"/>
      <c r="H2" s="13"/>
      <c r="I2" t="s">
        <v>368</v>
      </c>
    </row>
    <row r="3" spans="1:18" ht="18" x14ac:dyDescent="0.25">
      <c r="A3" s="268"/>
      <c r="B3" s="269"/>
      <c r="C3" s="269"/>
      <c r="D3" s="270"/>
      <c r="E3" s="93"/>
      <c r="F3" s="99"/>
      <c r="G3" s="238"/>
      <c r="H3" s="13"/>
      <c r="I3" t="s">
        <v>318</v>
      </c>
    </row>
    <row r="4" spans="1:18" ht="18" x14ac:dyDescent="0.25">
      <c r="A4" s="29"/>
      <c r="B4" s="13"/>
      <c r="C4" s="13"/>
      <c r="D4" s="28"/>
      <c r="E4" s="93"/>
      <c r="F4" s="99"/>
      <c r="G4" s="238"/>
      <c r="H4" s="13"/>
      <c r="I4" s="13"/>
      <c r="J4" s="13"/>
      <c r="K4" s="13"/>
    </row>
    <row r="5" spans="1:18" ht="16.5" thickBot="1" x14ac:dyDescent="0.3">
      <c r="A5" s="111"/>
      <c r="B5" s="112" t="str">
        <f>Issue</f>
        <v>2024 Show Season V1 7/22/2024</v>
      </c>
      <c r="C5" s="170" t="s">
        <v>294</v>
      </c>
      <c r="D5" s="113"/>
      <c r="E5" s="114"/>
      <c r="F5" s="115"/>
      <c r="G5" s="239"/>
      <c r="K5" s="2"/>
    </row>
    <row r="6" spans="1:18" ht="16.5" thickBot="1" x14ac:dyDescent="0.3">
      <c r="A6" s="111"/>
      <c r="B6" s="112"/>
      <c r="C6" s="130" t="s">
        <v>82</v>
      </c>
      <c r="D6" s="113"/>
      <c r="E6" s="116" t="s">
        <v>4</v>
      </c>
      <c r="F6" s="117"/>
      <c r="G6" s="240"/>
      <c r="H6" s="129" t="s">
        <v>222</v>
      </c>
      <c r="I6" s="271" t="s">
        <v>319</v>
      </c>
      <c r="J6" s="271"/>
      <c r="K6" s="271"/>
      <c r="L6" s="272"/>
    </row>
    <row r="7" spans="1:18" ht="15" x14ac:dyDescent="0.2">
      <c r="A7" s="208" t="s">
        <v>83</v>
      </c>
      <c r="B7" s="118"/>
      <c r="C7" s="131" t="s">
        <v>84</v>
      </c>
      <c r="D7" s="119"/>
      <c r="E7" s="120" t="s">
        <v>177</v>
      </c>
      <c r="F7" s="121" t="s">
        <v>179</v>
      </c>
      <c r="G7" s="241" t="s">
        <v>238</v>
      </c>
      <c r="K7" s="14"/>
    </row>
    <row r="8" spans="1:18" ht="18" x14ac:dyDescent="0.25">
      <c r="A8" s="206" t="s">
        <v>94</v>
      </c>
      <c r="B8" s="118" t="s">
        <v>164</v>
      </c>
      <c r="C8" s="192">
        <v>2</v>
      </c>
      <c r="D8" s="122">
        <f t="shared" ref="D8:D30" si="0">D7+1</f>
        <v>1</v>
      </c>
      <c r="E8" s="116">
        <v>39</v>
      </c>
      <c r="F8" s="158">
        <v>1.8292682926829258</v>
      </c>
      <c r="G8" s="242" t="s">
        <v>287</v>
      </c>
      <c r="H8" s="159" t="s">
        <v>317</v>
      </c>
      <c r="I8" s="291"/>
      <c r="J8" s="291"/>
      <c r="K8" s="292"/>
      <c r="L8" s="291"/>
      <c r="M8" s="291"/>
      <c r="N8" s="293"/>
      <c r="O8" s="291"/>
      <c r="P8" s="291"/>
      <c r="Q8" s="291"/>
      <c r="R8" s="291"/>
    </row>
    <row r="9" spans="1:18" ht="18" x14ac:dyDescent="0.25">
      <c r="A9" s="216" t="s">
        <v>253</v>
      </c>
      <c r="B9" s="173" t="s">
        <v>254</v>
      </c>
      <c r="C9" s="197">
        <v>0</v>
      </c>
      <c r="D9" s="122">
        <f t="shared" si="0"/>
        <v>2</v>
      </c>
      <c r="E9" s="116">
        <v>0</v>
      </c>
      <c r="F9" s="158">
        <v>0</v>
      </c>
      <c r="G9" s="242" t="s">
        <v>279</v>
      </c>
      <c r="H9" s="159"/>
      <c r="I9" s="291"/>
      <c r="J9" s="291"/>
      <c r="K9" s="292"/>
      <c r="L9" s="291"/>
      <c r="M9" s="291"/>
      <c r="N9" s="293"/>
      <c r="O9" s="291"/>
      <c r="P9" s="293"/>
      <c r="Q9" s="291"/>
      <c r="R9" s="291"/>
    </row>
    <row r="10" spans="1:18" ht="18" x14ac:dyDescent="0.25">
      <c r="A10" s="215" t="s">
        <v>18</v>
      </c>
      <c r="B10" s="118" t="s">
        <v>168</v>
      </c>
      <c r="C10" s="192">
        <v>2</v>
      </c>
      <c r="D10" s="122">
        <f t="shared" si="0"/>
        <v>3</v>
      </c>
      <c r="E10" s="116">
        <v>22</v>
      </c>
      <c r="F10" s="157">
        <v>-15.170731707317074</v>
      </c>
      <c r="G10" s="242" t="s">
        <v>230</v>
      </c>
      <c r="H10" s="147" t="s">
        <v>239</v>
      </c>
      <c r="I10" s="291"/>
      <c r="J10" s="291"/>
      <c r="K10" s="292"/>
      <c r="L10" s="291"/>
      <c r="M10" s="294"/>
      <c r="N10" s="291"/>
      <c r="O10" s="291"/>
      <c r="P10" s="291"/>
      <c r="Q10" s="291"/>
      <c r="R10" s="291"/>
    </row>
    <row r="11" spans="1:18" ht="18" x14ac:dyDescent="0.25">
      <c r="A11" s="217" t="s">
        <v>85</v>
      </c>
      <c r="B11" s="118" t="s">
        <v>86</v>
      </c>
      <c r="C11" s="192">
        <v>1</v>
      </c>
      <c r="D11" s="122">
        <f t="shared" si="0"/>
        <v>4</v>
      </c>
      <c r="E11" s="116">
        <v>17</v>
      </c>
      <c r="F11" s="157">
        <v>-1.5853658536585371</v>
      </c>
      <c r="G11" s="242" t="s">
        <v>283</v>
      </c>
      <c r="H11" s="159" t="s">
        <v>246</v>
      </c>
      <c r="I11" s="291"/>
      <c r="J11" s="291"/>
      <c r="K11" s="292"/>
      <c r="L11" s="291"/>
      <c r="M11" s="291"/>
      <c r="N11" s="291"/>
      <c r="O11" s="291"/>
      <c r="P11" s="291"/>
      <c r="Q11" s="291"/>
      <c r="R11" s="291"/>
    </row>
    <row r="12" spans="1:18" ht="18" x14ac:dyDescent="0.25">
      <c r="A12" s="218" t="s">
        <v>12</v>
      </c>
      <c r="B12" s="118" t="s">
        <v>87</v>
      </c>
      <c r="C12" s="192">
        <v>2</v>
      </c>
      <c r="D12" s="122">
        <f t="shared" si="0"/>
        <v>5</v>
      </c>
      <c r="E12" s="116">
        <v>23</v>
      </c>
      <c r="F12" s="157">
        <v>-14.170731707317074</v>
      </c>
      <c r="G12" s="242" t="s">
        <v>284</v>
      </c>
      <c r="H12" s="159"/>
      <c r="I12" s="291"/>
      <c r="J12" s="291"/>
      <c r="K12" s="292"/>
      <c r="L12" s="291"/>
      <c r="M12" s="291"/>
      <c r="N12" s="291"/>
      <c r="O12" s="291"/>
      <c r="P12" s="291"/>
      <c r="Q12" s="291"/>
      <c r="R12" s="291"/>
    </row>
    <row r="13" spans="1:18" ht="18" x14ac:dyDescent="0.25">
      <c r="A13" s="219" t="s">
        <v>39</v>
      </c>
      <c r="B13" s="118" t="s">
        <v>88</v>
      </c>
      <c r="C13" s="192">
        <v>3</v>
      </c>
      <c r="D13" s="122">
        <f t="shared" si="0"/>
        <v>6</v>
      </c>
      <c r="E13" s="116">
        <v>59</v>
      </c>
      <c r="F13" s="158">
        <v>3.2439024390243887</v>
      </c>
      <c r="G13" s="242" t="s">
        <v>257</v>
      </c>
      <c r="H13" s="147"/>
      <c r="I13" s="291"/>
      <c r="J13" s="291"/>
      <c r="K13" s="292"/>
      <c r="L13" s="291"/>
      <c r="M13" s="291"/>
      <c r="N13" s="291"/>
      <c r="O13" s="291"/>
      <c r="P13" s="291"/>
      <c r="Q13" s="291"/>
      <c r="R13" s="291"/>
    </row>
    <row r="14" spans="1:18" ht="18" x14ac:dyDescent="0.25">
      <c r="A14" s="220" t="s">
        <v>90</v>
      </c>
      <c r="B14" s="173" t="s">
        <v>250</v>
      </c>
      <c r="C14" s="192">
        <v>2</v>
      </c>
      <c r="D14" s="122">
        <f t="shared" si="0"/>
        <v>7</v>
      </c>
      <c r="E14" s="116">
        <v>37</v>
      </c>
      <c r="F14" s="157">
        <v>-0.17073170731707421</v>
      </c>
      <c r="G14" s="242" t="s">
        <v>285</v>
      </c>
      <c r="H14" s="147"/>
      <c r="I14" s="291"/>
      <c r="J14" s="291"/>
      <c r="K14" s="292"/>
      <c r="L14" s="291"/>
      <c r="M14" s="291"/>
      <c r="N14" s="291"/>
      <c r="O14" s="291"/>
      <c r="P14" s="291"/>
      <c r="Q14" s="291"/>
      <c r="R14" s="291"/>
    </row>
    <row r="15" spans="1:18" ht="18" x14ac:dyDescent="0.25">
      <c r="A15" s="221" t="s">
        <v>30</v>
      </c>
      <c r="B15" s="118" t="s">
        <v>89</v>
      </c>
      <c r="C15" s="192">
        <v>2</v>
      </c>
      <c r="D15" s="122">
        <f t="shared" si="0"/>
        <v>8</v>
      </c>
      <c r="E15" s="116">
        <v>52</v>
      </c>
      <c r="F15" s="158">
        <v>14.829268292682926</v>
      </c>
      <c r="G15" s="242" t="s">
        <v>232</v>
      </c>
      <c r="H15" s="159" t="s">
        <v>282</v>
      </c>
      <c r="I15" s="291"/>
      <c r="J15" s="291"/>
      <c r="K15" s="292"/>
      <c r="L15" s="291"/>
      <c r="M15" s="291"/>
      <c r="N15" s="291"/>
      <c r="O15" s="291"/>
      <c r="P15" s="291"/>
      <c r="Q15" s="291"/>
      <c r="R15" s="291"/>
    </row>
    <row r="16" spans="1:18" ht="18" x14ac:dyDescent="0.25">
      <c r="A16" s="222" t="s">
        <v>92</v>
      </c>
      <c r="B16" s="123" t="s">
        <v>93</v>
      </c>
      <c r="C16" s="192">
        <v>2</v>
      </c>
      <c r="D16" s="122">
        <f t="shared" si="0"/>
        <v>9</v>
      </c>
      <c r="E16" s="116">
        <v>32</v>
      </c>
      <c r="F16" s="157">
        <v>-5.1707317073170742</v>
      </c>
      <c r="G16" s="242" t="s">
        <v>252</v>
      </c>
      <c r="H16" s="159"/>
      <c r="I16" s="291"/>
      <c r="J16" s="291"/>
      <c r="K16" s="292"/>
      <c r="L16" s="291"/>
      <c r="M16" s="291"/>
      <c r="N16" s="291"/>
      <c r="O16" s="291"/>
      <c r="P16" s="291"/>
      <c r="Q16" s="291"/>
      <c r="R16" s="291"/>
    </row>
    <row r="17" spans="1:18" ht="18" x14ac:dyDescent="0.25">
      <c r="A17" s="223" t="s">
        <v>91</v>
      </c>
      <c r="B17" s="118" t="s">
        <v>166</v>
      </c>
      <c r="C17" s="192">
        <v>2</v>
      </c>
      <c r="D17" s="122">
        <f t="shared" si="0"/>
        <v>10</v>
      </c>
      <c r="E17" s="116">
        <v>38</v>
      </c>
      <c r="F17" s="158">
        <v>0.82926829268292579</v>
      </c>
      <c r="G17" s="242" t="s">
        <v>237</v>
      </c>
      <c r="H17" s="159"/>
      <c r="I17" s="291"/>
      <c r="J17" s="291"/>
      <c r="K17" s="292"/>
      <c r="L17" s="291"/>
      <c r="M17" s="291"/>
      <c r="N17" s="291"/>
      <c r="O17" s="291"/>
      <c r="P17" s="291"/>
      <c r="Q17" s="291"/>
      <c r="R17" s="291"/>
    </row>
    <row r="18" spans="1:18" ht="18" x14ac:dyDescent="0.25">
      <c r="A18" s="224" t="s">
        <v>255</v>
      </c>
      <c r="B18" s="173" t="s">
        <v>256</v>
      </c>
      <c r="C18" s="192">
        <v>1</v>
      </c>
      <c r="D18" s="122">
        <f t="shared" si="0"/>
        <v>11</v>
      </c>
      <c r="E18" s="116">
        <v>36</v>
      </c>
      <c r="F18" s="158">
        <v>17.414634146341463</v>
      </c>
      <c r="G18" s="242" t="s">
        <v>281</v>
      </c>
      <c r="H18" s="159"/>
      <c r="I18" s="291"/>
      <c r="J18" s="291"/>
      <c r="K18" s="292"/>
      <c r="L18" s="291"/>
      <c r="M18" s="291"/>
      <c r="N18" s="291"/>
      <c r="O18" s="293"/>
      <c r="P18" s="291"/>
      <c r="Q18" s="291"/>
      <c r="R18" s="291"/>
    </row>
    <row r="19" spans="1:18" ht="18" x14ac:dyDescent="0.25">
      <c r="A19" s="225" t="s">
        <v>162</v>
      </c>
      <c r="B19" s="118" t="s">
        <v>163</v>
      </c>
      <c r="C19" s="192">
        <v>1</v>
      </c>
      <c r="D19" s="122">
        <f t="shared" si="0"/>
        <v>12</v>
      </c>
      <c r="E19" s="116">
        <v>21</v>
      </c>
      <c r="F19" s="158">
        <v>2.4146341463414629</v>
      </c>
      <c r="G19" s="242" t="s">
        <v>305</v>
      </c>
      <c r="H19" s="159"/>
      <c r="I19" s="291"/>
      <c r="J19" s="291"/>
      <c r="K19" s="292"/>
      <c r="L19" s="291"/>
      <c r="M19" s="291"/>
      <c r="N19" s="291"/>
      <c r="O19" s="291"/>
      <c r="P19" s="291"/>
      <c r="Q19" s="291"/>
      <c r="R19" s="291"/>
    </row>
    <row r="20" spans="1:18" ht="18" x14ac:dyDescent="0.25">
      <c r="A20" s="226" t="s">
        <v>23</v>
      </c>
      <c r="B20" s="118" t="s">
        <v>165</v>
      </c>
      <c r="C20" s="192">
        <v>2</v>
      </c>
      <c r="D20" s="122">
        <f t="shared" si="0"/>
        <v>13</v>
      </c>
      <c r="E20" s="116">
        <v>26</v>
      </c>
      <c r="F20" s="157">
        <v>-11.170731707317074</v>
      </c>
      <c r="G20" s="242" t="s">
        <v>251</v>
      </c>
      <c r="H20" s="147" t="s">
        <v>225</v>
      </c>
      <c r="I20" s="291"/>
      <c r="J20" s="291"/>
      <c r="K20" s="292"/>
      <c r="L20" s="291"/>
      <c r="M20" s="291"/>
      <c r="N20" s="291"/>
      <c r="O20" s="291"/>
      <c r="P20" s="291"/>
      <c r="Q20" s="291"/>
      <c r="R20" s="291"/>
    </row>
    <row r="21" spans="1:18" ht="26.25" x14ac:dyDescent="0.25">
      <c r="A21" s="227" t="s">
        <v>303</v>
      </c>
      <c r="B21" s="173" t="s">
        <v>302</v>
      </c>
      <c r="C21" s="192">
        <v>2</v>
      </c>
      <c r="D21" s="122">
        <f t="shared" si="0"/>
        <v>14</v>
      </c>
      <c r="E21" s="116">
        <v>39</v>
      </c>
      <c r="F21" s="158">
        <v>1.8292682926829258</v>
      </c>
      <c r="G21" s="242" t="s">
        <v>306</v>
      </c>
      <c r="H21" s="296" t="s">
        <v>307</v>
      </c>
      <c r="I21" s="291"/>
      <c r="J21" s="291"/>
      <c r="K21" s="292"/>
      <c r="L21" s="291"/>
      <c r="M21" s="291"/>
      <c r="N21" s="291"/>
      <c r="O21" s="291"/>
      <c r="P21" s="291"/>
      <c r="Q21" s="291"/>
      <c r="R21" s="291"/>
    </row>
    <row r="22" spans="1:18" ht="18" x14ac:dyDescent="0.25">
      <c r="A22" s="228" t="s">
        <v>101</v>
      </c>
      <c r="B22" s="118" t="s">
        <v>102</v>
      </c>
      <c r="C22" s="192">
        <v>2</v>
      </c>
      <c r="D22" s="122">
        <f t="shared" si="0"/>
        <v>15</v>
      </c>
      <c r="E22" s="116">
        <v>30</v>
      </c>
      <c r="F22" s="157">
        <v>-7.1707317073170742</v>
      </c>
      <c r="G22" s="242" t="s">
        <v>286</v>
      </c>
      <c r="H22" s="147"/>
      <c r="I22" s="291"/>
      <c r="J22" s="291"/>
      <c r="K22" s="292"/>
      <c r="L22" s="291"/>
      <c r="M22" s="291"/>
      <c r="N22" s="291"/>
      <c r="O22" s="291"/>
      <c r="P22" s="291"/>
      <c r="Q22" s="291"/>
      <c r="R22" s="291"/>
    </row>
    <row r="23" spans="1:18" ht="18" x14ac:dyDescent="0.25">
      <c r="A23" s="229" t="s">
        <v>95</v>
      </c>
      <c r="B23" s="118" t="s">
        <v>167</v>
      </c>
      <c r="C23" s="192">
        <v>1</v>
      </c>
      <c r="D23" s="122">
        <f t="shared" si="0"/>
        <v>16</v>
      </c>
      <c r="E23" s="116">
        <v>18</v>
      </c>
      <c r="F23" s="157">
        <v>-0.58536585365853711</v>
      </c>
      <c r="G23" s="242" t="s">
        <v>280</v>
      </c>
      <c r="H23" s="147"/>
      <c r="I23" s="291"/>
      <c r="J23" s="291"/>
      <c r="K23" s="292"/>
      <c r="L23" s="291"/>
      <c r="M23" s="291"/>
      <c r="N23" s="291"/>
      <c r="O23" s="291"/>
      <c r="P23" s="291"/>
      <c r="Q23" s="291"/>
      <c r="R23" s="291"/>
    </row>
    <row r="24" spans="1:18" ht="18" x14ac:dyDescent="0.25">
      <c r="A24" s="230" t="s">
        <v>41</v>
      </c>
      <c r="B24" s="118" t="s">
        <v>98</v>
      </c>
      <c r="C24" s="192">
        <v>3</v>
      </c>
      <c r="D24" s="122">
        <f t="shared" si="0"/>
        <v>17</v>
      </c>
      <c r="E24" s="116">
        <v>57</v>
      </c>
      <c r="F24" s="158">
        <v>1.2439024390243887</v>
      </c>
      <c r="G24" s="242" t="s">
        <v>304</v>
      </c>
      <c r="H24" s="159"/>
      <c r="I24" s="291"/>
      <c r="J24" s="291"/>
      <c r="K24" s="292"/>
      <c r="L24" s="291"/>
      <c r="M24" s="291"/>
      <c r="N24" s="291"/>
      <c r="O24" s="293"/>
      <c r="P24" s="291"/>
      <c r="Q24" s="291"/>
      <c r="R24" s="291"/>
    </row>
    <row r="25" spans="1:18" ht="18" x14ac:dyDescent="0.25">
      <c r="A25" s="231" t="s">
        <v>96</v>
      </c>
      <c r="B25" s="118" t="s">
        <v>97</v>
      </c>
      <c r="C25" s="192">
        <v>2</v>
      </c>
      <c r="D25" s="122">
        <f t="shared" si="0"/>
        <v>18</v>
      </c>
      <c r="E25" s="116">
        <v>39</v>
      </c>
      <c r="F25" s="158">
        <v>1.8292682926829258</v>
      </c>
      <c r="G25" s="242" t="s">
        <v>233</v>
      </c>
      <c r="H25" s="147"/>
      <c r="I25" s="291"/>
      <c r="J25" s="291"/>
      <c r="K25" s="292"/>
      <c r="L25" s="291"/>
      <c r="M25" s="291"/>
      <c r="N25" s="291"/>
      <c r="O25" s="291"/>
      <c r="P25" s="291"/>
      <c r="Q25" s="291"/>
      <c r="R25" s="291"/>
    </row>
    <row r="26" spans="1:18" ht="18" x14ac:dyDescent="0.25">
      <c r="A26" s="232" t="s">
        <v>48</v>
      </c>
      <c r="B26" s="118" t="s">
        <v>175</v>
      </c>
      <c r="C26" s="192">
        <v>3</v>
      </c>
      <c r="D26" s="122">
        <f t="shared" si="0"/>
        <v>19</v>
      </c>
      <c r="E26" s="116">
        <v>51</v>
      </c>
      <c r="F26" s="157">
        <v>-4.7560975609756113</v>
      </c>
      <c r="G26" s="242" t="s">
        <v>234</v>
      </c>
      <c r="H26" s="159"/>
      <c r="I26" s="291"/>
      <c r="J26" s="291"/>
      <c r="K26" s="292"/>
      <c r="L26" s="291"/>
      <c r="M26" s="291"/>
      <c r="N26" s="291"/>
      <c r="O26" s="291"/>
      <c r="P26" s="291"/>
      <c r="Q26" s="291"/>
      <c r="R26" s="291"/>
    </row>
    <row r="27" spans="1:18" ht="18" x14ac:dyDescent="0.25">
      <c r="A27" s="233" t="s">
        <v>248</v>
      </c>
      <c r="B27" s="173" t="s">
        <v>249</v>
      </c>
      <c r="C27" s="192">
        <v>1</v>
      </c>
      <c r="D27" s="122">
        <f t="shared" si="0"/>
        <v>20</v>
      </c>
      <c r="E27" s="116">
        <v>22</v>
      </c>
      <c r="F27" s="158">
        <v>3.4146341463414629</v>
      </c>
      <c r="G27" s="242" t="s">
        <v>231</v>
      </c>
      <c r="H27" s="159"/>
      <c r="I27" s="291"/>
      <c r="J27" s="291"/>
      <c r="K27" s="292"/>
      <c r="L27" s="291"/>
      <c r="M27" s="291"/>
      <c r="N27" s="291"/>
      <c r="O27" s="291"/>
      <c r="P27" s="291"/>
      <c r="Q27" s="291"/>
      <c r="R27" s="291"/>
    </row>
    <row r="28" spans="1:18" ht="18" x14ac:dyDescent="0.25">
      <c r="A28" s="234" t="s">
        <v>44</v>
      </c>
      <c r="B28" s="118" t="s">
        <v>100</v>
      </c>
      <c r="C28" s="192">
        <v>2</v>
      </c>
      <c r="D28" s="122">
        <f t="shared" si="0"/>
        <v>21</v>
      </c>
      <c r="E28" s="116">
        <v>33</v>
      </c>
      <c r="F28" s="157">
        <v>-4.1707317073170742</v>
      </c>
      <c r="G28" s="242" t="s">
        <v>289</v>
      </c>
      <c r="H28" s="159">
        <v>0</v>
      </c>
      <c r="I28" s="291"/>
      <c r="J28" s="291"/>
      <c r="K28" s="292"/>
      <c r="L28" s="295"/>
      <c r="M28" s="291"/>
      <c r="N28" s="291"/>
      <c r="O28" s="291"/>
      <c r="P28" s="291"/>
      <c r="Q28" s="291"/>
      <c r="R28" s="291"/>
    </row>
    <row r="29" spans="1:18" ht="18" x14ac:dyDescent="0.25">
      <c r="A29" s="235" t="s">
        <v>7</v>
      </c>
      <c r="B29" s="118" t="s">
        <v>236</v>
      </c>
      <c r="C29" s="192">
        <v>2</v>
      </c>
      <c r="D29" s="122">
        <f t="shared" si="0"/>
        <v>22</v>
      </c>
      <c r="E29" s="116">
        <v>37</v>
      </c>
      <c r="F29" s="157">
        <v>-0.17073170731707421</v>
      </c>
      <c r="G29" s="242" t="s">
        <v>288</v>
      </c>
      <c r="H29" s="159"/>
      <c r="I29" s="291"/>
      <c r="J29" s="291"/>
      <c r="K29" s="292"/>
      <c r="L29" s="291"/>
      <c r="M29" s="291"/>
      <c r="N29" s="291"/>
      <c r="O29" s="291"/>
      <c r="P29" s="291"/>
      <c r="Q29" s="291"/>
      <c r="R29" s="291"/>
    </row>
    <row r="30" spans="1:18" ht="18" x14ac:dyDescent="0.25">
      <c r="A30" s="236" t="s">
        <v>20</v>
      </c>
      <c r="B30" s="118" t="s">
        <v>99</v>
      </c>
      <c r="C30" s="192">
        <v>1</v>
      </c>
      <c r="D30" s="122">
        <f t="shared" si="0"/>
        <v>23</v>
      </c>
      <c r="E30" s="116">
        <v>14</v>
      </c>
      <c r="F30" s="157">
        <v>-4.5853658536585371</v>
      </c>
      <c r="G30" s="242" t="s">
        <v>235</v>
      </c>
      <c r="H30" s="147"/>
      <c r="I30" s="291"/>
      <c r="J30" s="291"/>
      <c r="K30" s="292"/>
      <c r="L30" s="291"/>
      <c r="M30" s="291"/>
      <c r="N30" s="291"/>
      <c r="O30" s="291"/>
      <c r="P30" s="291"/>
      <c r="Q30" s="291"/>
      <c r="R30" s="291"/>
    </row>
    <row r="31" spans="1:18" ht="15" x14ac:dyDescent="0.2">
      <c r="A31" s="207"/>
      <c r="B31" s="118"/>
      <c r="C31" s="192"/>
      <c r="D31" s="122"/>
      <c r="E31" s="116"/>
      <c r="F31" s="157"/>
      <c r="G31" s="243"/>
      <c r="H31" s="147"/>
      <c r="I31" s="291"/>
      <c r="J31" s="291"/>
      <c r="K31" s="292"/>
      <c r="L31" s="291"/>
      <c r="M31" s="291"/>
      <c r="N31" s="291"/>
      <c r="O31" s="291"/>
      <c r="P31" s="291"/>
      <c r="Q31" s="291"/>
      <c r="R31" s="291"/>
    </row>
    <row r="32" spans="1:18" ht="15" x14ac:dyDescent="0.2">
      <c r="A32" s="111"/>
      <c r="B32" s="112"/>
      <c r="C32" s="205"/>
      <c r="D32" s="125"/>
      <c r="E32" s="116"/>
      <c r="F32" s="157"/>
      <c r="G32" s="243"/>
      <c r="H32" s="147"/>
      <c r="I32" s="291"/>
      <c r="J32" s="291"/>
      <c r="K32" s="292"/>
      <c r="L32" s="291"/>
      <c r="M32" s="291"/>
      <c r="N32" s="291"/>
      <c r="O32" s="291"/>
      <c r="P32" s="291"/>
      <c r="Q32" s="291"/>
      <c r="R32" s="291"/>
    </row>
    <row r="33" spans="1:11" ht="15.75" thickBot="1" x14ac:dyDescent="0.25">
      <c r="A33" s="111"/>
      <c r="B33" s="112"/>
      <c r="C33" s="124"/>
      <c r="D33" s="125"/>
      <c r="E33" s="116"/>
      <c r="F33" s="117"/>
      <c r="K33" s="2"/>
    </row>
    <row r="34" spans="1:11" ht="16.5" thickBot="1" x14ac:dyDescent="0.3">
      <c r="A34" s="11"/>
      <c r="B34" s="129" t="s">
        <v>103</v>
      </c>
      <c r="C34" s="31">
        <f>SUM(C8:C33)</f>
        <v>41</v>
      </c>
      <c r="D34" s="30"/>
      <c r="E34" s="94"/>
      <c r="F34" s="100"/>
      <c r="K34" s="2"/>
    </row>
    <row r="35" spans="1:11" ht="15" x14ac:dyDescent="0.2">
      <c r="A35" s="112"/>
      <c r="B35" s="112"/>
      <c r="C35" s="126"/>
      <c r="D35" s="112"/>
      <c r="E35" s="126" t="s">
        <v>177</v>
      </c>
      <c r="F35" s="127"/>
    </row>
    <row r="36" spans="1:11" ht="15" x14ac:dyDescent="0.2">
      <c r="A36" s="112"/>
      <c r="B36" s="112" t="s">
        <v>144</v>
      </c>
      <c r="C36" s="126">
        <f>GrandTotalHours</f>
        <v>754</v>
      </c>
      <c r="D36" s="112"/>
      <c r="E36" s="126">
        <f>SUM(E7:E35)</f>
        <v>742</v>
      </c>
      <c r="F36" s="127"/>
    </row>
    <row r="37" spans="1:11" ht="15" x14ac:dyDescent="0.2">
      <c r="A37" s="112"/>
      <c r="B37" s="112"/>
      <c r="C37" s="126"/>
      <c r="D37" s="112"/>
      <c r="E37" s="126"/>
      <c r="F37" s="127"/>
    </row>
    <row r="38" spans="1:11" ht="15" x14ac:dyDescent="0.2">
      <c r="A38" s="112"/>
      <c r="B38" s="112" t="s">
        <v>145</v>
      </c>
      <c r="C38" s="128">
        <f>GrandTotalHours/TotalShowShares</f>
        <v>18.390243902439025</v>
      </c>
      <c r="D38" s="112"/>
      <c r="E38" s="126"/>
      <c r="F38" s="127"/>
    </row>
  </sheetData>
  <sheetProtection sheet="1" objects="1" scenarios="1"/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paperSize="5"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/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156</v>
      </c>
      <c r="I1" t="s">
        <v>178</v>
      </c>
    </row>
    <row r="3" spans="1:10" x14ac:dyDescent="0.2">
      <c r="C3" t="s">
        <v>151</v>
      </c>
      <c r="D3" t="s">
        <v>152</v>
      </c>
    </row>
    <row r="4" spans="1:10" x14ac:dyDescent="0.2">
      <c r="A4" t="s">
        <v>314</v>
      </c>
      <c r="C4" s="210">
        <v>6</v>
      </c>
      <c r="D4" s="210">
        <v>16</v>
      </c>
      <c r="F4" s="16" t="s">
        <v>308</v>
      </c>
      <c r="H4" t="str">
        <f>FALLFriday</f>
        <v>Friday 9/29/2023</v>
      </c>
      <c r="J4">
        <f>ROW(FALLFriday)</f>
        <v>5</v>
      </c>
    </row>
    <row r="5" spans="1:10" x14ac:dyDescent="0.2">
      <c r="A5" t="s">
        <v>315</v>
      </c>
      <c r="C5" s="210">
        <v>25</v>
      </c>
      <c r="D5" s="210">
        <v>12</v>
      </c>
      <c r="F5" s="16" t="s">
        <v>309</v>
      </c>
      <c r="H5" t="str">
        <f>FALLSaturday</f>
        <v>Saturday 9/30/2023</v>
      </c>
      <c r="J5">
        <f>ROW(FALLSaturday)</f>
        <v>5</v>
      </c>
    </row>
    <row r="6" spans="1:10" x14ac:dyDescent="0.2">
      <c r="A6" t="s">
        <v>316</v>
      </c>
      <c r="C6" s="210">
        <v>26</v>
      </c>
      <c r="D6" s="210">
        <v>12</v>
      </c>
      <c r="F6" s="16" t="s">
        <v>310</v>
      </c>
      <c r="H6" t="str">
        <f>FALLSunday</f>
        <v>Sunday 10/1/2023</v>
      </c>
      <c r="J6">
        <f>ROW(FALLSunday)</f>
        <v>5</v>
      </c>
    </row>
    <row r="7" spans="1:10" x14ac:dyDescent="0.2">
      <c r="A7" t="s">
        <v>153</v>
      </c>
      <c r="C7" s="210">
        <v>6</v>
      </c>
      <c r="D7" s="210">
        <f>FindHourlyCols("DAT Friday",DATFriday)</f>
        <v>16</v>
      </c>
      <c r="F7" t="s">
        <v>311</v>
      </c>
      <c r="H7" t="str">
        <f>DATFriday</f>
        <v>Friday 01/19/2024</v>
      </c>
      <c r="J7">
        <f>ROW(DATFriday)</f>
        <v>5</v>
      </c>
    </row>
    <row r="8" spans="1:10" x14ac:dyDescent="0.2">
      <c r="A8" t="s">
        <v>154</v>
      </c>
      <c r="C8" s="210">
        <f>FindHourlyRows("DAT Saturday",DATSaturday)</f>
        <v>24</v>
      </c>
      <c r="D8" s="210">
        <f>FindHourlyCols("DAT Saturday",DATSaturday)</f>
        <v>12</v>
      </c>
      <c r="F8" t="s">
        <v>312</v>
      </c>
      <c r="H8" t="str">
        <f>DATSaturday</f>
        <v>Saturday 01/20/2024</v>
      </c>
      <c r="J8">
        <f>ROW(DATSaturday)</f>
        <v>5</v>
      </c>
    </row>
    <row r="9" spans="1:10" x14ac:dyDescent="0.2">
      <c r="A9" t="s">
        <v>155</v>
      </c>
      <c r="C9" s="210">
        <v>26</v>
      </c>
      <c r="D9" s="210">
        <f>FindHourlyCols("DAT Sunday",DATSunday)</f>
        <v>11</v>
      </c>
      <c r="F9" t="s">
        <v>313</v>
      </c>
      <c r="H9" t="str">
        <f>DATSunday</f>
        <v>Sunday 01/21/2024</v>
      </c>
      <c r="J9">
        <f>ROW(DATSunday)</f>
        <v>5</v>
      </c>
    </row>
    <row r="12" spans="1:10" x14ac:dyDescent="0.2">
      <c r="D12" s="210">
        <v>1</v>
      </c>
    </row>
    <row r="13" spans="1:10" x14ac:dyDescent="0.2">
      <c r="D13" s="210">
        <v>1</v>
      </c>
      <c r="F13" t="s">
        <v>242</v>
      </c>
      <c r="I13" s="210">
        <v>0</v>
      </c>
    </row>
    <row r="15" spans="1:10" x14ac:dyDescent="0.2">
      <c r="C15" t="s">
        <v>221</v>
      </c>
      <c r="D15" t="s">
        <v>220</v>
      </c>
    </row>
    <row r="16" spans="1:10" x14ac:dyDescent="0.2">
      <c r="A16" t="s">
        <v>217</v>
      </c>
      <c r="C16" s="210">
        <v>1</v>
      </c>
      <c r="D16" s="210">
        <v>28</v>
      </c>
    </row>
    <row r="17" spans="1:4" x14ac:dyDescent="0.2">
      <c r="A17" s="16" t="s">
        <v>321</v>
      </c>
      <c r="C17" s="210">
        <v>4</v>
      </c>
      <c r="D17" s="210">
        <v>42</v>
      </c>
    </row>
    <row r="18" spans="1:4" x14ac:dyDescent="0.2">
      <c r="A18" s="16" t="s">
        <v>322</v>
      </c>
      <c r="C18" s="210">
        <v>46</v>
      </c>
      <c r="D18" s="210">
        <v>86</v>
      </c>
    </row>
    <row r="19" spans="1:4" x14ac:dyDescent="0.2">
      <c r="A19" t="s">
        <v>218</v>
      </c>
      <c r="C19" s="210">
        <v>90</v>
      </c>
      <c r="D19" s="210">
        <v>125</v>
      </c>
    </row>
    <row r="20" spans="1:4" x14ac:dyDescent="0.2">
      <c r="A20" t="s">
        <v>219</v>
      </c>
      <c r="C20" s="210">
        <v>129</v>
      </c>
      <c r="D20" s="210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/>
  </sheetViews>
  <sheetFormatPr defaultRowHeight="12.75" x14ac:dyDescent="0.2"/>
  <cols>
    <col min="1" max="1" width="17.28515625" customWidth="1"/>
    <col min="2" max="2" width="45.7109375" style="276" bestFit="1" customWidth="1"/>
    <col min="4" max="4" width="14.28515625" bestFit="1" customWidth="1"/>
  </cols>
  <sheetData>
    <row r="1" spans="1:8" ht="18" x14ac:dyDescent="0.25">
      <c r="A1" s="251" t="s">
        <v>269</v>
      </c>
      <c r="B1" s="273"/>
      <c r="C1" s="209"/>
      <c r="D1" s="256"/>
    </row>
    <row r="2" spans="1:8" x14ac:dyDescent="0.2">
      <c r="A2" s="1"/>
      <c r="B2" s="274" t="str">
        <f>Issue</f>
        <v>2024 Show Season V1 7/22/2024</v>
      </c>
      <c r="C2" s="2"/>
      <c r="D2" s="257"/>
    </row>
    <row r="3" spans="1:8" ht="15.75" x14ac:dyDescent="0.25">
      <c r="A3" s="3"/>
      <c r="B3" s="275" t="str">
        <f>Season</f>
        <v>2022/2023</v>
      </c>
      <c r="C3" s="2"/>
      <c r="D3" s="258"/>
    </row>
    <row r="4" spans="1:8" x14ac:dyDescent="0.2">
      <c r="A4" s="4"/>
      <c r="C4" s="5" t="s">
        <v>0</v>
      </c>
      <c r="D4" s="258" t="s">
        <v>1</v>
      </c>
    </row>
    <row r="5" spans="1:8" x14ac:dyDescent="0.2">
      <c r="A5" s="6" t="s">
        <v>2</v>
      </c>
      <c r="B5" s="277" t="s">
        <v>3</v>
      </c>
      <c r="C5" s="7" t="s">
        <v>4</v>
      </c>
      <c r="D5" s="259" t="s">
        <v>5</v>
      </c>
    </row>
    <row r="6" spans="1:8" x14ac:dyDescent="0.2">
      <c r="A6" s="102" t="s">
        <v>6</v>
      </c>
      <c r="B6" s="278" t="s">
        <v>336</v>
      </c>
      <c r="C6" s="22">
        <v>4</v>
      </c>
      <c r="D6" s="260" t="s">
        <v>162</v>
      </c>
      <c r="F6" s="9"/>
      <c r="H6" s="2"/>
    </row>
    <row r="7" spans="1:8" x14ac:dyDescent="0.2">
      <c r="A7" s="102" t="s">
        <v>8</v>
      </c>
      <c r="B7" s="278" t="s">
        <v>337</v>
      </c>
      <c r="C7" s="22">
        <v>2</v>
      </c>
      <c r="D7" s="260" t="s">
        <v>162</v>
      </c>
      <c r="F7" s="9"/>
      <c r="H7" s="2"/>
    </row>
    <row r="8" spans="1:8" x14ac:dyDescent="0.2">
      <c r="A8" s="102"/>
      <c r="B8" s="278" t="s">
        <v>338</v>
      </c>
      <c r="C8" s="22">
        <v>2</v>
      </c>
      <c r="D8" s="260" t="s">
        <v>162</v>
      </c>
      <c r="F8" s="9"/>
      <c r="H8" s="2"/>
    </row>
    <row r="9" spans="1:8" x14ac:dyDescent="0.2">
      <c r="A9" s="102" t="s">
        <v>9</v>
      </c>
      <c r="B9" s="278" t="s">
        <v>348</v>
      </c>
      <c r="C9" s="22">
        <v>9</v>
      </c>
      <c r="D9" s="260" t="s">
        <v>303</v>
      </c>
      <c r="F9" s="9"/>
      <c r="H9" s="2"/>
    </row>
    <row r="10" spans="1:8" x14ac:dyDescent="0.2">
      <c r="A10" s="102" t="s">
        <v>10</v>
      </c>
      <c r="B10" s="278" t="s">
        <v>339</v>
      </c>
      <c r="C10" s="22">
        <v>2</v>
      </c>
      <c r="D10" s="260" t="s">
        <v>91</v>
      </c>
      <c r="F10" s="9"/>
      <c r="H10" s="2"/>
    </row>
    <row r="11" spans="1:8" x14ac:dyDescent="0.2">
      <c r="A11" s="102" t="s">
        <v>11</v>
      </c>
      <c r="B11" s="278" t="s">
        <v>356</v>
      </c>
      <c r="C11" s="22" t="s">
        <v>366</v>
      </c>
      <c r="D11" s="260" t="s">
        <v>366</v>
      </c>
      <c r="F11" s="9"/>
      <c r="H11" s="2"/>
    </row>
    <row r="12" spans="1:8" x14ac:dyDescent="0.2">
      <c r="A12" s="102"/>
      <c r="B12" s="279"/>
      <c r="C12" s="22"/>
      <c r="D12" s="260"/>
      <c r="F12" s="9"/>
      <c r="H12" s="2"/>
    </row>
    <row r="13" spans="1:8" x14ac:dyDescent="0.2">
      <c r="A13" s="102" t="s">
        <v>13</v>
      </c>
      <c r="B13" s="278" t="s">
        <v>341</v>
      </c>
      <c r="C13" s="22">
        <v>6</v>
      </c>
      <c r="D13" s="260"/>
      <c r="F13" s="9"/>
      <c r="H13" s="2"/>
    </row>
    <row r="14" spans="1:8" x14ac:dyDescent="0.2">
      <c r="A14" s="102" t="s">
        <v>14</v>
      </c>
      <c r="B14" s="279"/>
      <c r="C14" s="22"/>
      <c r="D14" s="260"/>
      <c r="F14" s="9"/>
      <c r="H14" s="2"/>
    </row>
    <row r="15" spans="1:8" x14ac:dyDescent="0.2">
      <c r="A15" s="102" t="s">
        <v>16</v>
      </c>
      <c r="B15" s="279"/>
      <c r="C15" s="22"/>
      <c r="D15" s="260"/>
      <c r="F15" s="9"/>
      <c r="H15" s="2"/>
    </row>
    <row r="16" spans="1:8" x14ac:dyDescent="0.2">
      <c r="A16" s="102" t="s">
        <v>244</v>
      </c>
      <c r="B16" s="280" t="s">
        <v>245</v>
      </c>
      <c r="C16" s="22">
        <v>8</v>
      </c>
      <c r="D16" s="260" t="s">
        <v>18</v>
      </c>
      <c r="F16" s="9"/>
      <c r="H16" s="2"/>
    </row>
    <row r="17" spans="1:8" x14ac:dyDescent="0.2">
      <c r="A17" s="102" t="s">
        <v>19</v>
      </c>
      <c r="B17" s="281" t="s">
        <v>357</v>
      </c>
      <c r="C17" s="22">
        <v>10</v>
      </c>
      <c r="D17" s="261" t="s">
        <v>39</v>
      </c>
      <c r="F17" s="194"/>
      <c r="H17" s="2"/>
    </row>
    <row r="18" spans="1:8" x14ac:dyDescent="0.2">
      <c r="A18" s="102" t="s">
        <v>21</v>
      </c>
      <c r="B18" s="279"/>
      <c r="C18" s="22"/>
      <c r="D18" s="260"/>
      <c r="F18" s="9"/>
      <c r="H18" s="2"/>
    </row>
    <row r="19" spans="1:8" x14ac:dyDescent="0.2">
      <c r="A19" s="102" t="s">
        <v>24</v>
      </c>
      <c r="B19" s="279"/>
      <c r="C19" s="22"/>
      <c r="D19" s="260"/>
      <c r="F19" s="9"/>
      <c r="H19" s="2"/>
    </row>
    <row r="20" spans="1:8" x14ac:dyDescent="0.2">
      <c r="A20" s="102" t="s">
        <v>26</v>
      </c>
      <c r="B20" s="280" t="s">
        <v>27</v>
      </c>
      <c r="C20" s="22">
        <v>12</v>
      </c>
      <c r="D20" s="260" t="s">
        <v>30</v>
      </c>
      <c r="F20" s="9"/>
      <c r="H20" s="2"/>
    </row>
    <row r="21" spans="1:8" x14ac:dyDescent="0.2">
      <c r="A21" s="102" t="s">
        <v>28</v>
      </c>
      <c r="B21" s="278" t="s">
        <v>342</v>
      </c>
      <c r="C21" s="22">
        <v>4</v>
      </c>
      <c r="D21" s="261" t="s">
        <v>41</v>
      </c>
      <c r="F21" s="194"/>
      <c r="H21" s="2"/>
    </row>
    <row r="22" spans="1:8" x14ac:dyDescent="0.2">
      <c r="A22" s="102" t="s">
        <v>31</v>
      </c>
      <c r="B22" s="280" t="s">
        <v>32</v>
      </c>
      <c r="C22" s="22">
        <v>12</v>
      </c>
      <c r="D22" s="260" t="s">
        <v>7</v>
      </c>
      <c r="F22" s="9"/>
      <c r="H22" s="2"/>
    </row>
    <row r="23" spans="1:8" x14ac:dyDescent="0.2">
      <c r="A23" s="102" t="s">
        <v>33</v>
      </c>
      <c r="B23" s="279"/>
      <c r="C23" s="22"/>
      <c r="D23" s="260"/>
      <c r="F23" s="9"/>
      <c r="H23" s="2"/>
    </row>
    <row r="24" spans="1:8" x14ac:dyDescent="0.2">
      <c r="A24" s="102" t="s">
        <v>35</v>
      </c>
      <c r="B24" s="279"/>
      <c r="C24" s="22"/>
      <c r="D24" s="260"/>
      <c r="F24" s="9"/>
      <c r="H24" s="2"/>
    </row>
    <row r="25" spans="1:8" x14ac:dyDescent="0.2">
      <c r="A25" s="102" t="s">
        <v>37</v>
      </c>
      <c r="B25" s="280" t="s">
        <v>38</v>
      </c>
      <c r="C25" s="22">
        <v>21</v>
      </c>
      <c r="D25" s="261" t="s">
        <v>255</v>
      </c>
      <c r="F25" s="9"/>
      <c r="H25" s="2"/>
    </row>
    <row r="26" spans="1:8" x14ac:dyDescent="0.2">
      <c r="A26" s="172" t="s">
        <v>40</v>
      </c>
      <c r="B26" s="278" t="s">
        <v>343</v>
      </c>
      <c r="C26" s="22">
        <v>6</v>
      </c>
      <c r="D26" s="260" t="s">
        <v>7</v>
      </c>
      <c r="F26" s="9"/>
      <c r="H26" s="2"/>
    </row>
    <row r="27" spans="1:8" x14ac:dyDescent="0.2">
      <c r="A27" s="102" t="s">
        <v>42</v>
      </c>
      <c r="B27" s="280" t="s">
        <v>43</v>
      </c>
      <c r="C27" s="22">
        <v>4</v>
      </c>
      <c r="D27" s="260" t="s">
        <v>92</v>
      </c>
      <c r="F27" s="9"/>
      <c r="H27" s="2"/>
    </row>
    <row r="28" spans="1:8" x14ac:dyDescent="0.2">
      <c r="A28" s="102" t="s">
        <v>45</v>
      </c>
      <c r="B28" s="279"/>
      <c r="C28" s="22"/>
      <c r="D28" s="260"/>
      <c r="F28" s="9"/>
      <c r="H28" s="2"/>
    </row>
    <row r="29" spans="1:8" x14ac:dyDescent="0.2">
      <c r="A29" s="172" t="s">
        <v>247</v>
      </c>
      <c r="B29" s="276" t="s">
        <v>358</v>
      </c>
      <c r="C29" s="22">
        <v>5</v>
      </c>
      <c r="D29" s="261" t="s">
        <v>39</v>
      </c>
      <c r="F29" s="194"/>
      <c r="H29" s="2"/>
    </row>
    <row r="30" spans="1:8" x14ac:dyDescent="0.2">
      <c r="A30" s="172"/>
      <c r="B30" s="276" t="s">
        <v>359</v>
      </c>
      <c r="C30" s="22">
        <v>1</v>
      </c>
      <c r="D30" s="261" t="s">
        <v>39</v>
      </c>
      <c r="F30" s="194"/>
      <c r="H30" s="2"/>
    </row>
    <row r="31" spans="1:8" x14ac:dyDescent="0.2">
      <c r="A31" s="102" t="s">
        <v>46</v>
      </c>
      <c r="B31" s="280" t="s">
        <v>47</v>
      </c>
      <c r="C31" s="22">
        <v>1</v>
      </c>
      <c r="D31" s="260" t="s">
        <v>48</v>
      </c>
      <c r="F31" s="9"/>
      <c r="H31" s="2"/>
    </row>
    <row r="32" spans="1:8" x14ac:dyDescent="0.2">
      <c r="A32" s="102" t="s">
        <v>49</v>
      </c>
      <c r="B32" s="280" t="s">
        <v>50</v>
      </c>
      <c r="C32" s="22">
        <v>12</v>
      </c>
      <c r="D32" s="260" t="s">
        <v>92</v>
      </c>
      <c r="F32" s="194"/>
      <c r="H32" s="2"/>
    </row>
    <row r="33" spans="1:8" x14ac:dyDescent="0.2">
      <c r="A33" s="102" t="s">
        <v>51</v>
      </c>
      <c r="B33" s="280" t="s">
        <v>344</v>
      </c>
      <c r="C33" s="22">
        <v>1</v>
      </c>
      <c r="D33" s="261" t="s">
        <v>20</v>
      </c>
      <c r="F33" s="194"/>
      <c r="H33" s="2"/>
    </row>
    <row r="34" spans="1:8" x14ac:dyDescent="0.2">
      <c r="A34" s="102" t="s">
        <v>52</v>
      </c>
      <c r="B34" s="280" t="s">
        <v>53</v>
      </c>
      <c r="C34" s="22">
        <v>2</v>
      </c>
      <c r="D34" s="261" t="s">
        <v>248</v>
      </c>
      <c r="F34" s="194"/>
      <c r="H34" s="2"/>
    </row>
    <row r="35" spans="1:8" x14ac:dyDescent="0.2">
      <c r="A35" s="102" t="s">
        <v>54</v>
      </c>
      <c r="B35" s="278" t="s">
        <v>345</v>
      </c>
      <c r="C35" s="22">
        <v>2</v>
      </c>
      <c r="D35" s="260" t="s">
        <v>96</v>
      </c>
      <c r="F35" s="9"/>
      <c r="H35" s="2"/>
    </row>
    <row r="36" spans="1:8" x14ac:dyDescent="0.2">
      <c r="A36" s="102" t="s">
        <v>55</v>
      </c>
      <c r="B36" s="278" t="s">
        <v>355</v>
      </c>
      <c r="C36" s="22">
        <v>2</v>
      </c>
      <c r="D36" s="261" t="s">
        <v>248</v>
      </c>
      <c r="F36" s="9"/>
      <c r="H36" s="2"/>
    </row>
    <row r="37" spans="1:8" x14ac:dyDescent="0.2">
      <c r="A37" s="102" t="s">
        <v>59</v>
      </c>
      <c r="B37" s="278" t="s">
        <v>346</v>
      </c>
      <c r="C37" s="22">
        <v>11</v>
      </c>
      <c r="D37" s="260" t="s">
        <v>30</v>
      </c>
      <c r="F37" s="9"/>
      <c r="H37" s="2"/>
    </row>
    <row r="38" spans="1:8" x14ac:dyDescent="0.2">
      <c r="A38" s="102"/>
      <c r="B38" s="279"/>
      <c r="C38" s="22"/>
      <c r="D38" s="260"/>
      <c r="F38" s="9"/>
      <c r="H38" s="2"/>
    </row>
    <row r="39" spans="1:8" x14ac:dyDescent="0.2">
      <c r="A39" s="102" t="s">
        <v>226</v>
      </c>
      <c r="B39" s="278" t="s">
        <v>227</v>
      </c>
      <c r="C39" s="22">
        <v>1</v>
      </c>
      <c r="D39" s="260" t="s">
        <v>95</v>
      </c>
      <c r="F39" s="9"/>
      <c r="H39" s="2"/>
    </row>
    <row r="40" spans="1:8" x14ac:dyDescent="0.2">
      <c r="A40" s="102" t="s">
        <v>228</v>
      </c>
      <c r="B40" s="280" t="s">
        <v>229</v>
      </c>
      <c r="C40" s="22">
        <v>1</v>
      </c>
      <c r="D40" s="260" t="s">
        <v>255</v>
      </c>
      <c r="F40" s="9"/>
      <c r="H40" s="2"/>
    </row>
    <row r="41" spans="1:8" x14ac:dyDescent="0.2">
      <c r="A41" s="4"/>
      <c r="C41" s="2"/>
      <c r="D41" s="257"/>
    </row>
    <row r="42" spans="1:8" ht="13.5" thickBot="1" x14ac:dyDescent="0.25">
      <c r="A42" s="103"/>
      <c r="B42" s="282" t="s">
        <v>353</v>
      </c>
      <c r="C42" s="152">
        <f>SUM(C5:C41)</f>
        <v>141</v>
      </c>
      <c r="D42" s="262"/>
    </row>
    <row r="43" spans="1:8" x14ac:dyDescent="0.2">
      <c r="C43">
        <v>144</v>
      </c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251" t="s">
        <v>270</v>
      </c>
      <c r="B46" s="273"/>
      <c r="C46" s="209"/>
      <c r="D46" s="256"/>
    </row>
    <row r="47" spans="1:8" x14ac:dyDescent="0.2">
      <c r="A47" s="4"/>
      <c r="B47" s="274" t="str">
        <f>Issue</f>
        <v>2024 Show Season V1 7/22/2024</v>
      </c>
      <c r="C47" s="2"/>
      <c r="D47" s="257"/>
    </row>
    <row r="48" spans="1:8" ht="15.75" x14ac:dyDescent="0.25">
      <c r="A48" s="4"/>
      <c r="B48" s="283" t="str">
        <f>Season</f>
        <v>2022/2023</v>
      </c>
      <c r="C48" s="2" t="s">
        <v>60</v>
      </c>
      <c r="D48" s="263" t="s">
        <v>180</v>
      </c>
    </row>
    <row r="49" spans="1:8" x14ac:dyDescent="0.2">
      <c r="A49" s="6" t="s">
        <v>2</v>
      </c>
      <c r="B49" s="277" t="s">
        <v>3</v>
      </c>
      <c r="C49" s="10" t="s">
        <v>4</v>
      </c>
      <c r="D49" s="264" t="s">
        <v>181</v>
      </c>
    </row>
    <row r="50" spans="1:8" x14ac:dyDescent="0.2">
      <c r="A50" s="102"/>
      <c r="B50" s="280"/>
      <c r="C50" s="211"/>
      <c r="D50" s="174">
        <v>0</v>
      </c>
      <c r="H50" s="2"/>
    </row>
    <row r="51" spans="1:8" x14ac:dyDescent="0.2">
      <c r="A51" s="102"/>
      <c r="B51" s="280"/>
      <c r="C51" s="211"/>
      <c r="D51" s="174">
        <v>0</v>
      </c>
      <c r="H51" s="2"/>
    </row>
    <row r="52" spans="1:8" x14ac:dyDescent="0.2">
      <c r="A52" s="102" t="s">
        <v>58</v>
      </c>
      <c r="B52" s="280" t="s">
        <v>176</v>
      </c>
      <c r="C52" s="22">
        <v>5</v>
      </c>
      <c r="D52" s="213">
        <v>10</v>
      </c>
      <c r="H52" s="2"/>
    </row>
    <row r="53" spans="1:8" ht="15" x14ac:dyDescent="0.2">
      <c r="A53" s="102" t="s">
        <v>61</v>
      </c>
      <c r="B53" s="284" t="s">
        <v>364</v>
      </c>
      <c r="C53" s="22">
        <v>24</v>
      </c>
      <c r="D53" s="213">
        <v>0</v>
      </c>
    </row>
    <row r="54" spans="1:8" ht="15" x14ac:dyDescent="0.2">
      <c r="A54" s="102" t="s">
        <v>365</v>
      </c>
      <c r="B54" s="284" t="s">
        <v>363</v>
      </c>
      <c r="C54" s="22"/>
      <c r="D54" s="174">
        <v>0</v>
      </c>
    </row>
    <row r="55" spans="1:8" ht="15" x14ac:dyDescent="0.2">
      <c r="A55" s="102" t="s">
        <v>275</v>
      </c>
      <c r="B55" s="284" t="s">
        <v>367</v>
      </c>
      <c r="C55" s="22">
        <v>2</v>
      </c>
      <c r="D55" s="213">
        <v>0</v>
      </c>
    </row>
    <row r="56" spans="1:8" x14ac:dyDescent="0.2">
      <c r="A56" s="102" t="s">
        <v>119</v>
      </c>
      <c r="B56" s="280" t="s">
        <v>192</v>
      </c>
      <c r="C56" s="22">
        <v>3</v>
      </c>
      <c r="D56" s="174">
        <v>3</v>
      </c>
    </row>
    <row r="57" spans="1:8" x14ac:dyDescent="0.2">
      <c r="A57" s="102" t="s">
        <v>118</v>
      </c>
      <c r="B57" s="280" t="s">
        <v>193</v>
      </c>
      <c r="C57" s="22">
        <v>1</v>
      </c>
      <c r="D57" s="174">
        <v>1</v>
      </c>
    </row>
    <row r="58" spans="1:8" x14ac:dyDescent="0.2">
      <c r="A58" s="102" t="s">
        <v>120</v>
      </c>
      <c r="B58" s="280" t="s">
        <v>194</v>
      </c>
      <c r="C58" s="22">
        <v>3</v>
      </c>
      <c r="D58" s="174">
        <v>3</v>
      </c>
    </row>
    <row r="59" spans="1:8" x14ac:dyDescent="0.2">
      <c r="A59" s="102" t="s">
        <v>121</v>
      </c>
      <c r="B59" s="278" t="s">
        <v>195</v>
      </c>
      <c r="C59" s="22">
        <v>1</v>
      </c>
      <c r="D59" s="174">
        <v>1</v>
      </c>
    </row>
    <row r="60" spans="1:8" x14ac:dyDescent="0.2">
      <c r="A60" s="102" t="s">
        <v>146</v>
      </c>
      <c r="B60" s="280" t="s">
        <v>258</v>
      </c>
      <c r="C60" s="22">
        <v>7</v>
      </c>
      <c r="D60" s="174">
        <v>7</v>
      </c>
    </row>
    <row r="61" spans="1:8" x14ac:dyDescent="0.2">
      <c r="A61" s="102" t="s">
        <v>147</v>
      </c>
      <c r="B61" s="278" t="s">
        <v>266</v>
      </c>
      <c r="C61" s="22">
        <v>6</v>
      </c>
      <c r="D61" s="174">
        <v>6</v>
      </c>
    </row>
    <row r="62" spans="1:8" x14ac:dyDescent="0.2">
      <c r="A62" s="102" t="s">
        <v>62</v>
      </c>
      <c r="B62" s="280" t="s">
        <v>104</v>
      </c>
      <c r="C62" s="22">
        <v>7</v>
      </c>
      <c r="D62" s="174">
        <v>7</v>
      </c>
    </row>
    <row r="63" spans="1:8" x14ac:dyDescent="0.2">
      <c r="A63" s="102" t="s">
        <v>63</v>
      </c>
      <c r="B63" s="280" t="s">
        <v>116</v>
      </c>
      <c r="C63" s="22">
        <v>10</v>
      </c>
      <c r="D63" s="174">
        <v>10</v>
      </c>
    </row>
    <row r="64" spans="1:8" x14ac:dyDescent="0.2">
      <c r="A64" s="102" t="s">
        <v>64</v>
      </c>
      <c r="B64" s="280" t="s">
        <v>125</v>
      </c>
      <c r="C64" s="22">
        <v>7</v>
      </c>
      <c r="D64" s="174">
        <v>7</v>
      </c>
    </row>
    <row r="65" spans="1:4" x14ac:dyDescent="0.2">
      <c r="A65" s="102" t="s">
        <v>65</v>
      </c>
      <c r="B65" s="280" t="s">
        <v>182</v>
      </c>
      <c r="C65" s="22">
        <v>9</v>
      </c>
      <c r="D65" s="213">
        <v>0</v>
      </c>
    </row>
    <row r="66" spans="1:4" x14ac:dyDescent="0.2">
      <c r="A66" s="102" t="s">
        <v>66</v>
      </c>
      <c r="B66" s="280" t="s">
        <v>184</v>
      </c>
      <c r="C66" s="22">
        <v>10</v>
      </c>
      <c r="D66" s="174">
        <v>10</v>
      </c>
    </row>
    <row r="67" spans="1:4" x14ac:dyDescent="0.2">
      <c r="A67" s="102" t="s">
        <v>67</v>
      </c>
      <c r="B67" s="280" t="s">
        <v>185</v>
      </c>
      <c r="C67" s="22">
        <v>7</v>
      </c>
      <c r="D67" s="174">
        <v>7</v>
      </c>
    </row>
    <row r="68" spans="1:4" x14ac:dyDescent="0.2">
      <c r="A68" s="102" t="s">
        <v>68</v>
      </c>
      <c r="B68" s="280" t="s">
        <v>259</v>
      </c>
      <c r="C68" s="22">
        <v>22</v>
      </c>
      <c r="D68" s="174">
        <v>22</v>
      </c>
    </row>
    <row r="69" spans="1:4" x14ac:dyDescent="0.2">
      <c r="A69" s="102" t="s">
        <v>68</v>
      </c>
      <c r="B69" s="280" t="s">
        <v>260</v>
      </c>
      <c r="C69" s="22">
        <v>14</v>
      </c>
      <c r="D69" s="174">
        <v>14</v>
      </c>
    </row>
    <row r="70" spans="1:4" x14ac:dyDescent="0.2">
      <c r="A70" s="102" t="s">
        <v>263</v>
      </c>
      <c r="B70" s="280" t="s">
        <v>261</v>
      </c>
      <c r="C70" s="22">
        <v>22</v>
      </c>
      <c r="D70" s="174">
        <v>22</v>
      </c>
    </row>
    <row r="71" spans="1:4" x14ac:dyDescent="0.2">
      <c r="A71" s="102" t="s">
        <v>263</v>
      </c>
      <c r="B71" s="280" t="s">
        <v>262</v>
      </c>
      <c r="C71" s="22">
        <v>14</v>
      </c>
      <c r="D71" s="174">
        <v>14</v>
      </c>
    </row>
    <row r="72" spans="1:4" x14ac:dyDescent="0.2">
      <c r="A72" s="102" t="s">
        <v>69</v>
      </c>
      <c r="B72" s="280" t="s">
        <v>186</v>
      </c>
      <c r="C72" s="22">
        <v>7</v>
      </c>
      <c r="D72" s="174">
        <v>7</v>
      </c>
    </row>
    <row r="73" spans="1:4" x14ac:dyDescent="0.2">
      <c r="A73" s="102" t="s">
        <v>69</v>
      </c>
      <c r="B73" s="280" t="s">
        <v>187</v>
      </c>
      <c r="C73" s="22">
        <v>6</v>
      </c>
      <c r="D73" s="174">
        <v>6</v>
      </c>
    </row>
    <row r="74" spans="1:4" ht="15" x14ac:dyDescent="0.2">
      <c r="A74" s="102" t="s">
        <v>203</v>
      </c>
      <c r="B74" s="285" t="s">
        <v>361</v>
      </c>
      <c r="C74" s="22">
        <v>7</v>
      </c>
      <c r="D74" s="174">
        <v>7</v>
      </c>
    </row>
    <row r="75" spans="1:4" ht="15" x14ac:dyDescent="0.2">
      <c r="A75" s="102" t="s">
        <v>136</v>
      </c>
      <c r="B75" s="285" t="s">
        <v>360</v>
      </c>
      <c r="C75" s="22">
        <v>5</v>
      </c>
      <c r="D75" s="174">
        <v>5</v>
      </c>
    </row>
    <row r="76" spans="1:4" x14ac:dyDescent="0.2">
      <c r="A76" s="102" t="s">
        <v>70</v>
      </c>
      <c r="B76" s="280" t="s">
        <v>191</v>
      </c>
      <c r="C76" s="22">
        <v>7</v>
      </c>
      <c r="D76" s="174">
        <v>7</v>
      </c>
    </row>
    <row r="77" spans="1:4" x14ac:dyDescent="0.2">
      <c r="A77" s="102" t="s">
        <v>70</v>
      </c>
      <c r="B77" s="280" t="s">
        <v>190</v>
      </c>
      <c r="C77" s="22">
        <v>6</v>
      </c>
      <c r="D77" s="174">
        <v>6</v>
      </c>
    </row>
    <row r="78" spans="1:4" x14ac:dyDescent="0.2">
      <c r="A78" s="102" t="s">
        <v>290</v>
      </c>
      <c r="B78" s="280" t="s">
        <v>292</v>
      </c>
      <c r="C78" s="22">
        <v>7</v>
      </c>
      <c r="D78" s="174">
        <v>7</v>
      </c>
    </row>
    <row r="79" spans="1:4" x14ac:dyDescent="0.2">
      <c r="A79" s="102" t="s">
        <v>291</v>
      </c>
      <c r="B79" s="280" t="s">
        <v>293</v>
      </c>
      <c r="C79" s="22">
        <v>6</v>
      </c>
      <c r="D79" s="174">
        <v>6</v>
      </c>
    </row>
    <row r="80" spans="1:4" x14ac:dyDescent="0.2">
      <c r="A80" s="102" t="s">
        <v>122</v>
      </c>
      <c r="B80" s="280" t="s">
        <v>188</v>
      </c>
      <c r="C80" s="22">
        <v>3</v>
      </c>
      <c r="D80" s="174">
        <v>3</v>
      </c>
    </row>
    <row r="81" spans="1:7" x14ac:dyDescent="0.2">
      <c r="A81" s="102" t="s">
        <v>123</v>
      </c>
      <c r="B81" s="280" t="s">
        <v>189</v>
      </c>
      <c r="C81" s="22">
        <v>1</v>
      </c>
      <c r="D81" s="174">
        <v>1</v>
      </c>
    </row>
    <row r="82" spans="1:7" x14ac:dyDescent="0.2">
      <c r="A82" s="102" t="s">
        <v>277</v>
      </c>
      <c r="B82" s="280" t="s">
        <v>278</v>
      </c>
      <c r="C82" s="22">
        <v>9</v>
      </c>
      <c r="D82" s="174">
        <v>9</v>
      </c>
      <c r="G82" s="9"/>
    </row>
    <row r="83" spans="1:7" x14ac:dyDescent="0.2">
      <c r="A83" s="102" t="s">
        <v>264</v>
      </c>
      <c r="B83" s="280" t="s">
        <v>78</v>
      </c>
      <c r="C83" s="22">
        <v>2</v>
      </c>
      <c r="D83" s="174">
        <v>2</v>
      </c>
    </row>
    <row r="84" spans="1:7" ht="15" x14ac:dyDescent="0.2">
      <c r="A84" s="102" t="s">
        <v>265</v>
      </c>
      <c r="B84" s="285" t="s">
        <v>202</v>
      </c>
      <c r="C84" s="22">
        <v>6</v>
      </c>
      <c r="D84" s="174">
        <v>6</v>
      </c>
    </row>
    <row r="85" spans="1:7" x14ac:dyDescent="0.2">
      <c r="A85" s="8"/>
      <c r="C85" s="22"/>
      <c r="D85" s="263" t="s">
        <v>177</v>
      </c>
    </row>
    <row r="86" spans="1:7" x14ac:dyDescent="0.2">
      <c r="A86" s="102"/>
      <c r="B86" s="286" t="s">
        <v>72</v>
      </c>
      <c r="C86" s="151">
        <f>SUM(C49:C85)</f>
        <v>246</v>
      </c>
      <c r="D86" s="265">
        <f>SUM(D49:D85)</f>
        <v>216</v>
      </c>
    </row>
    <row r="87" spans="1:7" x14ac:dyDescent="0.2">
      <c r="A87" s="8"/>
      <c r="C87" s="26"/>
      <c r="D87" s="263"/>
    </row>
    <row r="88" spans="1:7" ht="13.5" thickBot="1" x14ac:dyDescent="0.25">
      <c r="A88" s="103"/>
      <c r="B88" s="282" t="s">
        <v>352</v>
      </c>
      <c r="C88" s="152">
        <f>C42+C86</f>
        <v>387</v>
      </c>
      <c r="D88" s="266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369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251" t="s">
        <v>271</v>
      </c>
      <c r="B96" s="287"/>
      <c r="C96" s="209"/>
      <c r="D96" s="256"/>
    </row>
    <row r="97" spans="1:4" ht="18" x14ac:dyDescent="0.25">
      <c r="A97" s="95"/>
      <c r="B97" s="274" t="str">
        <f>Issue</f>
        <v>2024 Show Season V1 7/22/2024</v>
      </c>
      <c r="C97" s="96"/>
      <c r="D97" s="257"/>
    </row>
    <row r="98" spans="1:4" ht="15.75" x14ac:dyDescent="0.25">
      <c r="A98" s="4"/>
      <c r="B98" s="283" t="str">
        <f>Season</f>
        <v>2022/2023</v>
      </c>
      <c r="C98" s="5" t="str">
        <f>C4</f>
        <v>Current</v>
      </c>
      <c r="D98" s="258" t="str">
        <f>D4</f>
        <v>RESPONSIBLE</v>
      </c>
    </row>
    <row r="99" spans="1:4" x14ac:dyDescent="0.2">
      <c r="A99" s="6" t="s">
        <v>2</v>
      </c>
      <c r="B99" s="277" t="s">
        <v>3</v>
      </c>
      <c r="C99" s="7" t="s">
        <v>4</v>
      </c>
      <c r="D99" s="259" t="s">
        <v>5</v>
      </c>
    </row>
    <row r="100" spans="1:4" x14ac:dyDescent="0.2">
      <c r="A100" s="102" t="s">
        <v>6</v>
      </c>
      <c r="B100" s="278" t="s">
        <v>336</v>
      </c>
      <c r="C100" s="22">
        <v>4</v>
      </c>
      <c r="D100" s="260" t="s">
        <v>162</v>
      </c>
    </row>
    <row r="101" spans="1:4" x14ac:dyDescent="0.2">
      <c r="A101" s="102" t="s">
        <v>8</v>
      </c>
      <c r="B101" s="278" t="s">
        <v>337</v>
      </c>
      <c r="C101" s="22">
        <v>2</v>
      </c>
      <c r="D101" s="261" t="s">
        <v>162</v>
      </c>
    </row>
    <row r="102" spans="1:4" x14ac:dyDescent="0.2">
      <c r="A102" s="102"/>
      <c r="B102" s="278" t="s">
        <v>338</v>
      </c>
      <c r="C102" s="22">
        <v>2</v>
      </c>
      <c r="D102" s="261" t="s">
        <v>162</v>
      </c>
    </row>
    <row r="103" spans="1:4" x14ac:dyDescent="0.2">
      <c r="A103" s="102" t="s">
        <v>9</v>
      </c>
      <c r="B103" s="278" t="s">
        <v>348</v>
      </c>
      <c r="C103" s="22">
        <v>9</v>
      </c>
      <c r="D103" s="260" t="s">
        <v>303</v>
      </c>
    </row>
    <row r="104" spans="1:4" x14ac:dyDescent="0.2">
      <c r="A104" s="102" t="s">
        <v>10</v>
      </c>
      <c r="B104" s="278" t="s">
        <v>339</v>
      </c>
      <c r="C104" s="22">
        <v>2</v>
      </c>
      <c r="D104" s="260" t="s">
        <v>91</v>
      </c>
    </row>
    <row r="105" spans="1:4" x14ac:dyDescent="0.2">
      <c r="A105" s="102" t="s">
        <v>11</v>
      </c>
      <c r="B105" s="278" t="s">
        <v>356</v>
      </c>
      <c r="C105" s="22" t="s">
        <v>366</v>
      </c>
      <c r="D105" s="260" t="s">
        <v>366</v>
      </c>
    </row>
    <row r="106" spans="1:4" x14ac:dyDescent="0.2">
      <c r="A106" s="102" t="s">
        <v>13</v>
      </c>
      <c r="B106" s="278" t="s">
        <v>341</v>
      </c>
      <c r="C106" s="22">
        <v>6</v>
      </c>
      <c r="D106" s="260" t="s">
        <v>12</v>
      </c>
    </row>
    <row r="107" spans="1:4" x14ac:dyDescent="0.2">
      <c r="A107" s="102"/>
      <c r="B107" s="280"/>
      <c r="C107" s="22"/>
      <c r="D107" s="261"/>
    </row>
    <row r="108" spans="1:4" x14ac:dyDescent="0.2">
      <c r="A108" s="102"/>
      <c r="B108" s="280"/>
      <c r="C108" s="22"/>
      <c r="D108" s="260"/>
    </row>
    <row r="109" spans="1:4" x14ac:dyDescent="0.2">
      <c r="A109" s="102" t="s">
        <v>244</v>
      </c>
      <c r="B109" s="278" t="s">
        <v>245</v>
      </c>
      <c r="C109" s="22">
        <v>8</v>
      </c>
      <c r="D109" s="260" t="s">
        <v>18</v>
      </c>
    </row>
    <row r="110" spans="1:4" x14ac:dyDescent="0.2">
      <c r="A110" s="102" t="s">
        <v>19</v>
      </c>
      <c r="B110" s="281" t="s">
        <v>357</v>
      </c>
      <c r="C110" s="22">
        <v>10</v>
      </c>
      <c r="D110" s="261" t="s">
        <v>39</v>
      </c>
    </row>
    <row r="111" spans="1:4" x14ac:dyDescent="0.2">
      <c r="A111" s="102"/>
      <c r="B111" s="280"/>
      <c r="C111" s="22"/>
      <c r="D111" s="260"/>
    </row>
    <row r="112" spans="1:4" x14ac:dyDescent="0.2">
      <c r="A112" s="102" t="s">
        <v>26</v>
      </c>
      <c r="B112" s="280" t="s">
        <v>27</v>
      </c>
      <c r="C112" s="22">
        <v>12</v>
      </c>
      <c r="D112" s="260" t="s">
        <v>30</v>
      </c>
    </row>
    <row r="113" spans="1:7" x14ac:dyDescent="0.2">
      <c r="A113" s="102" t="s">
        <v>28</v>
      </c>
      <c r="B113" s="280" t="s">
        <v>29</v>
      </c>
      <c r="C113" s="22">
        <v>4</v>
      </c>
      <c r="D113" s="261" t="s">
        <v>41</v>
      </c>
    </row>
    <row r="114" spans="1:7" x14ac:dyDescent="0.2">
      <c r="A114" s="102" t="s">
        <v>31</v>
      </c>
      <c r="B114" s="280" t="s">
        <v>32</v>
      </c>
      <c r="C114" s="22">
        <v>12</v>
      </c>
      <c r="D114" s="261" t="s">
        <v>41</v>
      </c>
    </row>
    <row r="115" spans="1:7" x14ac:dyDescent="0.2">
      <c r="A115" s="102"/>
      <c r="B115" s="280"/>
      <c r="C115" s="22"/>
      <c r="D115" s="261"/>
    </row>
    <row r="116" spans="1:7" x14ac:dyDescent="0.2">
      <c r="A116" s="102"/>
      <c r="B116" s="280"/>
      <c r="C116" s="22"/>
      <c r="D116" s="261"/>
    </row>
    <row r="117" spans="1:7" x14ac:dyDescent="0.2">
      <c r="A117" s="102" t="s">
        <v>37</v>
      </c>
      <c r="B117" s="280" t="s">
        <v>73</v>
      </c>
      <c r="C117" s="22">
        <v>3</v>
      </c>
      <c r="D117" s="261" t="s">
        <v>255</v>
      </c>
    </row>
    <row r="118" spans="1:7" x14ac:dyDescent="0.2">
      <c r="A118" s="102" t="s">
        <v>40</v>
      </c>
      <c r="B118" s="278" t="s">
        <v>343</v>
      </c>
      <c r="C118" s="22">
        <v>6</v>
      </c>
      <c r="D118" s="261" t="s">
        <v>30</v>
      </c>
    </row>
    <row r="119" spans="1:7" x14ac:dyDescent="0.2">
      <c r="A119" s="102" t="s">
        <v>42</v>
      </c>
      <c r="B119" s="280" t="s">
        <v>43</v>
      </c>
      <c r="C119" s="22">
        <v>4</v>
      </c>
      <c r="D119" s="261" t="s">
        <v>92</v>
      </c>
    </row>
    <row r="120" spans="1:7" x14ac:dyDescent="0.2">
      <c r="A120" s="102" t="s">
        <v>45</v>
      </c>
      <c r="B120" s="276" t="s">
        <v>359</v>
      </c>
      <c r="C120" s="22">
        <v>1</v>
      </c>
      <c r="D120" s="261" t="s">
        <v>39</v>
      </c>
    </row>
    <row r="121" spans="1:7" x14ac:dyDescent="0.2">
      <c r="A121" s="172" t="s">
        <v>247</v>
      </c>
      <c r="B121" s="276" t="s">
        <v>358</v>
      </c>
      <c r="C121" s="22">
        <v>5</v>
      </c>
      <c r="D121" s="261" t="s">
        <v>39</v>
      </c>
    </row>
    <row r="122" spans="1:7" x14ac:dyDescent="0.2">
      <c r="A122" s="102" t="s">
        <v>46</v>
      </c>
      <c r="B122" s="280" t="s">
        <v>47</v>
      </c>
      <c r="C122" s="22">
        <v>1</v>
      </c>
      <c r="D122" s="261" t="s">
        <v>48</v>
      </c>
      <c r="F122" s="22"/>
      <c r="G122" s="261"/>
    </row>
    <row r="123" spans="1:7" x14ac:dyDescent="0.2">
      <c r="A123" s="102" t="s">
        <v>49</v>
      </c>
      <c r="B123" s="280" t="s">
        <v>74</v>
      </c>
      <c r="C123" s="22">
        <v>12</v>
      </c>
      <c r="D123" s="261" t="s">
        <v>92</v>
      </c>
    </row>
    <row r="124" spans="1:7" x14ac:dyDescent="0.2">
      <c r="A124" s="102" t="s">
        <v>51</v>
      </c>
      <c r="B124" s="280" t="s">
        <v>344</v>
      </c>
      <c r="C124" s="22">
        <v>1</v>
      </c>
      <c r="D124" s="261" t="s">
        <v>20</v>
      </c>
    </row>
    <row r="125" spans="1:7" x14ac:dyDescent="0.2">
      <c r="A125" s="102" t="s">
        <v>52</v>
      </c>
      <c r="B125" s="280" t="s">
        <v>53</v>
      </c>
      <c r="C125" s="22">
        <v>2</v>
      </c>
      <c r="D125" s="261" t="s">
        <v>248</v>
      </c>
    </row>
    <row r="126" spans="1:7" x14ac:dyDescent="0.2">
      <c r="A126" s="102" t="s">
        <v>54</v>
      </c>
      <c r="B126" s="278" t="s">
        <v>345</v>
      </c>
      <c r="C126" s="22">
        <v>2</v>
      </c>
      <c r="D126" s="260" t="s">
        <v>96</v>
      </c>
    </row>
    <row r="127" spans="1:7" x14ac:dyDescent="0.2">
      <c r="A127" s="102" t="s">
        <v>55</v>
      </c>
      <c r="B127" s="278" t="s">
        <v>355</v>
      </c>
      <c r="C127" s="22">
        <v>2</v>
      </c>
      <c r="D127" s="260" t="s">
        <v>248</v>
      </c>
    </row>
    <row r="128" spans="1:7" x14ac:dyDescent="0.2">
      <c r="A128" s="102" t="s">
        <v>59</v>
      </c>
      <c r="B128" s="278" t="s">
        <v>346</v>
      </c>
      <c r="C128" s="22">
        <v>11</v>
      </c>
      <c r="D128" s="260" t="s">
        <v>30</v>
      </c>
    </row>
    <row r="129" spans="1:4" x14ac:dyDescent="0.2">
      <c r="A129" s="102"/>
      <c r="B129" s="280"/>
      <c r="C129" s="27"/>
      <c r="D129" s="260"/>
    </row>
    <row r="130" spans="1:4" x14ac:dyDescent="0.2">
      <c r="A130" s="102" t="s">
        <v>226</v>
      </c>
      <c r="B130" s="280" t="s">
        <v>227</v>
      </c>
      <c r="C130" s="22">
        <v>1</v>
      </c>
      <c r="D130" s="260" t="s">
        <v>95</v>
      </c>
    </row>
    <row r="131" spans="1:4" x14ac:dyDescent="0.2">
      <c r="A131" s="102" t="s">
        <v>228</v>
      </c>
      <c r="B131" s="280" t="s">
        <v>229</v>
      </c>
      <c r="C131" s="22">
        <v>1</v>
      </c>
      <c r="D131" s="260" t="s">
        <v>255</v>
      </c>
    </row>
    <row r="132" spans="1:4" x14ac:dyDescent="0.2">
      <c r="A132" s="171"/>
      <c r="C132" s="2"/>
      <c r="D132" s="257"/>
    </row>
    <row r="133" spans="1:4" ht="13.5" thickBot="1" x14ac:dyDescent="0.25">
      <c r="A133" s="105"/>
      <c r="B133" s="288" t="s">
        <v>75</v>
      </c>
      <c r="C133" s="152">
        <f>SUM(C99:C132)</f>
        <v>123</v>
      </c>
      <c r="D133" s="262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251" t="s">
        <v>272</v>
      </c>
      <c r="B137" s="273"/>
      <c r="C137" s="209"/>
      <c r="D137" s="256"/>
    </row>
    <row r="138" spans="1:4" x14ac:dyDescent="0.2">
      <c r="A138" s="8"/>
      <c r="B138" s="274" t="str">
        <f>Issue</f>
        <v>2024 Show Season V1 7/22/2024</v>
      </c>
      <c r="C138" s="2"/>
      <c r="D138" s="257"/>
    </row>
    <row r="139" spans="1:4" ht="15.75" x14ac:dyDescent="0.25">
      <c r="A139" s="12"/>
      <c r="B139" s="283" t="str">
        <f>Season</f>
        <v>2022/2023</v>
      </c>
      <c r="C139" s="2"/>
      <c r="D139" s="257"/>
    </row>
    <row r="140" spans="1:4" x14ac:dyDescent="0.2">
      <c r="A140" s="12"/>
      <c r="C140" s="2" t="s">
        <v>60</v>
      </c>
      <c r="D140" s="263" t="s">
        <v>180</v>
      </c>
    </row>
    <row r="141" spans="1:4" x14ac:dyDescent="0.2">
      <c r="A141" s="6" t="s">
        <v>2</v>
      </c>
      <c r="B141" s="277" t="s">
        <v>3</v>
      </c>
      <c r="C141" s="10" t="s">
        <v>4</v>
      </c>
      <c r="D141" s="264" t="s">
        <v>181</v>
      </c>
    </row>
    <row r="142" spans="1:4" x14ac:dyDescent="0.2">
      <c r="A142" s="193" t="s">
        <v>58</v>
      </c>
      <c r="B142" s="280" t="s">
        <v>176</v>
      </c>
      <c r="C142" s="22">
        <v>5</v>
      </c>
      <c r="D142" s="213">
        <v>10</v>
      </c>
    </row>
    <row r="143" spans="1:4" ht="15" x14ac:dyDescent="0.2">
      <c r="A143" s="25" t="s">
        <v>61</v>
      </c>
      <c r="B143" s="284" t="s">
        <v>364</v>
      </c>
      <c r="C143" s="22">
        <v>6</v>
      </c>
      <c r="D143" s="174">
        <v>6</v>
      </c>
    </row>
    <row r="144" spans="1:4" ht="15" x14ac:dyDescent="0.2">
      <c r="A144" s="25" t="s">
        <v>275</v>
      </c>
      <c r="B144" s="284" t="s">
        <v>363</v>
      </c>
      <c r="C144" s="22">
        <v>18</v>
      </c>
      <c r="D144" s="174">
        <v>18</v>
      </c>
    </row>
    <row r="145" spans="1:4" ht="15" x14ac:dyDescent="0.2">
      <c r="A145" s="25" t="s">
        <v>365</v>
      </c>
      <c r="B145" s="284" t="s">
        <v>362</v>
      </c>
      <c r="C145" s="22"/>
      <c r="D145" s="174">
        <v>0</v>
      </c>
    </row>
    <row r="146" spans="1:4" x14ac:dyDescent="0.2">
      <c r="A146" s="25" t="s">
        <v>119</v>
      </c>
      <c r="B146" s="280" t="s">
        <v>192</v>
      </c>
      <c r="C146" s="22">
        <v>3</v>
      </c>
      <c r="D146" s="174">
        <v>3</v>
      </c>
    </row>
    <row r="147" spans="1:4" x14ac:dyDescent="0.2">
      <c r="A147" s="25" t="s">
        <v>118</v>
      </c>
      <c r="B147" s="280" t="s">
        <v>193</v>
      </c>
      <c r="C147" s="22">
        <v>1</v>
      </c>
      <c r="D147" s="174">
        <v>1</v>
      </c>
    </row>
    <row r="148" spans="1:4" x14ac:dyDescent="0.2">
      <c r="A148" s="25" t="s">
        <v>120</v>
      </c>
      <c r="B148" s="280" t="s">
        <v>194</v>
      </c>
      <c r="C148" s="22">
        <v>3</v>
      </c>
      <c r="D148" s="174">
        <v>3</v>
      </c>
    </row>
    <row r="149" spans="1:4" x14ac:dyDescent="0.2">
      <c r="A149" s="25" t="s">
        <v>121</v>
      </c>
      <c r="B149" s="280" t="s">
        <v>195</v>
      </c>
      <c r="C149" s="22">
        <v>1</v>
      </c>
      <c r="D149" s="174">
        <v>1</v>
      </c>
    </row>
    <row r="150" spans="1:4" x14ac:dyDescent="0.2">
      <c r="A150" s="25" t="s">
        <v>146</v>
      </c>
      <c r="B150" s="280" t="s">
        <v>196</v>
      </c>
      <c r="C150" s="22">
        <v>7</v>
      </c>
      <c r="D150" s="174">
        <v>7</v>
      </c>
    </row>
    <row r="151" spans="1:4" x14ac:dyDescent="0.2">
      <c r="A151" s="25" t="s">
        <v>147</v>
      </c>
      <c r="B151" s="280" t="s">
        <v>197</v>
      </c>
      <c r="C151" s="22">
        <v>6</v>
      </c>
      <c r="D151" s="174">
        <v>6</v>
      </c>
    </row>
    <row r="152" spans="1:4" x14ac:dyDescent="0.2">
      <c r="A152" s="25" t="s">
        <v>62</v>
      </c>
      <c r="B152" s="280" t="s">
        <v>104</v>
      </c>
      <c r="C152" s="22">
        <v>7</v>
      </c>
      <c r="D152" s="174">
        <v>7</v>
      </c>
    </row>
    <row r="153" spans="1:4" x14ac:dyDescent="0.2">
      <c r="A153" s="25" t="s">
        <v>63</v>
      </c>
      <c r="B153" s="280" t="s">
        <v>116</v>
      </c>
      <c r="C153" s="22">
        <v>10</v>
      </c>
      <c r="D153" s="174">
        <v>10</v>
      </c>
    </row>
    <row r="154" spans="1:4" x14ac:dyDescent="0.2">
      <c r="A154" s="25" t="s">
        <v>64</v>
      </c>
      <c r="B154" s="280" t="s">
        <v>125</v>
      </c>
      <c r="C154" s="22">
        <v>7</v>
      </c>
      <c r="D154" s="174">
        <v>7</v>
      </c>
    </row>
    <row r="155" spans="1:4" x14ac:dyDescent="0.2">
      <c r="A155" s="25" t="s">
        <v>65</v>
      </c>
      <c r="B155" s="280" t="s">
        <v>182</v>
      </c>
      <c r="C155" s="22">
        <v>9</v>
      </c>
      <c r="D155" s="174">
        <v>9</v>
      </c>
    </row>
    <row r="156" spans="1:4" x14ac:dyDescent="0.2">
      <c r="A156" s="25" t="s">
        <v>66</v>
      </c>
      <c r="B156" s="280" t="s">
        <v>184</v>
      </c>
      <c r="C156" s="22">
        <v>10</v>
      </c>
      <c r="D156" s="174">
        <v>10</v>
      </c>
    </row>
    <row r="157" spans="1:4" x14ac:dyDescent="0.2">
      <c r="A157" s="25" t="s">
        <v>67</v>
      </c>
      <c r="B157" s="280" t="s">
        <v>185</v>
      </c>
      <c r="C157" s="22">
        <v>7</v>
      </c>
      <c r="D157" s="174">
        <v>7</v>
      </c>
    </row>
    <row r="158" spans="1:4" x14ac:dyDescent="0.2">
      <c r="A158" s="25" t="s">
        <v>76</v>
      </c>
      <c r="B158" s="280" t="s">
        <v>198</v>
      </c>
      <c r="C158" s="22">
        <v>22</v>
      </c>
      <c r="D158" s="174">
        <v>22</v>
      </c>
    </row>
    <row r="159" spans="1:4" x14ac:dyDescent="0.2">
      <c r="A159" s="25" t="s">
        <v>76</v>
      </c>
      <c r="B159" s="280" t="s">
        <v>199</v>
      </c>
      <c r="C159" s="22">
        <v>14</v>
      </c>
      <c r="D159" s="174">
        <v>14</v>
      </c>
    </row>
    <row r="160" spans="1:4" x14ac:dyDescent="0.2">
      <c r="A160" s="25" t="s">
        <v>77</v>
      </c>
      <c r="B160" s="280" t="s">
        <v>200</v>
      </c>
      <c r="C160" s="22">
        <v>22</v>
      </c>
      <c r="D160" s="174">
        <v>22</v>
      </c>
    </row>
    <row r="161" spans="1:4" x14ac:dyDescent="0.2">
      <c r="A161" s="25" t="s">
        <v>77</v>
      </c>
      <c r="B161" s="280" t="s">
        <v>201</v>
      </c>
      <c r="C161" s="22">
        <v>14</v>
      </c>
      <c r="D161" s="174">
        <v>14</v>
      </c>
    </row>
    <row r="162" spans="1:4" x14ac:dyDescent="0.2">
      <c r="A162" s="25" t="s">
        <v>133</v>
      </c>
      <c r="B162" s="280" t="s">
        <v>186</v>
      </c>
      <c r="C162" s="22">
        <v>7</v>
      </c>
      <c r="D162" s="174">
        <v>7</v>
      </c>
    </row>
    <row r="163" spans="1:4" x14ac:dyDescent="0.2">
      <c r="A163" s="25" t="s">
        <v>134</v>
      </c>
      <c r="B163" s="280" t="s">
        <v>187</v>
      </c>
      <c r="C163" s="22">
        <v>6</v>
      </c>
      <c r="D163" s="174">
        <v>6</v>
      </c>
    </row>
    <row r="164" spans="1:4" x14ac:dyDescent="0.2">
      <c r="A164" s="25" t="s">
        <v>203</v>
      </c>
      <c r="B164" s="280" t="s">
        <v>361</v>
      </c>
      <c r="C164" s="22">
        <v>7</v>
      </c>
      <c r="D164" s="174">
        <v>7</v>
      </c>
    </row>
    <row r="165" spans="1:4" x14ac:dyDescent="0.2">
      <c r="A165" s="25" t="s">
        <v>136</v>
      </c>
      <c r="B165" s="280" t="s">
        <v>360</v>
      </c>
      <c r="C165" s="22">
        <v>5</v>
      </c>
      <c r="D165" s="174">
        <v>5</v>
      </c>
    </row>
    <row r="166" spans="1:4" x14ac:dyDescent="0.2">
      <c r="A166" s="25" t="s">
        <v>70</v>
      </c>
      <c r="B166" s="280" t="s">
        <v>191</v>
      </c>
      <c r="C166" s="22">
        <v>7</v>
      </c>
      <c r="D166" s="174">
        <v>7</v>
      </c>
    </row>
    <row r="167" spans="1:4" x14ac:dyDescent="0.2">
      <c r="A167" s="25" t="s">
        <v>70</v>
      </c>
      <c r="B167" s="280" t="s">
        <v>190</v>
      </c>
      <c r="C167" s="22">
        <v>6</v>
      </c>
      <c r="D167" s="174">
        <v>6</v>
      </c>
    </row>
    <row r="168" spans="1:4" x14ac:dyDescent="0.2">
      <c r="A168" s="25" t="s">
        <v>290</v>
      </c>
      <c r="B168" s="280" t="s">
        <v>292</v>
      </c>
      <c r="C168" s="22">
        <v>7</v>
      </c>
      <c r="D168" s="174">
        <v>7</v>
      </c>
    </row>
    <row r="169" spans="1:4" x14ac:dyDescent="0.2">
      <c r="A169" s="25" t="s">
        <v>291</v>
      </c>
      <c r="B169" s="278" t="s">
        <v>293</v>
      </c>
      <c r="C169" s="22">
        <v>6</v>
      </c>
      <c r="D169" s="174">
        <v>6</v>
      </c>
    </row>
    <row r="170" spans="1:4" x14ac:dyDescent="0.2">
      <c r="A170" s="25" t="s">
        <v>137</v>
      </c>
      <c r="B170" s="280" t="s">
        <v>188</v>
      </c>
      <c r="C170" s="22">
        <v>3</v>
      </c>
      <c r="D170" s="174">
        <v>3</v>
      </c>
    </row>
    <row r="171" spans="1:4" x14ac:dyDescent="0.2">
      <c r="A171" s="25" t="s">
        <v>138</v>
      </c>
      <c r="B171" s="280" t="s">
        <v>189</v>
      </c>
      <c r="C171" s="22">
        <v>1</v>
      </c>
      <c r="D171" s="174">
        <v>1</v>
      </c>
    </row>
    <row r="172" spans="1:4" x14ac:dyDescent="0.2">
      <c r="A172" s="25" t="s">
        <v>277</v>
      </c>
      <c r="B172" s="280" t="s">
        <v>278</v>
      </c>
      <c r="C172" s="22">
        <v>9</v>
      </c>
      <c r="D172" s="213">
        <v>0</v>
      </c>
    </row>
    <row r="173" spans="1:4" x14ac:dyDescent="0.2">
      <c r="A173" s="25" t="s">
        <v>71</v>
      </c>
      <c r="B173" s="280" t="s">
        <v>78</v>
      </c>
      <c r="C173" s="22">
        <v>2</v>
      </c>
      <c r="D173" s="174">
        <v>2</v>
      </c>
    </row>
    <row r="174" spans="1:4" x14ac:dyDescent="0.2">
      <c r="A174" s="25" t="s">
        <v>95</v>
      </c>
      <c r="B174" s="280" t="s">
        <v>202</v>
      </c>
      <c r="C174" s="22">
        <v>6</v>
      </c>
      <c r="D174" s="174">
        <v>6</v>
      </c>
    </row>
    <row r="175" spans="1:4" x14ac:dyDescent="0.2">
      <c r="A175" s="106"/>
      <c r="C175" s="2"/>
      <c r="D175" s="267" t="s">
        <v>177</v>
      </c>
    </row>
    <row r="176" spans="1:4" x14ac:dyDescent="0.2">
      <c r="A176" s="102"/>
      <c r="B176" s="286" t="s">
        <v>72</v>
      </c>
      <c r="C176" s="151">
        <f>SUM(C141:C175)</f>
        <v>244</v>
      </c>
      <c r="D176" s="265">
        <f>SUM(D141:D175)</f>
        <v>240</v>
      </c>
    </row>
    <row r="177" spans="1:4" x14ac:dyDescent="0.2">
      <c r="A177" s="4"/>
      <c r="C177" s="2"/>
      <c r="D177" s="263"/>
    </row>
    <row r="178" spans="1:4" x14ac:dyDescent="0.2">
      <c r="A178" s="25"/>
      <c r="B178" s="289" t="s">
        <v>80</v>
      </c>
      <c r="C178" s="151">
        <f>C133+C176</f>
        <v>367</v>
      </c>
      <c r="D178" s="265"/>
    </row>
    <row r="179" spans="1:4" x14ac:dyDescent="0.2">
      <c r="A179" s="4"/>
      <c r="C179" s="2"/>
      <c r="D179" s="263"/>
    </row>
    <row r="180" spans="1:4" ht="13.5" thickBot="1" x14ac:dyDescent="0.25">
      <c r="A180" s="103"/>
      <c r="B180" s="290" t="s">
        <v>135</v>
      </c>
      <c r="C180" s="152">
        <f>C88+C178</f>
        <v>754</v>
      </c>
      <c r="D180" s="266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2"/>
  <sheetViews>
    <sheetView workbookViewId="0"/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62" t="s">
        <v>267</v>
      </c>
      <c r="B1" s="62"/>
      <c r="C1" s="62"/>
      <c r="D1" s="62"/>
      <c r="E1" s="62"/>
      <c r="F1" s="62"/>
      <c r="G1" s="63"/>
      <c r="H1" s="64"/>
      <c r="I1" s="64"/>
      <c r="J1" s="64"/>
      <c r="K1" s="64"/>
      <c r="L1" s="64"/>
      <c r="M1" s="64" t="s">
        <v>222</v>
      </c>
      <c r="N1" s="61" t="str">
        <f>Issue</f>
        <v>2024 Show Season V1 7/22/2024</v>
      </c>
      <c r="O1" s="61"/>
      <c r="P1" s="61"/>
      <c r="Q1" s="61"/>
      <c r="R1" s="63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62" t="s">
        <v>268</v>
      </c>
      <c r="B2" s="62"/>
      <c r="C2" s="62"/>
      <c r="D2" s="62"/>
      <c r="E2" s="62"/>
      <c r="F2" s="62"/>
      <c r="G2" s="63"/>
      <c r="H2" s="65"/>
      <c r="I2" s="66"/>
      <c r="J2" s="65"/>
      <c r="K2" s="65"/>
      <c r="L2" s="65"/>
      <c r="M2" s="65"/>
      <c r="N2" s="61"/>
      <c r="O2" s="61"/>
      <c r="P2" s="61"/>
      <c r="Q2" s="61"/>
      <c r="R2" s="6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9" t="s">
        <v>296</v>
      </c>
      <c r="B3" s="190"/>
      <c r="C3" s="190"/>
      <c r="D3" s="190"/>
      <c r="E3" s="190"/>
      <c r="F3" s="190"/>
      <c r="G3" s="63"/>
      <c r="H3" s="65"/>
      <c r="I3" s="66"/>
      <c r="J3" s="149" t="s">
        <v>139</v>
      </c>
      <c r="K3" s="68"/>
      <c r="L3" s="67"/>
      <c r="M3" s="67"/>
      <c r="N3" s="61"/>
      <c r="O3" s="61"/>
      <c r="P3" s="61"/>
      <c r="Q3" s="61"/>
      <c r="R3" s="63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64"/>
      <c r="B4" s="64"/>
      <c r="C4" s="64"/>
      <c r="D4" s="64"/>
      <c r="E4" s="64"/>
      <c r="F4" s="64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3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52" t="str">
        <f>A3</f>
        <v>Friday 9/29/2023</v>
      </c>
      <c r="B5" s="189" t="s">
        <v>106</v>
      </c>
      <c r="C5" s="189" t="s">
        <v>107</v>
      </c>
      <c r="D5" s="195" t="s">
        <v>108</v>
      </c>
      <c r="E5" s="189" t="s">
        <v>109</v>
      </c>
      <c r="F5" s="189" t="s">
        <v>110</v>
      </c>
      <c r="G5" s="53" t="s">
        <v>111</v>
      </c>
      <c r="H5" s="53" t="s">
        <v>112</v>
      </c>
      <c r="I5" s="53" t="s">
        <v>113</v>
      </c>
      <c r="J5" s="53" t="s">
        <v>114</v>
      </c>
      <c r="K5" s="53" t="s">
        <v>115</v>
      </c>
      <c r="L5" s="53" t="s">
        <v>124</v>
      </c>
      <c r="M5" s="53" t="s">
        <v>148</v>
      </c>
      <c r="N5" s="53" t="s">
        <v>106</v>
      </c>
      <c r="O5" s="53" t="s">
        <v>107</v>
      </c>
      <c r="P5" s="53" t="s">
        <v>108</v>
      </c>
      <c r="Q5" s="53" t="s">
        <v>149</v>
      </c>
      <c r="R5" s="63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54" t="s">
        <v>176</v>
      </c>
      <c r="B6" s="38" t="s">
        <v>41</v>
      </c>
      <c r="C6" s="38" t="s">
        <v>41</v>
      </c>
      <c r="D6" s="38" t="s">
        <v>41</v>
      </c>
      <c r="E6" s="38" t="s">
        <v>41</v>
      </c>
      <c r="F6" s="38" t="s">
        <v>41</v>
      </c>
      <c r="G6" s="38" t="s">
        <v>41</v>
      </c>
      <c r="H6" s="38" t="s">
        <v>41</v>
      </c>
      <c r="I6" s="38" t="s">
        <v>41</v>
      </c>
      <c r="J6" s="38" t="s">
        <v>41</v>
      </c>
      <c r="K6" s="38" t="s">
        <v>41</v>
      </c>
      <c r="L6" s="34"/>
      <c r="M6" s="34"/>
      <c r="N6" s="34"/>
      <c r="O6" s="34"/>
      <c r="P6" s="34"/>
      <c r="Q6" s="154"/>
      <c r="R6" s="150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55" t="s">
        <v>278</v>
      </c>
      <c r="B7" s="55"/>
      <c r="C7" s="55"/>
      <c r="D7" s="173" t="s">
        <v>23</v>
      </c>
      <c r="E7" s="198" t="s">
        <v>23</v>
      </c>
      <c r="F7" s="198" t="s">
        <v>23</v>
      </c>
      <c r="G7" s="198" t="s">
        <v>23</v>
      </c>
      <c r="H7" s="198" t="s">
        <v>23</v>
      </c>
      <c r="I7" s="198" t="s">
        <v>23</v>
      </c>
      <c r="J7" s="198" t="s">
        <v>23</v>
      </c>
      <c r="K7" s="198" t="s">
        <v>23</v>
      </c>
      <c r="L7" s="173" t="s">
        <v>23</v>
      </c>
      <c r="M7" s="173"/>
      <c r="N7" s="34"/>
      <c r="O7" s="34"/>
      <c r="P7" s="34"/>
      <c r="Q7" s="154"/>
      <c r="R7" s="63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55" t="s">
        <v>347</v>
      </c>
      <c r="B8" s="55"/>
      <c r="C8" s="55"/>
      <c r="D8" s="55"/>
      <c r="E8" s="173" t="s">
        <v>44</v>
      </c>
      <c r="F8" s="173" t="s">
        <v>44</v>
      </c>
      <c r="G8" s="198" t="s">
        <v>96</v>
      </c>
      <c r="H8" s="198" t="s">
        <v>96</v>
      </c>
      <c r="I8" s="198" t="s">
        <v>95</v>
      </c>
      <c r="J8" s="198" t="s">
        <v>94</v>
      </c>
      <c r="K8" s="198" t="s">
        <v>94</v>
      </c>
      <c r="L8" s="198" t="s">
        <v>94</v>
      </c>
      <c r="M8" s="173" t="s">
        <v>85</v>
      </c>
      <c r="N8" s="34"/>
      <c r="O8" s="34"/>
      <c r="P8" s="34"/>
      <c r="Q8" s="154"/>
      <c r="R8" s="63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55" t="s">
        <v>347</v>
      </c>
      <c r="B9" s="55"/>
      <c r="C9" s="55"/>
      <c r="D9" s="55"/>
      <c r="E9" s="245" t="s">
        <v>303</v>
      </c>
      <c r="F9" s="245" t="s">
        <v>303</v>
      </c>
      <c r="G9" s="198" t="s">
        <v>48</v>
      </c>
      <c r="H9" s="198" t="s">
        <v>48</v>
      </c>
      <c r="I9" s="252" t="s">
        <v>18</v>
      </c>
      <c r="J9" s="252" t="s">
        <v>18</v>
      </c>
      <c r="K9" s="198" t="s">
        <v>85</v>
      </c>
      <c r="L9" s="173" t="s">
        <v>20</v>
      </c>
      <c r="M9" s="212" t="s">
        <v>44</v>
      </c>
      <c r="N9" s="34"/>
      <c r="O9" s="34"/>
      <c r="P9" s="34"/>
      <c r="Q9" s="154"/>
      <c r="R9" s="63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6" t="s">
        <v>104</v>
      </c>
      <c r="B10" s="187"/>
      <c r="C10" s="187"/>
      <c r="D10" s="187"/>
      <c r="E10" s="187"/>
      <c r="F10" s="187"/>
      <c r="G10" s="32"/>
      <c r="H10" s="32"/>
      <c r="I10" s="37" t="s">
        <v>91</v>
      </c>
      <c r="J10" s="37" t="s">
        <v>91</v>
      </c>
      <c r="K10" s="37" t="s">
        <v>91</v>
      </c>
      <c r="L10" s="37" t="s">
        <v>91</v>
      </c>
      <c r="M10" s="37" t="s">
        <v>91</v>
      </c>
      <c r="N10" s="199" t="s">
        <v>91</v>
      </c>
      <c r="O10" s="199" t="s">
        <v>91</v>
      </c>
      <c r="P10" s="185"/>
      <c r="Q10" s="155"/>
      <c r="R10" s="6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6" t="s">
        <v>182</v>
      </c>
      <c r="B11" s="187"/>
      <c r="C11" s="187"/>
      <c r="D11" s="187"/>
      <c r="E11" s="187"/>
      <c r="F11" s="187"/>
      <c r="G11" s="200" t="s">
        <v>44</v>
      </c>
      <c r="H11" s="200" t="s">
        <v>44</v>
      </c>
      <c r="I11" s="37" t="s">
        <v>44</v>
      </c>
      <c r="J11" s="37" t="s">
        <v>44</v>
      </c>
      <c r="K11" s="37" t="s">
        <v>48</v>
      </c>
      <c r="L11" s="37" t="s">
        <v>48</v>
      </c>
      <c r="M11" s="37" t="s">
        <v>48</v>
      </c>
      <c r="N11" s="38" t="s">
        <v>48</v>
      </c>
      <c r="O11" s="38" t="s">
        <v>48</v>
      </c>
      <c r="P11" s="184"/>
      <c r="Q11" s="155"/>
      <c r="R11" s="63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/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62" t="s">
        <v>267</v>
      </c>
      <c r="B1" s="63"/>
      <c r="C1" s="62"/>
      <c r="D1" s="62"/>
      <c r="E1" s="62"/>
      <c r="F1" s="62"/>
      <c r="G1" s="62"/>
      <c r="H1" s="62" t="s">
        <v>222</v>
      </c>
      <c r="I1" s="61" t="str">
        <f>Issue</f>
        <v>2024 Show Season V1 7/22/2024</v>
      </c>
      <c r="J1" s="61"/>
      <c r="K1" s="61"/>
      <c r="L1" s="61"/>
      <c r="M1" s="63"/>
    </row>
    <row r="2" spans="1:43" ht="15.75" x14ac:dyDescent="0.25">
      <c r="A2" s="62" t="s">
        <v>268</v>
      </c>
      <c r="B2" s="65"/>
      <c r="C2" s="61"/>
      <c r="D2" s="61"/>
      <c r="E2" s="61"/>
      <c r="F2" s="61"/>
      <c r="G2" s="61"/>
      <c r="H2" s="61"/>
      <c r="I2" s="61"/>
      <c r="J2" s="61"/>
      <c r="K2" s="61"/>
      <c r="L2" s="61"/>
      <c r="M2" s="6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9" t="s">
        <v>297</v>
      </c>
      <c r="B3" s="61"/>
      <c r="C3" s="61"/>
      <c r="D3" s="61"/>
      <c r="E3" s="149" t="s">
        <v>140</v>
      </c>
      <c r="F3" s="67"/>
      <c r="G3" s="67"/>
      <c r="H3" s="61"/>
      <c r="I3" s="61"/>
      <c r="J3" s="61"/>
      <c r="K3" s="61"/>
      <c r="L3" s="61"/>
      <c r="M3" s="63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61"/>
      <c r="C4" s="61"/>
      <c r="D4" s="61"/>
      <c r="E4" s="61"/>
      <c r="F4" s="61"/>
      <c r="G4" s="61"/>
      <c r="H4" s="61"/>
      <c r="I4" s="61"/>
      <c r="J4" s="61"/>
      <c r="K4" s="61"/>
      <c r="L4" s="72"/>
      <c r="M4" s="63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2" t="str">
        <f>A3</f>
        <v>Saturday 9/30/2023</v>
      </c>
      <c r="B5" s="58" t="s">
        <v>106</v>
      </c>
      <c r="C5" s="58" t="s">
        <v>107</v>
      </c>
      <c r="D5" s="58" t="s">
        <v>108</v>
      </c>
      <c r="E5" s="53" t="s">
        <v>109</v>
      </c>
      <c r="F5" s="53" t="s">
        <v>110</v>
      </c>
      <c r="G5" s="53" t="s">
        <v>111</v>
      </c>
      <c r="H5" s="53" t="s">
        <v>112</v>
      </c>
      <c r="I5" s="53" t="s">
        <v>113</v>
      </c>
      <c r="J5" s="53" t="s">
        <v>114</v>
      </c>
      <c r="K5" s="53" t="s">
        <v>115</v>
      </c>
      <c r="L5" s="58" t="s">
        <v>124</v>
      </c>
      <c r="M5" s="63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54" t="s">
        <v>347</v>
      </c>
      <c r="B6" s="38" t="s">
        <v>90</v>
      </c>
      <c r="C6" s="38" t="s">
        <v>48</v>
      </c>
      <c r="D6" s="15" t="s">
        <v>44</v>
      </c>
      <c r="E6" s="34"/>
      <c r="F6" s="34"/>
      <c r="G6" s="34"/>
      <c r="H6" s="34"/>
      <c r="I6" s="34"/>
      <c r="J6" s="34"/>
      <c r="K6" s="34"/>
      <c r="L6" s="35"/>
      <c r="M6" s="63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55" t="s">
        <v>347</v>
      </c>
      <c r="B7" s="38" t="s">
        <v>7</v>
      </c>
      <c r="C7" s="38" t="s">
        <v>7</v>
      </c>
      <c r="D7" s="15" t="s">
        <v>44</v>
      </c>
      <c r="E7" s="34"/>
      <c r="F7" s="34"/>
      <c r="G7" s="34"/>
      <c r="H7" s="34"/>
      <c r="I7" s="34"/>
      <c r="J7" s="34"/>
      <c r="K7" s="34"/>
      <c r="L7" s="35"/>
      <c r="M7" s="63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6" t="s">
        <v>192</v>
      </c>
      <c r="B8" s="37" t="s">
        <v>101</v>
      </c>
      <c r="C8" s="37" t="s">
        <v>96</v>
      </c>
      <c r="D8" s="200" t="s">
        <v>12</v>
      </c>
      <c r="E8" s="32"/>
      <c r="F8" s="32"/>
      <c r="G8" s="32"/>
      <c r="H8" s="32"/>
      <c r="I8" s="32"/>
      <c r="J8" s="32"/>
      <c r="K8" s="32"/>
      <c r="L8" s="33"/>
      <c r="M8" s="63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5" t="s">
        <v>194</v>
      </c>
      <c r="B9" s="38" t="s">
        <v>94</v>
      </c>
      <c r="C9" s="38" t="s">
        <v>94</v>
      </c>
      <c r="D9" s="37" t="s">
        <v>94</v>
      </c>
      <c r="E9" s="32"/>
      <c r="F9" s="34"/>
      <c r="G9" s="34"/>
      <c r="H9" s="34"/>
      <c r="I9" s="34"/>
      <c r="J9" s="34"/>
      <c r="K9" s="34"/>
      <c r="L9" s="35"/>
      <c r="M9" s="63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6" t="s">
        <v>258</v>
      </c>
      <c r="B10" s="32"/>
      <c r="C10" s="32"/>
      <c r="D10" s="32"/>
      <c r="E10" s="37" t="s">
        <v>20</v>
      </c>
      <c r="F10" s="201" t="s">
        <v>96</v>
      </c>
      <c r="G10" s="37" t="s">
        <v>96</v>
      </c>
      <c r="H10" s="37" t="s">
        <v>44</v>
      </c>
      <c r="I10" s="37" t="s">
        <v>44</v>
      </c>
      <c r="J10" s="37" t="s">
        <v>91</v>
      </c>
      <c r="K10" s="37" t="s">
        <v>44</v>
      </c>
      <c r="L10" s="33"/>
      <c r="M10" s="63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6" t="s">
        <v>116</v>
      </c>
      <c r="B11" s="37" t="s">
        <v>91</v>
      </c>
      <c r="C11" s="37" t="s">
        <v>91</v>
      </c>
      <c r="D11" s="198" t="s">
        <v>91</v>
      </c>
      <c r="E11" s="246" t="s">
        <v>303</v>
      </c>
      <c r="F11" s="37" t="s">
        <v>255</v>
      </c>
      <c r="G11" s="37" t="s">
        <v>255</v>
      </c>
      <c r="H11" s="37" t="s">
        <v>95</v>
      </c>
      <c r="I11" s="37" t="s">
        <v>85</v>
      </c>
      <c r="J11" s="37" t="s">
        <v>7</v>
      </c>
      <c r="K11" s="202" t="s">
        <v>162</v>
      </c>
      <c r="L11" s="33"/>
      <c r="M11" s="63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6" t="s">
        <v>184</v>
      </c>
      <c r="B12" s="246" t="s">
        <v>303</v>
      </c>
      <c r="C12" s="246" t="s">
        <v>303</v>
      </c>
      <c r="D12" s="246" t="s">
        <v>303</v>
      </c>
      <c r="E12" s="37" t="s">
        <v>96</v>
      </c>
      <c r="F12" s="37" t="s">
        <v>101</v>
      </c>
      <c r="G12" s="37" t="s">
        <v>101</v>
      </c>
      <c r="H12" s="37" t="s">
        <v>90</v>
      </c>
      <c r="I12" s="37" t="s">
        <v>96</v>
      </c>
      <c r="J12" s="37" t="s">
        <v>95</v>
      </c>
      <c r="K12" s="37" t="s">
        <v>90</v>
      </c>
      <c r="L12" s="33"/>
      <c r="M12" s="63"/>
    </row>
    <row r="13" spans="1:43" ht="15" x14ac:dyDescent="0.2">
      <c r="A13" t="s">
        <v>354</v>
      </c>
      <c r="B13" s="246"/>
      <c r="C13" s="246"/>
      <c r="D13" s="37" t="s">
        <v>255</v>
      </c>
      <c r="E13" s="37" t="s">
        <v>255</v>
      </c>
      <c r="F13" s="37"/>
      <c r="G13" s="38"/>
      <c r="H13" s="37"/>
      <c r="I13" s="37"/>
      <c r="J13" s="37"/>
      <c r="K13" s="38"/>
      <c r="L13" s="33"/>
      <c r="M13" s="63"/>
    </row>
    <row r="14" spans="1:43" ht="15" x14ac:dyDescent="0.2">
      <c r="A14" s="56" t="s">
        <v>259</v>
      </c>
      <c r="B14" s="32"/>
      <c r="C14" s="32"/>
      <c r="D14" s="32"/>
      <c r="E14" s="37" t="s">
        <v>90</v>
      </c>
      <c r="F14" s="37" t="s">
        <v>90</v>
      </c>
      <c r="G14" s="38" t="s">
        <v>90</v>
      </c>
      <c r="H14" s="37" t="s">
        <v>20</v>
      </c>
      <c r="I14" s="37" t="s">
        <v>12</v>
      </c>
      <c r="J14" s="37" t="s">
        <v>101</v>
      </c>
      <c r="K14" s="15" t="s">
        <v>48</v>
      </c>
      <c r="L14" s="33"/>
      <c r="M14" s="63"/>
    </row>
    <row r="15" spans="1:43" ht="15" x14ac:dyDescent="0.2">
      <c r="A15" s="55" t="s">
        <v>259</v>
      </c>
      <c r="B15" s="34"/>
      <c r="C15" s="34"/>
      <c r="D15" s="34"/>
      <c r="E15" s="38" t="s">
        <v>91</v>
      </c>
      <c r="F15" s="38" t="s">
        <v>91</v>
      </c>
      <c r="G15" s="37" t="s">
        <v>162</v>
      </c>
      <c r="H15" s="38" t="s">
        <v>12</v>
      </c>
      <c r="I15" s="38" t="s">
        <v>101</v>
      </c>
      <c r="J15" s="38" t="s">
        <v>20</v>
      </c>
      <c r="K15" s="38" t="s">
        <v>91</v>
      </c>
      <c r="L15" s="35"/>
      <c r="M15" s="63"/>
    </row>
    <row r="16" spans="1:43" ht="15" x14ac:dyDescent="0.2">
      <c r="A16" s="55" t="s">
        <v>259</v>
      </c>
      <c r="B16" s="34"/>
      <c r="C16" s="34"/>
      <c r="D16" s="34"/>
      <c r="E16" s="38" t="s">
        <v>48</v>
      </c>
      <c r="F16" s="38" t="s">
        <v>48</v>
      </c>
      <c r="G16" s="38" t="s">
        <v>48</v>
      </c>
      <c r="H16" s="38" t="s">
        <v>48</v>
      </c>
      <c r="I16" s="34"/>
      <c r="J16" s="34"/>
      <c r="K16" s="34"/>
      <c r="L16" s="35"/>
      <c r="M16" s="63"/>
    </row>
    <row r="17" spans="1:13" ht="15" x14ac:dyDescent="0.2">
      <c r="A17" s="55" t="s">
        <v>259</v>
      </c>
      <c r="B17" s="34"/>
      <c r="C17" s="34"/>
      <c r="D17" s="34"/>
      <c r="E17" s="38" t="s">
        <v>94</v>
      </c>
      <c r="F17" s="38" t="s">
        <v>94</v>
      </c>
      <c r="G17" s="38" t="s">
        <v>91</v>
      </c>
      <c r="H17" s="38" t="s">
        <v>91</v>
      </c>
      <c r="I17" s="34"/>
      <c r="J17" s="34"/>
      <c r="K17" s="34"/>
      <c r="L17" s="35"/>
      <c r="M17" s="63"/>
    </row>
    <row r="18" spans="1:13" ht="15" x14ac:dyDescent="0.2">
      <c r="A18" s="56" t="s">
        <v>261</v>
      </c>
      <c r="B18" s="34"/>
      <c r="C18" s="34"/>
      <c r="D18" s="34"/>
      <c r="E18" s="38" t="s">
        <v>101</v>
      </c>
      <c r="F18" s="37" t="s">
        <v>101</v>
      </c>
      <c r="G18" s="38" t="s">
        <v>101</v>
      </c>
      <c r="H18" s="38" t="s">
        <v>101</v>
      </c>
      <c r="I18" s="38" t="s">
        <v>90</v>
      </c>
      <c r="J18" s="38" t="s">
        <v>90</v>
      </c>
      <c r="K18" s="38" t="s">
        <v>41</v>
      </c>
      <c r="L18" s="35"/>
      <c r="M18" s="63"/>
    </row>
    <row r="19" spans="1:13" ht="15" x14ac:dyDescent="0.2">
      <c r="A19" s="56" t="s">
        <v>261</v>
      </c>
      <c r="B19" s="34"/>
      <c r="C19" s="34"/>
      <c r="D19" s="34"/>
      <c r="E19" s="247" t="s">
        <v>303</v>
      </c>
      <c r="F19" s="247" t="s">
        <v>303</v>
      </c>
      <c r="G19" s="38" t="s">
        <v>96</v>
      </c>
      <c r="H19" s="38" t="s">
        <v>96</v>
      </c>
      <c r="I19" s="38" t="s">
        <v>39</v>
      </c>
      <c r="J19" s="38" t="s">
        <v>39</v>
      </c>
      <c r="K19" s="38" t="s">
        <v>48</v>
      </c>
      <c r="L19" s="35"/>
      <c r="M19" s="63"/>
    </row>
    <row r="20" spans="1:13" ht="15" x14ac:dyDescent="0.2">
      <c r="A20" s="56" t="s">
        <v>261</v>
      </c>
      <c r="B20" s="34"/>
      <c r="C20" s="34"/>
      <c r="D20" s="34"/>
      <c r="E20" s="38" t="s">
        <v>41</v>
      </c>
      <c r="F20" s="38" t="s">
        <v>39</v>
      </c>
      <c r="G20" s="38" t="s">
        <v>39</v>
      </c>
      <c r="H20" s="37" t="s">
        <v>39</v>
      </c>
      <c r="I20" s="34"/>
      <c r="J20" s="34"/>
      <c r="K20" s="34"/>
      <c r="L20" s="35"/>
      <c r="M20" s="63"/>
    </row>
    <row r="21" spans="1:13" ht="15" x14ac:dyDescent="0.2">
      <c r="A21" s="56" t="s">
        <v>261</v>
      </c>
      <c r="B21" s="34"/>
      <c r="C21" s="34"/>
      <c r="D21" s="34"/>
      <c r="E21" s="38" t="s">
        <v>44</v>
      </c>
      <c r="F21" s="38" t="s">
        <v>44</v>
      </c>
      <c r="G21" s="38" t="s">
        <v>44</v>
      </c>
      <c r="H21" s="38" t="s">
        <v>44</v>
      </c>
      <c r="I21" s="34"/>
      <c r="J21" s="34"/>
      <c r="K21" s="34"/>
      <c r="L21" s="35"/>
      <c r="M21" s="63"/>
    </row>
    <row r="22" spans="1:13" ht="15" x14ac:dyDescent="0.2">
      <c r="A22" s="56" t="s">
        <v>186</v>
      </c>
      <c r="B22" s="32"/>
      <c r="C22" s="32"/>
      <c r="D22" s="32"/>
      <c r="E22" s="37" t="s">
        <v>101</v>
      </c>
      <c r="F22" s="37" t="s">
        <v>7</v>
      </c>
      <c r="G22" s="37" t="s">
        <v>48</v>
      </c>
      <c r="H22" s="37" t="s">
        <v>248</v>
      </c>
      <c r="I22" s="37" t="s">
        <v>91</v>
      </c>
      <c r="J22" s="38" t="s">
        <v>85</v>
      </c>
      <c r="K22" s="37" t="s">
        <v>90</v>
      </c>
      <c r="L22" s="33"/>
      <c r="M22" s="63"/>
    </row>
    <row r="23" spans="1:13" ht="15" x14ac:dyDescent="0.2">
      <c r="A23" s="56" t="s">
        <v>361</v>
      </c>
      <c r="B23" s="32"/>
      <c r="C23" s="32"/>
      <c r="D23" s="32"/>
      <c r="E23" s="37" t="s">
        <v>248</v>
      </c>
      <c r="F23" s="38" t="s">
        <v>90</v>
      </c>
      <c r="G23" s="38" t="s">
        <v>44</v>
      </c>
      <c r="H23" s="37" t="s">
        <v>101</v>
      </c>
      <c r="I23" s="37" t="s">
        <v>94</v>
      </c>
      <c r="J23" s="37" t="s">
        <v>94</v>
      </c>
      <c r="K23" s="37" t="s">
        <v>101</v>
      </c>
      <c r="L23" s="33"/>
      <c r="M23" s="63"/>
    </row>
    <row r="24" spans="1:13" ht="15" x14ac:dyDescent="0.2">
      <c r="A24" s="56" t="s">
        <v>191</v>
      </c>
      <c r="B24" s="32"/>
      <c r="C24" s="32"/>
      <c r="D24" s="32"/>
      <c r="E24" s="37" t="s">
        <v>41</v>
      </c>
      <c r="F24" s="37" t="s">
        <v>41</v>
      </c>
      <c r="G24" s="37" t="s">
        <v>94</v>
      </c>
      <c r="H24" s="37" t="s">
        <v>94</v>
      </c>
      <c r="I24" s="37" t="s">
        <v>95</v>
      </c>
      <c r="J24" s="37" t="s">
        <v>48</v>
      </c>
      <c r="K24" s="37" t="s">
        <v>96</v>
      </c>
      <c r="L24" s="33"/>
      <c r="M24" s="63"/>
    </row>
    <row r="25" spans="1:13" ht="15" x14ac:dyDescent="0.2">
      <c r="A25" s="56" t="s">
        <v>292</v>
      </c>
      <c r="B25" s="32"/>
      <c r="C25" s="32"/>
      <c r="D25" s="32"/>
      <c r="E25" s="173" t="s">
        <v>39</v>
      </c>
      <c r="F25" s="173" t="s">
        <v>95</v>
      </c>
      <c r="G25" s="173" t="s">
        <v>48</v>
      </c>
      <c r="H25" s="173" t="s">
        <v>7</v>
      </c>
      <c r="I25" s="173" t="s">
        <v>96</v>
      </c>
      <c r="J25" s="173" t="s">
        <v>20</v>
      </c>
      <c r="K25" s="173" t="s">
        <v>44</v>
      </c>
      <c r="L25" s="33"/>
      <c r="M25" s="63"/>
    </row>
    <row r="26" spans="1:13" ht="15" x14ac:dyDescent="0.2">
      <c r="A26" s="56" t="s">
        <v>188</v>
      </c>
      <c r="B26" s="37" t="s">
        <v>95</v>
      </c>
      <c r="C26" s="37" t="s">
        <v>95</v>
      </c>
      <c r="D26" s="37" t="s">
        <v>90</v>
      </c>
      <c r="E26" s="32"/>
      <c r="F26" s="32"/>
      <c r="G26" s="32"/>
      <c r="H26" s="32"/>
      <c r="I26" s="32"/>
      <c r="J26" s="32"/>
      <c r="K26" s="32"/>
      <c r="L26" s="33"/>
      <c r="M26" s="63"/>
    </row>
    <row r="27" spans="1:13" ht="15" x14ac:dyDescent="0.2">
      <c r="A27" s="55" t="s">
        <v>78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173" t="s">
        <v>41</v>
      </c>
      <c r="M27" s="63"/>
    </row>
    <row r="28" spans="1:13" ht="15" x14ac:dyDescent="0.2">
      <c r="A28" s="55" t="s">
        <v>78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173" t="s">
        <v>41</v>
      </c>
      <c r="M28" s="63"/>
    </row>
    <row r="29" spans="1:13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/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62" t="s">
        <v>267</v>
      </c>
      <c r="B1" s="62"/>
      <c r="C1" s="62"/>
      <c r="D1" s="62"/>
      <c r="E1" s="62"/>
      <c r="F1" s="62"/>
      <c r="G1" s="63"/>
      <c r="H1" s="64" t="s">
        <v>222</v>
      </c>
      <c r="I1" s="61" t="str">
        <f>Issue</f>
        <v>2024 Show Season V1 7/22/2024</v>
      </c>
      <c r="J1" s="61"/>
      <c r="K1" s="61"/>
      <c r="L1" s="61"/>
      <c r="M1" s="63"/>
      <c r="O1" t="s">
        <v>328</v>
      </c>
    </row>
    <row r="2" spans="1:43" ht="15.75" x14ac:dyDescent="0.25">
      <c r="A2" s="62" t="s">
        <v>268</v>
      </c>
      <c r="B2" s="62"/>
      <c r="C2" s="62"/>
      <c r="D2" s="61"/>
      <c r="E2" s="61"/>
      <c r="F2" s="61"/>
      <c r="G2" s="63"/>
      <c r="H2" s="63"/>
      <c r="I2" s="63"/>
      <c r="J2" s="63"/>
      <c r="K2" s="63"/>
      <c r="L2" s="63"/>
      <c r="M2" s="63"/>
    </row>
    <row r="3" spans="1:43" ht="18.75" x14ac:dyDescent="0.3">
      <c r="A3" s="69" t="s">
        <v>298</v>
      </c>
      <c r="B3" s="190"/>
      <c r="C3" s="190"/>
      <c r="D3" s="61"/>
      <c r="E3" s="149" t="s">
        <v>141</v>
      </c>
      <c r="F3" s="67"/>
      <c r="G3" s="63"/>
      <c r="H3" s="63"/>
      <c r="I3" s="63"/>
      <c r="J3" s="63"/>
      <c r="K3" s="63"/>
      <c r="L3" s="63"/>
      <c r="M3" s="63"/>
    </row>
    <row r="4" spans="1:43" ht="15.75" x14ac:dyDescent="0.25">
      <c r="A4" s="64"/>
      <c r="B4" s="64"/>
      <c r="C4" s="64"/>
      <c r="D4" s="61"/>
      <c r="E4" s="61"/>
      <c r="F4" s="61"/>
      <c r="G4" s="63"/>
      <c r="H4" s="63"/>
      <c r="I4" s="63"/>
      <c r="J4" s="63"/>
      <c r="K4" s="63"/>
      <c r="L4" s="63"/>
      <c r="M4" s="63"/>
    </row>
    <row r="5" spans="1:43" ht="16.5" thickBot="1" x14ac:dyDescent="0.3">
      <c r="A5" s="52" t="str">
        <f>A3</f>
        <v>Sunday 10/1/2023</v>
      </c>
      <c r="B5" s="189" t="s">
        <v>106</v>
      </c>
      <c r="C5" s="189" t="s">
        <v>107</v>
      </c>
      <c r="D5" s="53" t="s">
        <v>108</v>
      </c>
      <c r="E5" s="53" t="s">
        <v>109</v>
      </c>
      <c r="F5" s="53" t="s">
        <v>110</v>
      </c>
      <c r="G5" s="53" t="s">
        <v>111</v>
      </c>
      <c r="H5" s="53" t="s">
        <v>112</v>
      </c>
      <c r="I5" s="53" t="s">
        <v>113</v>
      </c>
      <c r="J5" s="53" t="s">
        <v>114</v>
      </c>
      <c r="K5" s="53" t="s">
        <v>115</v>
      </c>
      <c r="L5" s="53" t="s">
        <v>124</v>
      </c>
      <c r="M5" s="63"/>
    </row>
    <row r="6" spans="1:43" ht="15" x14ac:dyDescent="0.2">
      <c r="A6" s="54" t="s">
        <v>193</v>
      </c>
      <c r="B6" s="61"/>
      <c r="C6" s="61"/>
      <c r="D6" s="38" t="s">
        <v>48</v>
      </c>
      <c r="E6" s="107"/>
      <c r="F6" s="107"/>
      <c r="G6" s="107"/>
      <c r="H6" s="107"/>
      <c r="I6" s="107"/>
      <c r="J6" s="107"/>
      <c r="K6" s="107"/>
      <c r="L6" s="108"/>
      <c r="M6" s="63"/>
      <c r="O6" t="s">
        <v>329</v>
      </c>
    </row>
    <row r="7" spans="1:43" ht="15" x14ac:dyDescent="0.2">
      <c r="A7" s="55" t="s">
        <v>195</v>
      </c>
      <c r="B7" s="61"/>
      <c r="C7" s="61"/>
      <c r="D7" s="38" t="s">
        <v>41</v>
      </c>
      <c r="E7" s="107"/>
      <c r="F7" s="107"/>
      <c r="G7" s="107"/>
      <c r="H7" s="107"/>
      <c r="I7" s="107"/>
      <c r="J7" s="107"/>
      <c r="K7" s="107"/>
      <c r="L7" s="108"/>
      <c r="M7" s="63"/>
      <c r="O7" t="s">
        <v>329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6" t="s">
        <v>266</v>
      </c>
      <c r="B8" s="187"/>
      <c r="C8" s="187"/>
      <c r="D8" s="109"/>
      <c r="E8" s="37" t="s">
        <v>90</v>
      </c>
      <c r="F8" s="37" t="s">
        <v>90</v>
      </c>
      <c r="G8" s="37" t="s">
        <v>20</v>
      </c>
      <c r="H8" s="37" t="s">
        <v>20</v>
      </c>
      <c r="I8" s="255" t="s">
        <v>23</v>
      </c>
      <c r="J8" s="255" t="s">
        <v>23</v>
      </c>
      <c r="K8" s="109"/>
      <c r="L8" s="110"/>
      <c r="M8" s="63"/>
      <c r="N8" s="15"/>
      <c r="O8" t="s">
        <v>329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6" t="s">
        <v>125</v>
      </c>
      <c r="B9" s="187"/>
      <c r="C9" s="187"/>
      <c r="D9" s="37" t="s">
        <v>7</v>
      </c>
      <c r="E9" s="37" t="s">
        <v>85</v>
      </c>
      <c r="F9" s="37" t="s">
        <v>96</v>
      </c>
      <c r="G9" s="37" t="s">
        <v>41</v>
      </c>
      <c r="H9" s="37" t="s">
        <v>12</v>
      </c>
      <c r="I9" s="201" t="s">
        <v>95</v>
      </c>
      <c r="J9" s="201" t="s">
        <v>44</v>
      </c>
      <c r="K9" s="109"/>
      <c r="L9" s="110"/>
      <c r="M9" s="63"/>
      <c r="N9" s="15"/>
      <c r="O9" s="214" t="s">
        <v>334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6" t="s">
        <v>185</v>
      </c>
      <c r="B10" s="187"/>
      <c r="C10" s="187"/>
      <c r="D10" s="37" t="s">
        <v>39</v>
      </c>
      <c r="E10" s="201" t="s">
        <v>96</v>
      </c>
      <c r="F10" s="201" t="s">
        <v>94</v>
      </c>
      <c r="G10" s="201" t="s">
        <v>20</v>
      </c>
      <c r="H10" s="37" t="s">
        <v>48</v>
      </c>
      <c r="I10" s="201" t="s">
        <v>44</v>
      </c>
      <c r="J10" s="37" t="s">
        <v>101</v>
      </c>
      <c r="K10" s="109"/>
      <c r="L10" s="110"/>
      <c r="M10" s="63"/>
      <c r="N10" s="15"/>
      <c r="O10" s="18" t="s">
        <v>333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6" t="s">
        <v>189</v>
      </c>
      <c r="B11" s="187"/>
      <c r="C11" s="187"/>
      <c r="D11" s="247" t="s">
        <v>303</v>
      </c>
      <c r="E11" s="109"/>
      <c r="F11" s="109"/>
      <c r="G11" s="109"/>
      <c r="H11" s="109"/>
      <c r="I11" s="109"/>
      <c r="J11" s="109"/>
      <c r="K11" s="109"/>
      <c r="L11" s="110"/>
      <c r="M11" s="63"/>
      <c r="O11" s="18" t="s">
        <v>330</v>
      </c>
    </row>
    <row r="12" spans="1:43" ht="15" x14ac:dyDescent="0.2">
      <c r="A12" s="56" t="s">
        <v>260</v>
      </c>
      <c r="B12" s="187"/>
      <c r="C12" s="187"/>
      <c r="D12" s="109"/>
      <c r="E12" s="201" t="s">
        <v>101</v>
      </c>
      <c r="F12" s="37" t="s">
        <v>12</v>
      </c>
      <c r="G12" s="201" t="s">
        <v>12</v>
      </c>
      <c r="H12" s="37" t="s">
        <v>96</v>
      </c>
      <c r="I12" s="37" t="s">
        <v>96</v>
      </c>
      <c r="J12" s="109"/>
      <c r="K12" s="109"/>
      <c r="L12" s="110"/>
      <c r="M12" s="63"/>
      <c r="N12" s="15"/>
      <c r="O12" s="18" t="s">
        <v>330</v>
      </c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6" t="s">
        <v>260</v>
      </c>
      <c r="B13" s="61"/>
      <c r="C13" s="61"/>
      <c r="D13" s="107"/>
      <c r="E13" s="203" t="s">
        <v>91</v>
      </c>
      <c r="F13" s="203" t="s">
        <v>39</v>
      </c>
      <c r="G13" s="38" t="s">
        <v>101</v>
      </c>
      <c r="H13" s="38" t="s">
        <v>101</v>
      </c>
      <c r="I13" s="203" t="s">
        <v>85</v>
      </c>
      <c r="J13" s="107"/>
      <c r="K13" s="107"/>
      <c r="L13" s="108"/>
      <c r="M13" s="63"/>
      <c r="N13" s="15"/>
      <c r="O13" s="18" t="s">
        <v>330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6" t="s">
        <v>260</v>
      </c>
      <c r="B14" s="61"/>
      <c r="C14" s="61"/>
      <c r="D14" s="107"/>
      <c r="E14" s="107"/>
      <c r="F14" s="107"/>
      <c r="G14" s="203" t="s">
        <v>7</v>
      </c>
      <c r="H14" s="38" t="s">
        <v>39</v>
      </c>
      <c r="I14" s="107"/>
      <c r="J14" s="107"/>
      <c r="K14" s="107"/>
      <c r="L14" s="108"/>
      <c r="M14" s="63"/>
      <c r="N14" s="15"/>
      <c r="O14" s="18" t="s">
        <v>330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6" t="s">
        <v>260</v>
      </c>
      <c r="B15" s="61"/>
      <c r="C15" s="61"/>
      <c r="D15" s="107"/>
      <c r="E15" s="107"/>
      <c r="F15" s="107"/>
      <c r="G15" s="38" t="s">
        <v>96</v>
      </c>
      <c r="H15" s="37" t="s">
        <v>101</v>
      </c>
      <c r="I15" s="107"/>
      <c r="J15" s="107"/>
      <c r="K15" s="107"/>
      <c r="L15" s="108"/>
      <c r="M15" s="63"/>
      <c r="N15" s="15"/>
      <c r="O15" s="18" t="s">
        <v>330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6" t="s">
        <v>262</v>
      </c>
      <c r="B16" s="61"/>
      <c r="C16" s="61"/>
      <c r="D16" s="107"/>
      <c r="E16" s="38" t="s">
        <v>41</v>
      </c>
      <c r="F16" s="38" t="s">
        <v>101</v>
      </c>
      <c r="G16" s="38" t="s">
        <v>248</v>
      </c>
      <c r="H16" s="38" t="s">
        <v>96</v>
      </c>
      <c r="I16" s="38" t="s">
        <v>94</v>
      </c>
      <c r="J16" s="107"/>
      <c r="K16" s="107"/>
      <c r="L16" s="108"/>
      <c r="M16" s="63"/>
      <c r="O16" s="18" t="s">
        <v>330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6" t="s">
        <v>262</v>
      </c>
      <c r="B17" s="61"/>
      <c r="C17" s="61"/>
      <c r="D17" s="107"/>
      <c r="E17" s="247" t="s">
        <v>303</v>
      </c>
      <c r="F17" s="247" t="s">
        <v>303</v>
      </c>
      <c r="G17" s="203" t="s">
        <v>94</v>
      </c>
      <c r="H17" s="38" t="s">
        <v>41</v>
      </c>
      <c r="I17" s="38" t="s">
        <v>41</v>
      </c>
      <c r="J17" s="107"/>
      <c r="K17" s="107"/>
      <c r="L17" s="108"/>
      <c r="M17" s="63"/>
      <c r="N17" s="15"/>
      <c r="O17" s="18" t="s">
        <v>330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6" t="s">
        <v>262</v>
      </c>
      <c r="B18" s="61"/>
      <c r="C18" s="61"/>
      <c r="D18" s="107"/>
      <c r="E18" s="107"/>
      <c r="F18" s="107"/>
      <c r="G18" s="38" t="s">
        <v>90</v>
      </c>
      <c r="H18" s="38" t="s">
        <v>90</v>
      </c>
      <c r="I18" s="107"/>
      <c r="J18" s="107"/>
      <c r="K18" s="107"/>
      <c r="L18" s="108"/>
      <c r="M18" s="63"/>
      <c r="N18" s="15"/>
      <c r="O18" s="18" t="s">
        <v>330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6" t="s">
        <v>262</v>
      </c>
      <c r="B19" s="61"/>
      <c r="C19" s="61"/>
      <c r="D19" s="107"/>
      <c r="E19" s="107"/>
      <c r="F19" s="107"/>
      <c r="G19" s="38" t="s">
        <v>48</v>
      </c>
      <c r="H19" s="38" t="s">
        <v>48</v>
      </c>
      <c r="I19" s="107"/>
      <c r="J19" s="107"/>
      <c r="K19" s="107"/>
      <c r="L19" s="108"/>
      <c r="M19" s="63"/>
      <c r="N19" s="15"/>
      <c r="O19" s="18" t="s">
        <v>330</v>
      </c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6" t="s">
        <v>187</v>
      </c>
      <c r="B20" s="187"/>
      <c r="C20" s="187"/>
      <c r="D20" s="109"/>
      <c r="E20" s="37" t="s">
        <v>96</v>
      </c>
      <c r="F20" s="255" t="s">
        <v>23</v>
      </c>
      <c r="G20" s="201" t="s">
        <v>94</v>
      </c>
      <c r="H20" s="37" t="s">
        <v>95</v>
      </c>
      <c r="I20" s="37" t="s">
        <v>101</v>
      </c>
      <c r="J20" s="37" t="s">
        <v>48</v>
      </c>
      <c r="K20" s="109"/>
      <c r="L20" s="110"/>
      <c r="M20" s="63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6" t="s">
        <v>360</v>
      </c>
      <c r="B21" s="187"/>
      <c r="C21" s="187"/>
      <c r="D21" s="109"/>
      <c r="E21" s="201" t="s">
        <v>44</v>
      </c>
      <c r="F21" s="37" t="s">
        <v>85</v>
      </c>
      <c r="G21" s="201" t="s">
        <v>12</v>
      </c>
      <c r="H21" s="201" t="s">
        <v>7</v>
      </c>
      <c r="I21" s="38" t="s">
        <v>94</v>
      </c>
      <c r="J21" s="109"/>
      <c r="K21" s="109"/>
      <c r="L21" s="110"/>
      <c r="M21" s="63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6" t="s">
        <v>190</v>
      </c>
      <c r="B22" s="187"/>
      <c r="C22" s="187"/>
      <c r="D22" s="109"/>
      <c r="E22" s="246" t="s">
        <v>303</v>
      </c>
      <c r="F22" s="248" t="s">
        <v>303</v>
      </c>
      <c r="G22" s="37" t="s">
        <v>39</v>
      </c>
      <c r="H22" s="201" t="s">
        <v>48</v>
      </c>
      <c r="I22" s="37" t="s">
        <v>162</v>
      </c>
      <c r="J22" s="37" t="s">
        <v>94</v>
      </c>
      <c r="K22" s="109"/>
      <c r="L22" s="110"/>
      <c r="M22" s="63"/>
      <c r="N22" s="15"/>
      <c r="O22" s="18" t="s">
        <v>331</v>
      </c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6" t="s">
        <v>293</v>
      </c>
      <c r="B23" s="187"/>
      <c r="C23" s="187"/>
      <c r="D23" s="109"/>
      <c r="E23" s="173" t="s">
        <v>48</v>
      </c>
      <c r="F23" s="118" t="s">
        <v>95</v>
      </c>
      <c r="G23" s="118" t="s">
        <v>48</v>
      </c>
      <c r="H23" s="118" t="s">
        <v>248</v>
      </c>
      <c r="I23" s="118" t="s">
        <v>96</v>
      </c>
      <c r="J23" s="118" t="s">
        <v>248</v>
      </c>
      <c r="K23" s="109"/>
      <c r="L23" s="110"/>
      <c r="M23" s="63"/>
      <c r="O23" s="18" t="s">
        <v>332</v>
      </c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6" t="s">
        <v>202</v>
      </c>
      <c r="B24" s="187"/>
      <c r="C24" s="187"/>
      <c r="D24" s="109"/>
      <c r="E24" s="109"/>
      <c r="F24" s="109"/>
      <c r="G24" s="109"/>
      <c r="H24" s="109"/>
      <c r="I24" s="109"/>
      <c r="J24" s="109"/>
      <c r="K24" s="37" t="s">
        <v>23</v>
      </c>
      <c r="L24" s="110"/>
      <c r="M24" s="63"/>
      <c r="O24" t="s">
        <v>335</v>
      </c>
    </row>
    <row r="25" spans="1:42" ht="15" x14ac:dyDescent="0.2">
      <c r="A25" s="56" t="s">
        <v>202</v>
      </c>
      <c r="B25" s="187"/>
      <c r="C25" s="187"/>
      <c r="D25" s="109"/>
      <c r="E25" s="109"/>
      <c r="F25" s="109"/>
      <c r="G25" s="109"/>
      <c r="H25" s="109"/>
      <c r="I25" s="109"/>
      <c r="J25" s="109"/>
      <c r="K25" s="37" t="s">
        <v>23</v>
      </c>
      <c r="L25" s="110"/>
      <c r="M25" s="63"/>
      <c r="O25" t="s">
        <v>335</v>
      </c>
    </row>
    <row r="26" spans="1:42" ht="15" x14ac:dyDescent="0.2">
      <c r="A26" s="56" t="s">
        <v>202</v>
      </c>
      <c r="B26" s="187"/>
      <c r="C26" s="187"/>
      <c r="D26" s="109"/>
      <c r="E26" s="109"/>
      <c r="F26" s="109"/>
      <c r="G26" s="109"/>
      <c r="H26" s="109"/>
      <c r="I26" s="109"/>
      <c r="J26" s="109"/>
      <c r="K26" s="37" t="s">
        <v>23</v>
      </c>
      <c r="L26" s="110"/>
      <c r="M26" s="63"/>
      <c r="O26" t="s">
        <v>335</v>
      </c>
    </row>
    <row r="27" spans="1:42" ht="15" x14ac:dyDescent="0.2">
      <c r="A27" s="56" t="s">
        <v>202</v>
      </c>
      <c r="B27" s="187"/>
      <c r="C27" s="187"/>
      <c r="D27" s="109"/>
      <c r="E27" s="109"/>
      <c r="F27" s="109"/>
      <c r="G27" s="109"/>
      <c r="H27" s="109"/>
      <c r="I27" s="109"/>
      <c r="J27" s="109"/>
      <c r="K27" s="37" t="s">
        <v>23</v>
      </c>
      <c r="L27" s="110"/>
      <c r="M27" s="63"/>
      <c r="O27" t="s">
        <v>335</v>
      </c>
    </row>
    <row r="28" spans="1:42" ht="15" x14ac:dyDescent="0.2">
      <c r="A28" s="56" t="s">
        <v>202</v>
      </c>
      <c r="B28" s="187"/>
      <c r="C28" s="187"/>
      <c r="D28" s="109"/>
      <c r="E28" s="109"/>
      <c r="F28" s="109"/>
      <c r="G28" s="109"/>
      <c r="H28" s="109"/>
      <c r="I28" s="109"/>
      <c r="J28" s="109"/>
      <c r="K28" s="37" t="s">
        <v>23</v>
      </c>
      <c r="L28" s="110"/>
      <c r="M28" s="63"/>
      <c r="O28" t="s">
        <v>335</v>
      </c>
    </row>
    <row r="29" spans="1:42" ht="15" x14ac:dyDescent="0.2">
      <c r="A29" s="56" t="s">
        <v>202</v>
      </c>
      <c r="B29" s="187"/>
      <c r="C29" s="187"/>
      <c r="D29" s="109"/>
      <c r="E29" s="109"/>
      <c r="F29" s="109"/>
      <c r="G29" s="109"/>
      <c r="H29" s="109"/>
      <c r="I29" s="109"/>
      <c r="J29" s="109"/>
      <c r="K29" s="37" t="s">
        <v>23</v>
      </c>
      <c r="L29" s="110"/>
      <c r="M29" s="63"/>
      <c r="O29" t="s">
        <v>335</v>
      </c>
    </row>
    <row r="30" spans="1:42" x14ac:dyDescent="0.2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tabSelected="1" workbookViewId="0">
      <selection activeCell="A7" sqref="A7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62" t="s">
        <v>129</v>
      </c>
      <c r="B1" s="62"/>
      <c r="C1" s="62"/>
      <c r="D1" s="62"/>
      <c r="E1" s="62"/>
      <c r="F1" s="62"/>
      <c r="G1" s="62"/>
      <c r="H1" s="63"/>
      <c r="I1" s="63"/>
      <c r="J1" s="63"/>
      <c r="K1" s="63"/>
      <c r="L1" s="64" t="s">
        <v>222</v>
      </c>
      <c r="M1" s="148" t="str">
        <f>Issue</f>
        <v>2024 Show Season V1 7/22/2024</v>
      </c>
      <c r="N1" s="148"/>
      <c r="O1" s="148"/>
      <c r="P1" s="148"/>
      <c r="Q1" s="63"/>
    </row>
    <row r="2" spans="1:48" ht="15.75" x14ac:dyDescent="0.25">
      <c r="A2" s="62" t="s">
        <v>127</v>
      </c>
      <c r="B2" s="62"/>
      <c r="C2" s="62"/>
      <c r="D2" s="62"/>
      <c r="E2" s="62"/>
      <c r="F2" s="62"/>
      <c r="G2" s="62"/>
      <c r="H2" s="63"/>
      <c r="I2" s="63"/>
      <c r="J2" s="63"/>
      <c r="K2" s="63"/>
      <c r="L2" s="63"/>
      <c r="M2" s="63"/>
      <c r="N2" s="63"/>
      <c r="O2" s="63"/>
      <c r="P2" s="63"/>
      <c r="Q2" s="6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73" t="s">
        <v>299</v>
      </c>
      <c r="B3" s="186"/>
      <c r="C3" s="186"/>
      <c r="D3" s="186"/>
      <c r="E3" s="186"/>
      <c r="F3" s="186"/>
      <c r="G3" s="62"/>
      <c r="H3" s="63"/>
      <c r="I3" s="63"/>
      <c r="J3" s="149" t="s">
        <v>139</v>
      </c>
      <c r="K3" s="67"/>
      <c r="L3" s="63"/>
      <c r="M3" s="63"/>
      <c r="N3" s="63"/>
      <c r="O3" s="63"/>
      <c r="P3" s="63"/>
      <c r="Q3" s="63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64"/>
      <c r="B4" s="64"/>
      <c r="C4" s="64"/>
      <c r="D4" s="64"/>
      <c r="E4" s="64"/>
      <c r="F4" s="64"/>
      <c r="G4" s="61"/>
      <c r="H4" s="61"/>
      <c r="I4" s="61"/>
      <c r="J4" s="61"/>
      <c r="K4" s="61"/>
      <c r="L4" s="61"/>
      <c r="M4" s="61"/>
      <c r="N4" s="61"/>
      <c r="O4" s="61"/>
      <c r="P4" s="61"/>
      <c r="Q4" s="63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52" t="str">
        <f>A3</f>
        <v>Friday 01/19/2024</v>
      </c>
      <c r="B5" s="189" t="s">
        <v>106</v>
      </c>
      <c r="C5" s="189" t="s">
        <v>107</v>
      </c>
      <c r="D5" s="189" t="s">
        <v>108</v>
      </c>
      <c r="E5" s="189" t="s">
        <v>109</v>
      </c>
      <c r="F5" s="189" t="s">
        <v>110</v>
      </c>
      <c r="G5" s="53" t="s">
        <v>111</v>
      </c>
      <c r="H5" s="53" t="s">
        <v>112</v>
      </c>
      <c r="I5" s="53" t="s">
        <v>113</v>
      </c>
      <c r="J5" s="53" t="s">
        <v>114</v>
      </c>
      <c r="K5" s="53" t="s">
        <v>115</v>
      </c>
      <c r="L5" s="53" t="s">
        <v>124</v>
      </c>
      <c r="M5" s="53" t="s">
        <v>148</v>
      </c>
      <c r="N5" s="53" t="s">
        <v>106</v>
      </c>
      <c r="O5" s="53" t="s">
        <v>107</v>
      </c>
      <c r="P5" s="53" t="s">
        <v>108</v>
      </c>
      <c r="Q5" s="63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55" t="s">
        <v>176</v>
      </c>
      <c r="B6" s="38" t="s">
        <v>41</v>
      </c>
      <c r="C6" s="38" t="s">
        <v>41</v>
      </c>
      <c r="D6" s="38" t="s">
        <v>41</v>
      </c>
      <c r="E6" s="38" t="s">
        <v>41</v>
      </c>
      <c r="F6" s="38" t="s">
        <v>41</v>
      </c>
      <c r="G6" s="38" t="s">
        <v>41</v>
      </c>
      <c r="H6" s="38" t="s">
        <v>41</v>
      </c>
      <c r="I6" s="38" t="s">
        <v>41</v>
      </c>
      <c r="J6" s="38" t="s">
        <v>41</v>
      </c>
      <c r="K6" s="38" t="s">
        <v>41</v>
      </c>
      <c r="L6" s="39"/>
      <c r="M6" s="39"/>
      <c r="N6" s="39"/>
      <c r="O6" s="39"/>
      <c r="P6" s="40"/>
      <c r="Q6" s="63"/>
    </row>
    <row r="7" spans="1:48" ht="15" x14ac:dyDescent="0.2">
      <c r="A7" s="55" t="s">
        <v>363</v>
      </c>
      <c r="B7" s="61"/>
      <c r="C7" s="61"/>
      <c r="D7" s="173" t="s">
        <v>7</v>
      </c>
      <c r="E7" s="15" t="s">
        <v>44</v>
      </c>
      <c r="F7" s="15" t="s">
        <v>44</v>
      </c>
      <c r="G7" s="198" t="s">
        <v>94</v>
      </c>
      <c r="H7" s="198" t="s">
        <v>94</v>
      </c>
      <c r="I7" s="198" t="s">
        <v>12</v>
      </c>
      <c r="J7" s="198" t="s">
        <v>96</v>
      </c>
      <c r="K7" s="198" t="s">
        <v>94</v>
      </c>
      <c r="L7" s="173" t="s">
        <v>7</v>
      </c>
      <c r="M7" s="173"/>
      <c r="N7" s="39"/>
      <c r="O7" s="39"/>
      <c r="P7" s="40"/>
      <c r="Q7" s="63"/>
    </row>
    <row r="8" spans="1:48" ht="15" x14ac:dyDescent="0.2">
      <c r="A8" s="55" t="s">
        <v>363</v>
      </c>
      <c r="B8" s="61"/>
      <c r="C8" s="61"/>
      <c r="D8" s="61"/>
      <c r="E8" s="249" t="s">
        <v>303</v>
      </c>
      <c r="F8" s="15" t="s">
        <v>39</v>
      </c>
      <c r="G8" s="38" t="s">
        <v>48</v>
      </c>
      <c r="H8" s="38" t="s">
        <v>48</v>
      </c>
      <c r="I8" s="38" t="s">
        <v>90</v>
      </c>
      <c r="J8" s="38" t="s">
        <v>95</v>
      </c>
      <c r="K8" s="38" t="s">
        <v>85</v>
      </c>
      <c r="L8" s="15" t="s">
        <v>20</v>
      </c>
      <c r="M8" s="15" t="s">
        <v>48</v>
      </c>
      <c r="N8" s="39"/>
      <c r="O8" s="39"/>
      <c r="P8" s="40"/>
      <c r="Q8" s="63"/>
    </row>
    <row r="9" spans="1:48" ht="15" x14ac:dyDescent="0.2">
      <c r="A9" s="56" t="s">
        <v>104</v>
      </c>
      <c r="B9" s="187"/>
      <c r="C9" s="187"/>
      <c r="D9" s="187"/>
      <c r="E9" s="187"/>
      <c r="F9" s="187"/>
      <c r="G9" s="42"/>
      <c r="H9" s="42"/>
      <c r="I9" s="37" t="s">
        <v>91</v>
      </c>
      <c r="J9" s="37" t="s">
        <v>91</v>
      </c>
      <c r="K9" s="37" t="s">
        <v>91</v>
      </c>
      <c r="L9" s="37" t="s">
        <v>91</v>
      </c>
      <c r="M9" s="44" t="s">
        <v>91</v>
      </c>
      <c r="N9" s="15" t="s">
        <v>91</v>
      </c>
      <c r="O9" s="15" t="s">
        <v>91</v>
      </c>
      <c r="P9" s="40"/>
      <c r="Q9" s="63"/>
    </row>
    <row r="10" spans="1:48" ht="15" x14ac:dyDescent="0.2">
      <c r="A10" s="56" t="s">
        <v>182</v>
      </c>
      <c r="B10" s="187"/>
      <c r="C10" s="187"/>
      <c r="D10" s="187"/>
      <c r="E10" s="187"/>
      <c r="F10" s="187"/>
      <c r="G10" s="200" t="s">
        <v>44</v>
      </c>
      <c r="H10" s="200" t="s">
        <v>44</v>
      </c>
      <c r="I10" s="37" t="s">
        <v>44</v>
      </c>
      <c r="J10" s="37" t="s">
        <v>44</v>
      </c>
      <c r="K10" s="37" t="s">
        <v>48</v>
      </c>
      <c r="L10" s="37" t="s">
        <v>48</v>
      </c>
      <c r="M10" s="44" t="s">
        <v>48</v>
      </c>
      <c r="N10" s="15" t="s">
        <v>48</v>
      </c>
      <c r="O10" s="15" t="s">
        <v>48</v>
      </c>
      <c r="P10" s="40"/>
      <c r="Q10" s="63"/>
    </row>
    <row r="11" spans="1:48" ht="15" x14ac:dyDescent="0.2">
      <c r="A11" s="59" t="s">
        <v>278</v>
      </c>
      <c r="B11" s="59"/>
      <c r="C11" s="59"/>
      <c r="D11" s="59"/>
      <c r="E11" s="173" t="s">
        <v>162</v>
      </c>
      <c r="F11" s="173" t="s">
        <v>162</v>
      </c>
      <c r="G11" s="38" t="s">
        <v>101</v>
      </c>
      <c r="H11" s="38" t="s">
        <v>101</v>
      </c>
      <c r="I11" s="38" t="s">
        <v>101</v>
      </c>
      <c r="J11" s="38" t="s">
        <v>101</v>
      </c>
      <c r="K11" s="38" t="s">
        <v>101</v>
      </c>
      <c r="L11" s="198" t="s">
        <v>101</v>
      </c>
      <c r="M11" s="198" t="s">
        <v>101</v>
      </c>
      <c r="N11" s="188"/>
      <c r="O11" s="188"/>
      <c r="P11" s="188"/>
      <c r="Q11" s="63"/>
    </row>
    <row r="12" spans="1:48" x14ac:dyDescent="0.2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320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13" sqref="A13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62" t="s">
        <v>130</v>
      </c>
      <c r="B1" s="62"/>
      <c r="C1" s="61"/>
      <c r="D1" s="61"/>
      <c r="E1" s="61"/>
      <c r="F1" s="61"/>
      <c r="G1" s="61"/>
      <c r="H1" s="64" t="s">
        <v>222</v>
      </c>
      <c r="I1" s="61" t="str">
        <f>Issue</f>
        <v>2024 Show Season V1 7/22/2024</v>
      </c>
      <c r="J1" s="61"/>
      <c r="K1" s="61"/>
      <c r="L1" s="63"/>
      <c r="M1" s="63"/>
    </row>
    <row r="2" spans="1:43" ht="15.75" x14ac:dyDescent="0.25">
      <c r="A2" s="62" t="s">
        <v>127</v>
      </c>
      <c r="B2" s="62"/>
      <c r="C2" s="62"/>
      <c r="D2" s="62"/>
      <c r="E2" s="62"/>
      <c r="F2" s="62"/>
      <c r="G2" s="62"/>
      <c r="H2" s="62"/>
      <c r="I2" s="61"/>
      <c r="J2" s="61"/>
      <c r="K2" s="61"/>
      <c r="L2" s="61"/>
      <c r="M2" s="6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74" t="s">
        <v>300</v>
      </c>
      <c r="B3" s="62"/>
      <c r="C3" s="61"/>
      <c r="D3" s="149" t="s">
        <v>140</v>
      </c>
      <c r="E3" s="61"/>
      <c r="F3" s="61"/>
      <c r="G3" s="61"/>
      <c r="H3" s="61"/>
      <c r="I3" s="61"/>
      <c r="J3" s="61"/>
      <c r="K3" s="61"/>
      <c r="L3" s="61"/>
      <c r="M3" s="63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71"/>
      <c r="B4" s="65"/>
      <c r="C4" s="61"/>
      <c r="D4" s="61"/>
      <c r="E4" s="68"/>
      <c r="F4" s="67"/>
      <c r="G4" s="67"/>
      <c r="H4" s="61"/>
      <c r="I4" s="61"/>
      <c r="J4" s="61"/>
      <c r="K4" s="61"/>
      <c r="L4" s="61"/>
      <c r="M4" s="63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60" t="str">
        <f>A3</f>
        <v>Saturday 01/20/2024</v>
      </c>
      <c r="B5" s="53" t="s">
        <v>106</v>
      </c>
      <c r="C5" s="53" t="s">
        <v>107</v>
      </c>
      <c r="D5" s="53" t="s">
        <v>108</v>
      </c>
      <c r="E5" s="53" t="s">
        <v>109</v>
      </c>
      <c r="F5" s="53" t="s">
        <v>110</v>
      </c>
      <c r="G5" s="53" t="s">
        <v>111</v>
      </c>
      <c r="H5" s="53" t="s">
        <v>112</v>
      </c>
      <c r="I5" s="53" t="s">
        <v>113</v>
      </c>
      <c r="J5" s="53" t="s">
        <v>114</v>
      </c>
      <c r="K5" s="53" t="s">
        <v>115</v>
      </c>
      <c r="L5" s="53" t="s">
        <v>124</v>
      </c>
      <c r="M5" s="63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54" t="s">
        <v>364</v>
      </c>
      <c r="B6" s="38" t="s">
        <v>39</v>
      </c>
      <c r="C6" s="38" t="s">
        <v>44</v>
      </c>
      <c r="D6" s="38" t="s">
        <v>44</v>
      </c>
      <c r="E6" s="39"/>
      <c r="F6" s="39"/>
      <c r="G6" s="39"/>
      <c r="H6" s="39"/>
      <c r="I6" s="39"/>
      <c r="J6" s="39"/>
      <c r="K6" s="39"/>
      <c r="L6" s="40"/>
      <c r="M6" s="63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55" t="s">
        <v>364</v>
      </c>
      <c r="B7" s="38" t="s">
        <v>94</v>
      </c>
      <c r="C7" s="38" t="s">
        <v>44</v>
      </c>
      <c r="D7" s="38" t="s">
        <v>44</v>
      </c>
      <c r="E7" s="39"/>
      <c r="F7" s="39"/>
      <c r="G7" s="39"/>
      <c r="H7" s="39"/>
      <c r="I7" s="39"/>
      <c r="J7" s="39"/>
      <c r="K7" s="39"/>
      <c r="L7" s="40"/>
      <c r="M7" s="63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9" t="s">
        <v>192</v>
      </c>
      <c r="B8" s="49" t="s">
        <v>90</v>
      </c>
      <c r="C8" s="250" t="s">
        <v>303</v>
      </c>
      <c r="D8" s="49" t="s">
        <v>48</v>
      </c>
      <c r="E8" s="167"/>
      <c r="F8" s="48"/>
      <c r="G8" s="48"/>
      <c r="H8" s="48"/>
      <c r="I8" s="48"/>
      <c r="J8" s="48"/>
      <c r="K8" s="48"/>
      <c r="L8" s="168"/>
      <c r="M8" s="63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5" t="s">
        <v>194</v>
      </c>
      <c r="B9" s="38" t="s">
        <v>48</v>
      </c>
      <c r="C9" s="38" t="s">
        <v>41</v>
      </c>
      <c r="D9" s="38" t="s">
        <v>96</v>
      </c>
      <c r="E9" s="47"/>
      <c r="F9" s="39"/>
      <c r="G9" s="39"/>
      <c r="H9" s="39"/>
      <c r="I9" s="39"/>
      <c r="J9" s="39"/>
      <c r="K9" s="39"/>
      <c r="L9" s="40"/>
      <c r="M9" s="63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6" t="s">
        <v>196</v>
      </c>
      <c r="B10" s="42"/>
      <c r="C10" s="42"/>
      <c r="D10" s="42"/>
      <c r="E10" s="37" t="s">
        <v>48</v>
      </c>
      <c r="F10" s="37" t="s">
        <v>48</v>
      </c>
      <c r="G10" s="37" t="s">
        <v>12</v>
      </c>
      <c r="H10" s="37" t="s">
        <v>39</v>
      </c>
      <c r="I10" s="37" t="s">
        <v>90</v>
      </c>
      <c r="J10" s="37" t="s">
        <v>85</v>
      </c>
      <c r="K10" s="37" t="s">
        <v>90</v>
      </c>
      <c r="L10" s="41"/>
      <c r="M10" s="63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6" t="s">
        <v>116</v>
      </c>
      <c r="B11" s="37" t="s">
        <v>91</v>
      </c>
      <c r="C11" s="37" t="s">
        <v>91</v>
      </c>
      <c r="D11" s="37" t="s">
        <v>91</v>
      </c>
      <c r="E11" s="37" t="s">
        <v>91</v>
      </c>
      <c r="F11" s="37" t="s">
        <v>91</v>
      </c>
      <c r="G11" s="37" t="s">
        <v>91</v>
      </c>
      <c r="H11" s="37" t="s">
        <v>95</v>
      </c>
      <c r="I11" s="37" t="s">
        <v>91</v>
      </c>
      <c r="J11" s="37" t="s">
        <v>91</v>
      </c>
      <c r="K11" s="37" t="s">
        <v>91</v>
      </c>
      <c r="L11" s="41"/>
      <c r="M11" s="63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6" t="s">
        <v>184</v>
      </c>
      <c r="B12" s="37" t="s">
        <v>248</v>
      </c>
      <c r="C12" s="37" t="s">
        <v>248</v>
      </c>
      <c r="D12" s="37" t="s">
        <v>90</v>
      </c>
      <c r="E12" s="37" t="s">
        <v>90</v>
      </c>
      <c r="F12" s="37" t="s">
        <v>96</v>
      </c>
      <c r="G12" s="38" t="s">
        <v>96</v>
      </c>
      <c r="H12" s="37" t="s">
        <v>90</v>
      </c>
      <c r="I12" s="38" t="s">
        <v>96</v>
      </c>
      <c r="J12" s="37" t="s">
        <v>44</v>
      </c>
      <c r="K12" s="37" t="s">
        <v>44</v>
      </c>
      <c r="L12" s="41"/>
      <c r="M12" s="63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16" t="s">
        <v>367</v>
      </c>
      <c r="B13" s="37"/>
      <c r="C13" s="37"/>
      <c r="D13" s="37" t="s">
        <v>255</v>
      </c>
      <c r="E13" s="37" t="s">
        <v>255</v>
      </c>
      <c r="F13" s="37"/>
      <c r="G13" s="246"/>
      <c r="H13" s="37"/>
      <c r="I13" s="246"/>
      <c r="J13" s="37"/>
      <c r="K13" s="37"/>
      <c r="L13" s="41"/>
      <c r="M13" s="63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6" t="s">
        <v>198</v>
      </c>
      <c r="B14" s="42"/>
      <c r="C14" s="42"/>
      <c r="D14" s="42"/>
      <c r="E14" s="37" t="s">
        <v>48</v>
      </c>
      <c r="F14" s="37" t="s">
        <v>48</v>
      </c>
      <c r="G14" s="37" t="s">
        <v>39</v>
      </c>
      <c r="H14" s="37" t="s">
        <v>39</v>
      </c>
      <c r="I14" s="37" t="s">
        <v>39</v>
      </c>
      <c r="J14" s="37" t="s">
        <v>48</v>
      </c>
      <c r="K14" s="37" t="s">
        <v>48</v>
      </c>
      <c r="L14" s="41"/>
      <c r="M14" s="63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5" t="s">
        <v>198</v>
      </c>
      <c r="B15" s="39"/>
      <c r="C15" s="39"/>
      <c r="D15" s="39"/>
      <c r="E15" s="38" t="s">
        <v>85</v>
      </c>
      <c r="F15" s="38" t="s">
        <v>85</v>
      </c>
      <c r="G15" s="38" t="s">
        <v>48</v>
      </c>
      <c r="H15" s="38" t="s">
        <v>7</v>
      </c>
      <c r="I15" s="38" t="s">
        <v>94</v>
      </c>
      <c r="J15" s="38" t="s">
        <v>94</v>
      </c>
      <c r="K15" s="38" t="s">
        <v>85</v>
      </c>
      <c r="L15" s="40"/>
      <c r="M15" s="63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5" t="s">
        <v>198</v>
      </c>
      <c r="B16" s="39"/>
      <c r="C16" s="39"/>
      <c r="D16" s="39"/>
      <c r="E16" s="38" t="s">
        <v>94</v>
      </c>
      <c r="F16" s="38" t="s">
        <v>96</v>
      </c>
      <c r="G16" s="38" t="s">
        <v>48</v>
      </c>
      <c r="H16" s="38" t="s">
        <v>94</v>
      </c>
      <c r="I16" s="47"/>
      <c r="J16" s="47"/>
      <c r="K16" s="39"/>
      <c r="L16" s="40"/>
      <c r="M16" s="63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55" t="s">
        <v>198</v>
      </c>
      <c r="B17" s="39"/>
      <c r="C17" s="39"/>
      <c r="D17" s="39"/>
      <c r="E17" s="38" t="s">
        <v>101</v>
      </c>
      <c r="F17" s="38" t="s">
        <v>101</v>
      </c>
      <c r="G17" s="38" t="s">
        <v>94</v>
      </c>
      <c r="H17" s="38" t="s">
        <v>48</v>
      </c>
      <c r="I17" s="39"/>
      <c r="J17" s="39"/>
      <c r="K17" s="39"/>
      <c r="L17" s="40"/>
      <c r="M17" s="63"/>
    </row>
    <row r="18" spans="1:14" ht="15" x14ac:dyDescent="0.2">
      <c r="A18" s="56" t="s">
        <v>200</v>
      </c>
      <c r="B18" s="42"/>
      <c r="C18" s="42"/>
      <c r="D18" s="42"/>
      <c r="E18" s="246" t="s">
        <v>303</v>
      </c>
      <c r="F18" s="246" t="s">
        <v>303</v>
      </c>
      <c r="G18" s="38" t="s">
        <v>96</v>
      </c>
      <c r="H18" s="37" t="s">
        <v>20</v>
      </c>
      <c r="I18" s="255" t="s">
        <v>23</v>
      </c>
      <c r="J18" s="37" t="s">
        <v>7</v>
      </c>
      <c r="K18" s="37" t="s">
        <v>7</v>
      </c>
      <c r="L18" s="41"/>
      <c r="M18" s="63"/>
    </row>
    <row r="19" spans="1:14" ht="15" x14ac:dyDescent="0.2">
      <c r="A19" s="55" t="s">
        <v>200</v>
      </c>
      <c r="B19" s="39"/>
      <c r="C19" s="39"/>
      <c r="D19" s="39"/>
      <c r="E19" s="38" t="s">
        <v>96</v>
      </c>
      <c r="F19" s="38" t="s">
        <v>39</v>
      </c>
      <c r="G19" s="38" t="s">
        <v>39</v>
      </c>
      <c r="H19" s="38" t="s">
        <v>44</v>
      </c>
      <c r="I19" s="38" t="s">
        <v>44</v>
      </c>
      <c r="J19" s="38" t="s">
        <v>248</v>
      </c>
      <c r="K19" s="38" t="s">
        <v>248</v>
      </c>
      <c r="L19" s="40"/>
      <c r="M19" s="63"/>
      <c r="N19" s="15"/>
    </row>
    <row r="20" spans="1:14" ht="15" x14ac:dyDescent="0.2">
      <c r="A20" s="55" t="s">
        <v>200</v>
      </c>
      <c r="B20" s="39"/>
      <c r="C20" s="39"/>
      <c r="D20" s="39"/>
      <c r="E20" s="254" t="s">
        <v>18</v>
      </c>
      <c r="F20" s="254" t="s">
        <v>18</v>
      </c>
      <c r="G20" s="38" t="s">
        <v>101</v>
      </c>
      <c r="H20" s="38" t="s">
        <v>101</v>
      </c>
      <c r="I20" s="39"/>
      <c r="J20" s="39"/>
      <c r="K20" s="39"/>
      <c r="L20" s="40"/>
      <c r="M20" s="63"/>
    </row>
    <row r="21" spans="1:14" ht="15" x14ac:dyDescent="0.2">
      <c r="A21" s="55" t="s">
        <v>200</v>
      </c>
      <c r="B21" s="39"/>
      <c r="C21" s="39"/>
      <c r="D21" s="39"/>
      <c r="E21" s="38" t="s">
        <v>90</v>
      </c>
      <c r="F21" s="38" t="s">
        <v>90</v>
      </c>
      <c r="G21" s="38" t="s">
        <v>90</v>
      </c>
      <c r="H21" s="38" t="s">
        <v>90</v>
      </c>
      <c r="I21" s="39"/>
      <c r="J21" s="39"/>
      <c r="K21" s="39"/>
      <c r="L21" s="40"/>
      <c r="M21" s="63"/>
    </row>
    <row r="22" spans="1:14" ht="15" x14ac:dyDescent="0.2">
      <c r="A22" s="56" t="s">
        <v>186</v>
      </c>
      <c r="B22" s="42"/>
      <c r="C22" s="42"/>
      <c r="D22" s="42"/>
      <c r="E22" s="246" t="s">
        <v>303</v>
      </c>
      <c r="F22" s="246" t="s">
        <v>303</v>
      </c>
      <c r="G22" s="37" t="s">
        <v>96</v>
      </c>
      <c r="H22" s="253" t="s">
        <v>18</v>
      </c>
      <c r="I22" s="253" t="s">
        <v>18</v>
      </c>
      <c r="J22" s="37" t="s">
        <v>90</v>
      </c>
      <c r="K22" s="37" t="s">
        <v>248</v>
      </c>
      <c r="L22" s="41"/>
      <c r="M22" s="63"/>
    </row>
    <row r="23" spans="1:14" ht="15" x14ac:dyDescent="0.2">
      <c r="A23" s="56" t="s">
        <v>361</v>
      </c>
      <c r="B23" s="42"/>
      <c r="C23" s="42"/>
      <c r="D23" s="42"/>
      <c r="E23" s="37" t="s">
        <v>255</v>
      </c>
      <c r="F23" s="37" t="s">
        <v>94</v>
      </c>
      <c r="G23" s="37" t="s">
        <v>162</v>
      </c>
      <c r="H23" s="37" t="s">
        <v>85</v>
      </c>
      <c r="I23" s="37" t="s">
        <v>12</v>
      </c>
      <c r="J23" s="37" t="s">
        <v>12</v>
      </c>
      <c r="K23" s="204" t="s">
        <v>94</v>
      </c>
      <c r="L23" s="41"/>
      <c r="M23" s="63"/>
    </row>
    <row r="24" spans="1:14" ht="15" x14ac:dyDescent="0.2">
      <c r="A24" s="56" t="s">
        <v>191</v>
      </c>
      <c r="B24" s="42"/>
      <c r="C24" s="42"/>
      <c r="D24" s="42"/>
      <c r="E24" s="37" t="s">
        <v>248</v>
      </c>
      <c r="F24" s="37" t="s">
        <v>248</v>
      </c>
      <c r="G24" s="37" t="s">
        <v>95</v>
      </c>
      <c r="H24" s="37" t="s">
        <v>48</v>
      </c>
      <c r="I24" s="37" t="s">
        <v>48</v>
      </c>
      <c r="J24" s="37" t="s">
        <v>48</v>
      </c>
      <c r="K24" s="37" t="s">
        <v>101</v>
      </c>
      <c r="L24" s="41"/>
      <c r="M24" s="63"/>
    </row>
    <row r="25" spans="1:14" ht="15" x14ac:dyDescent="0.2">
      <c r="A25" s="56" t="s">
        <v>188</v>
      </c>
      <c r="B25" s="37" t="s">
        <v>95</v>
      </c>
      <c r="C25" s="37" t="s">
        <v>95</v>
      </c>
      <c r="D25" s="37" t="s">
        <v>85</v>
      </c>
      <c r="E25" s="42"/>
      <c r="F25" s="42"/>
      <c r="G25" s="42"/>
      <c r="H25" s="42"/>
      <c r="I25" s="42"/>
      <c r="J25" s="42"/>
      <c r="K25" s="42"/>
      <c r="L25" s="41"/>
      <c r="M25" s="63"/>
    </row>
    <row r="26" spans="1:14" ht="15" x14ac:dyDescent="0.2">
      <c r="A26" s="56" t="s">
        <v>78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4" t="s">
        <v>39</v>
      </c>
      <c r="M26" s="63"/>
    </row>
    <row r="27" spans="1:14" ht="15" x14ac:dyDescent="0.2">
      <c r="A27" s="57" t="s">
        <v>78</v>
      </c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46" t="s">
        <v>39</v>
      </c>
      <c r="M27" s="63"/>
    </row>
    <row r="28" spans="1:14" ht="15" x14ac:dyDescent="0.2">
      <c r="A28" s="61" t="s">
        <v>292</v>
      </c>
      <c r="B28" s="39"/>
      <c r="C28" s="39"/>
      <c r="D28" s="39"/>
      <c r="E28" s="173" t="s">
        <v>12</v>
      </c>
      <c r="F28" s="173" t="s">
        <v>12</v>
      </c>
      <c r="G28" s="173" t="s">
        <v>39</v>
      </c>
      <c r="H28" s="173" t="s">
        <v>96</v>
      </c>
      <c r="I28" s="173" t="s">
        <v>7</v>
      </c>
      <c r="J28" s="173" t="s">
        <v>39</v>
      </c>
      <c r="K28" s="173" t="s">
        <v>39</v>
      </c>
      <c r="L28" s="42"/>
      <c r="M28" s="63"/>
    </row>
    <row r="29" spans="1:14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4"/>
  <sheetViews>
    <sheetView workbookViewId="0"/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62" t="s">
        <v>131</v>
      </c>
      <c r="B1" s="62"/>
      <c r="C1" s="62"/>
      <c r="D1" s="62"/>
      <c r="E1" s="62"/>
      <c r="F1" s="62"/>
      <c r="G1" s="62" t="s">
        <v>222</v>
      </c>
      <c r="H1" s="65" t="str">
        <f>Issue</f>
        <v>2024 Show Season V1 7/22/2024</v>
      </c>
      <c r="I1" s="61"/>
      <c r="J1" s="61"/>
      <c r="K1" s="61"/>
      <c r="L1" s="63"/>
    </row>
    <row r="2" spans="1:42" ht="15.75" x14ac:dyDescent="0.25">
      <c r="A2" s="70" t="s">
        <v>132</v>
      </c>
      <c r="B2" s="70"/>
      <c r="C2" s="70"/>
      <c r="D2" s="62"/>
      <c r="E2" s="61"/>
      <c r="F2" s="61"/>
      <c r="G2" s="61"/>
      <c r="H2" s="61"/>
      <c r="I2" s="61"/>
      <c r="J2" s="61"/>
      <c r="K2" s="61"/>
      <c r="L2" s="6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9" t="s">
        <v>301</v>
      </c>
      <c r="B3" s="190"/>
      <c r="C3" s="190"/>
      <c r="D3" s="62"/>
      <c r="E3" s="63"/>
      <c r="F3" s="149" t="s">
        <v>141</v>
      </c>
      <c r="G3" s="61"/>
      <c r="H3" s="61"/>
      <c r="I3" s="61"/>
      <c r="J3" s="61"/>
      <c r="K3" s="61"/>
      <c r="L3" s="63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62"/>
      <c r="B4" s="62"/>
      <c r="C4" s="62"/>
      <c r="D4" s="61"/>
      <c r="E4" s="68"/>
      <c r="F4" s="67"/>
      <c r="G4" s="67"/>
      <c r="H4" s="61"/>
      <c r="I4" s="61"/>
      <c r="J4" s="61"/>
      <c r="K4" s="61"/>
      <c r="L4" s="63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62" t="str">
        <f>A3</f>
        <v>Sunday 01/21/2024</v>
      </c>
      <c r="B5" s="70" t="s">
        <v>106</v>
      </c>
      <c r="C5" s="70" t="s">
        <v>107</v>
      </c>
      <c r="D5" s="169" t="s">
        <v>108</v>
      </c>
      <c r="E5" s="169" t="s">
        <v>109</v>
      </c>
      <c r="F5" s="169" t="s">
        <v>110</v>
      </c>
      <c r="G5" s="169" t="s">
        <v>111</v>
      </c>
      <c r="H5" s="169" t="s">
        <v>112</v>
      </c>
      <c r="I5" s="169" t="s">
        <v>113</v>
      </c>
      <c r="J5" s="169" t="s">
        <v>114</v>
      </c>
      <c r="K5" s="169" t="s">
        <v>115</v>
      </c>
      <c r="L5" s="61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9" t="s">
        <v>193</v>
      </c>
      <c r="B6" s="196"/>
      <c r="C6" s="196"/>
      <c r="D6" s="49" t="s">
        <v>41</v>
      </c>
      <c r="E6" s="167"/>
      <c r="F6" s="48"/>
      <c r="G6" s="48"/>
      <c r="H6" s="48"/>
      <c r="I6" s="48"/>
      <c r="J6" s="48"/>
      <c r="K6" s="168"/>
      <c r="L6" s="72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55" t="s">
        <v>195</v>
      </c>
      <c r="B7" s="61"/>
      <c r="C7" s="61"/>
      <c r="D7" s="38" t="s">
        <v>94</v>
      </c>
      <c r="E7" s="47"/>
      <c r="F7" s="39"/>
      <c r="G7" s="39"/>
      <c r="H7" s="39"/>
      <c r="I7" s="39"/>
      <c r="J7" s="39"/>
      <c r="K7" s="40"/>
      <c r="L7" s="63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6" t="s">
        <v>197</v>
      </c>
      <c r="B8" s="187"/>
      <c r="C8" s="187"/>
      <c r="D8" s="42"/>
      <c r="E8" s="37" t="s">
        <v>20</v>
      </c>
      <c r="F8" s="37" t="s">
        <v>48</v>
      </c>
      <c r="G8" s="37" t="s">
        <v>48</v>
      </c>
      <c r="H8" s="37" t="s">
        <v>20</v>
      </c>
      <c r="I8" s="37" t="s">
        <v>94</v>
      </c>
      <c r="J8" s="37" t="s">
        <v>90</v>
      </c>
      <c r="K8" s="41"/>
      <c r="L8" s="63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6" t="s">
        <v>125</v>
      </c>
      <c r="B9" s="187"/>
      <c r="C9" s="187"/>
      <c r="D9" s="37" t="s">
        <v>7</v>
      </c>
      <c r="E9" s="37" t="s">
        <v>85</v>
      </c>
      <c r="F9" s="37" t="s">
        <v>41</v>
      </c>
      <c r="G9" s="37" t="s">
        <v>41</v>
      </c>
      <c r="H9" s="37" t="s">
        <v>12</v>
      </c>
      <c r="I9" s="37" t="s">
        <v>90</v>
      </c>
      <c r="J9" s="37" t="s">
        <v>44</v>
      </c>
      <c r="K9" s="41"/>
      <c r="L9" s="63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6" t="s">
        <v>185</v>
      </c>
      <c r="B10" s="187"/>
      <c r="C10" s="187"/>
      <c r="D10" s="37" t="s">
        <v>255</v>
      </c>
      <c r="E10" s="37" t="s">
        <v>96</v>
      </c>
      <c r="F10" s="37" t="s">
        <v>94</v>
      </c>
      <c r="G10" s="37" t="s">
        <v>23</v>
      </c>
      <c r="H10" s="37" t="s">
        <v>90</v>
      </c>
      <c r="I10" s="37" t="s">
        <v>44</v>
      </c>
      <c r="J10" s="37" t="s">
        <v>101</v>
      </c>
      <c r="K10" s="41"/>
      <c r="L10" s="63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6" t="s">
        <v>199</v>
      </c>
      <c r="B11" s="187"/>
      <c r="C11" s="187"/>
      <c r="D11" s="42"/>
      <c r="E11" s="246" t="s">
        <v>303</v>
      </c>
      <c r="F11" s="246" t="s">
        <v>303</v>
      </c>
      <c r="G11" s="37" t="s">
        <v>12</v>
      </c>
      <c r="H11" s="37" t="s">
        <v>12</v>
      </c>
      <c r="I11" s="37" t="s">
        <v>96</v>
      </c>
      <c r="J11" s="41"/>
      <c r="K11" s="41"/>
      <c r="L11" s="63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55" t="s">
        <v>199</v>
      </c>
      <c r="B12" s="61"/>
      <c r="C12" s="61"/>
      <c r="D12" s="39"/>
      <c r="E12" s="38" t="s">
        <v>90</v>
      </c>
      <c r="F12" s="38" t="s">
        <v>90</v>
      </c>
      <c r="G12" s="38" t="s">
        <v>90</v>
      </c>
      <c r="H12" s="38" t="s">
        <v>90</v>
      </c>
      <c r="I12" s="38" t="s">
        <v>85</v>
      </c>
      <c r="J12" s="40"/>
      <c r="K12" s="40"/>
      <c r="L12" s="63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55" t="s">
        <v>199</v>
      </c>
      <c r="B13" s="61"/>
      <c r="C13" s="61"/>
      <c r="D13" s="39"/>
      <c r="E13" s="39"/>
      <c r="F13" s="39"/>
      <c r="G13" s="37" t="s">
        <v>39</v>
      </c>
      <c r="H13" s="38" t="s">
        <v>39</v>
      </c>
      <c r="I13" s="39"/>
      <c r="J13" s="39"/>
      <c r="K13" s="40"/>
      <c r="L13" s="63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55" t="s">
        <v>199</v>
      </c>
      <c r="B14" s="61"/>
      <c r="C14" s="61"/>
      <c r="D14" s="39"/>
      <c r="E14" s="39"/>
      <c r="F14" s="39"/>
      <c r="G14" s="38" t="s">
        <v>162</v>
      </c>
      <c r="H14" s="38" t="s">
        <v>94</v>
      </c>
      <c r="I14" s="39"/>
      <c r="J14" s="39"/>
      <c r="K14" s="40"/>
      <c r="L14" s="63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6" t="s">
        <v>201</v>
      </c>
      <c r="B15" s="187"/>
      <c r="C15" s="187"/>
      <c r="D15" s="42"/>
      <c r="E15" s="37" t="s">
        <v>96</v>
      </c>
      <c r="F15" s="37" t="s">
        <v>96</v>
      </c>
      <c r="G15" s="37" t="s">
        <v>96</v>
      </c>
      <c r="H15" s="37" t="s">
        <v>48</v>
      </c>
      <c r="I15" s="37" t="s">
        <v>48</v>
      </c>
      <c r="J15" s="41"/>
      <c r="K15" s="41"/>
      <c r="L15" s="63"/>
    </row>
    <row r="16" spans="1:42" ht="15" x14ac:dyDescent="0.2">
      <c r="A16" s="55" t="s">
        <v>201</v>
      </c>
      <c r="B16" s="61"/>
      <c r="C16" s="61"/>
      <c r="D16" s="39"/>
      <c r="E16" s="38" t="s">
        <v>101</v>
      </c>
      <c r="F16" s="38" t="s">
        <v>101</v>
      </c>
      <c r="G16" s="38" t="s">
        <v>48</v>
      </c>
      <c r="H16" s="38" t="s">
        <v>101</v>
      </c>
      <c r="I16" s="38" t="s">
        <v>7</v>
      </c>
      <c r="J16" s="40"/>
      <c r="K16" s="40"/>
      <c r="L16" s="63"/>
      <c r="N16" s="18"/>
    </row>
    <row r="17" spans="1:12" ht="15" x14ac:dyDescent="0.2">
      <c r="A17" s="55" t="s">
        <v>201</v>
      </c>
      <c r="B17" s="61"/>
      <c r="C17" s="61"/>
      <c r="D17" s="39"/>
      <c r="E17" s="39"/>
      <c r="F17" s="39"/>
      <c r="G17" s="38" t="s">
        <v>41</v>
      </c>
      <c r="H17" s="38" t="s">
        <v>41</v>
      </c>
      <c r="I17" s="39"/>
      <c r="J17" s="39"/>
      <c r="K17" s="40"/>
      <c r="L17" s="63"/>
    </row>
    <row r="18" spans="1:12" ht="15" x14ac:dyDescent="0.2">
      <c r="A18" s="55" t="s">
        <v>201</v>
      </c>
      <c r="B18" s="61"/>
      <c r="C18" s="61"/>
      <c r="D18" s="39"/>
      <c r="E18" s="39"/>
      <c r="F18" s="39"/>
      <c r="G18" s="38" t="s">
        <v>101</v>
      </c>
      <c r="H18" s="38" t="s">
        <v>248</v>
      </c>
      <c r="I18" s="39"/>
      <c r="J18" s="39"/>
      <c r="K18" s="40"/>
      <c r="L18" s="63"/>
    </row>
    <row r="19" spans="1:12" ht="15" x14ac:dyDescent="0.2">
      <c r="A19" s="56" t="s">
        <v>187</v>
      </c>
      <c r="B19" s="187"/>
      <c r="C19" s="187"/>
      <c r="D19" s="42"/>
      <c r="E19" s="37" t="s">
        <v>39</v>
      </c>
      <c r="F19" s="37" t="s">
        <v>7</v>
      </c>
      <c r="G19" s="37" t="s">
        <v>94</v>
      </c>
      <c r="H19" s="37" t="s">
        <v>95</v>
      </c>
      <c r="I19" s="37" t="s">
        <v>101</v>
      </c>
      <c r="J19" s="37" t="s">
        <v>255</v>
      </c>
      <c r="K19" s="41"/>
      <c r="L19" s="63"/>
    </row>
    <row r="20" spans="1:12" ht="15" x14ac:dyDescent="0.2">
      <c r="A20" s="56" t="s">
        <v>360</v>
      </c>
      <c r="B20" s="187"/>
      <c r="C20" s="187"/>
      <c r="D20" s="42"/>
      <c r="E20" s="37" t="s">
        <v>12</v>
      </c>
      <c r="F20" s="37" t="s">
        <v>39</v>
      </c>
      <c r="G20" s="37" t="s">
        <v>85</v>
      </c>
      <c r="H20" s="37" t="s">
        <v>7</v>
      </c>
      <c r="I20" s="37" t="s">
        <v>90</v>
      </c>
      <c r="J20" s="41"/>
      <c r="K20" s="41"/>
      <c r="L20" s="61"/>
    </row>
    <row r="21" spans="1:12" ht="15" x14ac:dyDescent="0.2">
      <c r="A21" s="56" t="s">
        <v>190</v>
      </c>
      <c r="B21" s="187"/>
      <c r="C21" s="187"/>
      <c r="D21" s="42"/>
      <c r="E21" s="38" t="s">
        <v>7</v>
      </c>
      <c r="F21" s="37" t="s">
        <v>94</v>
      </c>
      <c r="G21" s="37" t="s">
        <v>255</v>
      </c>
      <c r="H21" s="37" t="s">
        <v>48</v>
      </c>
      <c r="I21" s="37" t="s">
        <v>48</v>
      </c>
      <c r="J21" s="37" t="s">
        <v>94</v>
      </c>
      <c r="K21" s="41"/>
      <c r="L21" s="63"/>
    </row>
    <row r="22" spans="1:12" ht="15" x14ac:dyDescent="0.2">
      <c r="A22" s="56" t="s">
        <v>293</v>
      </c>
      <c r="B22" s="187"/>
      <c r="C22" s="187"/>
      <c r="D22" s="42"/>
      <c r="E22" s="37" t="s">
        <v>90</v>
      </c>
      <c r="F22" s="37" t="s">
        <v>90</v>
      </c>
      <c r="G22" s="37" t="s">
        <v>248</v>
      </c>
      <c r="H22" s="37" t="s">
        <v>94</v>
      </c>
      <c r="I22" s="37" t="s">
        <v>94</v>
      </c>
      <c r="J22" s="37" t="s">
        <v>94</v>
      </c>
      <c r="K22" s="41"/>
      <c r="L22" s="63"/>
    </row>
    <row r="23" spans="1:12" ht="15" x14ac:dyDescent="0.2">
      <c r="A23" s="56"/>
      <c r="B23" s="187"/>
      <c r="C23" s="187"/>
      <c r="D23" s="42"/>
      <c r="E23" s="37"/>
      <c r="F23" s="37"/>
      <c r="G23" s="37"/>
      <c r="H23" s="37"/>
      <c r="I23" s="37"/>
      <c r="J23" s="37"/>
      <c r="K23" s="41"/>
      <c r="L23" s="63"/>
    </row>
    <row r="24" spans="1:12" ht="15" x14ac:dyDescent="0.2">
      <c r="A24" s="56" t="s">
        <v>189</v>
      </c>
      <c r="B24" s="187"/>
      <c r="C24" s="187"/>
      <c r="D24" s="37" t="s">
        <v>96</v>
      </c>
      <c r="E24" s="42"/>
      <c r="F24" s="42"/>
      <c r="G24" s="42"/>
      <c r="H24" s="42"/>
      <c r="I24" s="42"/>
      <c r="J24" s="42"/>
      <c r="K24" s="41"/>
      <c r="L24" s="63"/>
    </row>
    <row r="25" spans="1:12" ht="15" x14ac:dyDescent="0.2">
      <c r="A25" s="56" t="s">
        <v>202</v>
      </c>
      <c r="B25" s="187"/>
      <c r="C25" s="187"/>
      <c r="D25" s="42"/>
      <c r="E25" s="42"/>
      <c r="F25" s="42"/>
      <c r="G25" s="42"/>
      <c r="H25" s="42"/>
      <c r="I25" s="42"/>
      <c r="J25" s="42"/>
      <c r="K25" s="44" t="s">
        <v>23</v>
      </c>
      <c r="L25" s="63"/>
    </row>
    <row r="26" spans="1:12" ht="15" x14ac:dyDescent="0.2">
      <c r="A26" s="55" t="s">
        <v>202</v>
      </c>
      <c r="B26" s="61"/>
      <c r="C26" s="61"/>
      <c r="D26" s="39"/>
      <c r="E26" s="39"/>
      <c r="F26" s="39"/>
      <c r="I26" s="39"/>
      <c r="J26" s="39"/>
      <c r="K26" s="45" t="s">
        <v>23</v>
      </c>
      <c r="L26" s="63"/>
    </row>
    <row r="27" spans="1:12" ht="15" x14ac:dyDescent="0.2">
      <c r="A27" s="55" t="s">
        <v>202</v>
      </c>
      <c r="B27" s="61"/>
      <c r="C27" s="61"/>
      <c r="D27" s="47"/>
      <c r="E27" s="47"/>
      <c r="F27" s="47"/>
      <c r="G27" s="47"/>
      <c r="H27" s="47"/>
      <c r="I27" s="47"/>
      <c r="J27" s="47"/>
      <c r="K27" s="45" t="s">
        <v>23</v>
      </c>
      <c r="L27" s="63"/>
    </row>
    <row r="28" spans="1:12" ht="15" x14ac:dyDescent="0.2">
      <c r="A28" s="55" t="s">
        <v>202</v>
      </c>
      <c r="B28" s="61"/>
      <c r="C28" s="61"/>
      <c r="D28" s="47"/>
      <c r="E28" s="47"/>
      <c r="F28" s="47"/>
      <c r="G28" s="47"/>
      <c r="H28" s="47"/>
      <c r="I28" s="47"/>
      <c r="J28" s="47"/>
      <c r="K28" s="45" t="s">
        <v>23</v>
      </c>
      <c r="L28" s="63"/>
    </row>
    <row r="29" spans="1:12" ht="15" x14ac:dyDescent="0.2">
      <c r="A29" s="55" t="s">
        <v>202</v>
      </c>
      <c r="B29" s="61"/>
      <c r="C29" s="61"/>
      <c r="D29" s="47"/>
      <c r="E29" s="47"/>
      <c r="F29" s="47"/>
      <c r="G29" s="47"/>
      <c r="H29" s="47"/>
      <c r="I29" s="47"/>
      <c r="J29" s="47"/>
      <c r="K29" s="45" t="s">
        <v>23</v>
      </c>
      <c r="L29" s="63"/>
    </row>
    <row r="30" spans="1:12" ht="15" x14ac:dyDescent="0.2">
      <c r="A30" s="57" t="s">
        <v>202</v>
      </c>
      <c r="B30" s="191"/>
      <c r="C30" s="191"/>
      <c r="D30" s="43"/>
      <c r="E30" s="43"/>
      <c r="F30" s="43"/>
      <c r="G30" s="43"/>
      <c r="H30" s="43"/>
      <c r="I30" s="43"/>
      <c r="J30" s="43"/>
      <c r="K30" s="46" t="s">
        <v>23</v>
      </c>
      <c r="L30" s="63"/>
    </row>
    <row r="31" spans="1:12" x14ac:dyDescent="0.2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</row>
    <row r="32" spans="1:12" ht="15" x14ac:dyDescent="0.2">
      <c r="A32" s="15"/>
      <c r="B32" s="15"/>
      <c r="C32" s="15"/>
    </row>
    <row r="34" spans="12:12" ht="15" x14ac:dyDescent="0.2">
      <c r="L34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 t="s">
        <v>295</v>
      </c>
    </row>
    <row r="2" spans="1:26" ht="15.75" x14ac:dyDescent="0.25">
      <c r="A2" s="25" t="s">
        <v>150</v>
      </c>
      <c r="B2" s="19"/>
      <c r="C2" s="79" t="s">
        <v>303</v>
      </c>
      <c r="D2" s="20"/>
    </row>
    <row r="3" spans="1:26" x14ac:dyDescent="0.2">
      <c r="A3" s="25" t="s">
        <v>126</v>
      </c>
      <c r="B3" s="19"/>
      <c r="C3" s="51" t="str">
        <f>VLOOKUP(ClubSumSymbol,ClubList,2,FALSE)</f>
        <v>North Texas Railroad Modelers</v>
      </c>
      <c r="D3" s="20"/>
    </row>
    <row r="4" spans="1:26" x14ac:dyDescent="0.2">
      <c r="A4" t="s">
        <v>240</v>
      </c>
      <c r="C4" s="2" t="str">
        <f>VLOOKUP(ClubSumSymbol,ClubList,7,FALSE)</f>
        <v>Brian Lingle</v>
      </c>
    </row>
    <row r="5" spans="1:26" x14ac:dyDescent="0.2">
      <c r="A5" t="s">
        <v>241</v>
      </c>
      <c r="B5" s="75" t="str">
        <f>VLOOKUP(ClubSumSymbol,ClubList,8,FALSE)</f>
        <v>Assign times in mornong to allow meeting open house hours, manages magazine adds.</v>
      </c>
      <c r="C5" s="2"/>
    </row>
    <row r="6" spans="1:26" ht="15.75" x14ac:dyDescent="0.25">
      <c r="H6" s="80" t="s">
        <v>222</v>
      </c>
      <c r="I6" s="166" t="str">
        <f>Issue</f>
        <v>2024 Show Season V1 7/22/2024</v>
      </c>
    </row>
    <row r="7" spans="1:26" x14ac:dyDescent="0.2">
      <c r="B7" s="78" t="s">
        <v>158</v>
      </c>
      <c r="C7" s="78" t="s">
        <v>223</v>
      </c>
      <c r="D7" s="78" t="s">
        <v>159</v>
      </c>
      <c r="E7" s="78" t="s">
        <v>224</v>
      </c>
      <c r="F7" s="78" t="s">
        <v>117</v>
      </c>
    </row>
    <row r="8" spans="1:26" x14ac:dyDescent="0.2">
      <c r="A8" s="75" t="s">
        <v>157</v>
      </c>
      <c r="B8" s="76">
        <f>SUMIF(HTSPreshowTaskClubs,C2,HTSPreshowTaskHours)</f>
        <v>9</v>
      </c>
      <c r="C8" s="76" t="e">
        <f>COUNTIF(#REF!,"BNRR")</f>
        <v>#REF!</v>
      </c>
      <c r="D8" s="76">
        <f>SUMIF(DATPreshowTaskClubs,C2,DATPreshowTaskHours)</f>
        <v>9</v>
      </c>
      <c r="E8" s="76" t="e">
        <f>COUNTIF(#REF!,"BNRR")</f>
        <v>#REF!</v>
      </c>
      <c r="F8" s="76" t="e">
        <f>SUM(B8:E8)</f>
        <v>#REF!</v>
      </c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</row>
    <row r="9" spans="1:26" x14ac:dyDescent="0.2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</row>
    <row r="10" spans="1:26" x14ac:dyDescent="0.2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601" spans="1:26" x14ac:dyDescent="0.2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</row>
    <row r="602" spans="1:26" x14ac:dyDescent="0.2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</row>
  </sheetData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4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80" customWidth="1"/>
    <col min="2" max="2" width="7.85546875" style="80" customWidth="1"/>
    <col min="3" max="3" width="35.7109375" style="83" customWidth="1"/>
    <col min="4" max="4" width="4.28515625" style="80" customWidth="1"/>
    <col min="5" max="6" width="11.42578125" style="80" customWidth="1"/>
    <col min="7" max="7" width="20" style="80" customWidth="1"/>
    <col min="8" max="8" width="11.42578125" style="80" customWidth="1"/>
    <col min="9" max="9" width="4.28515625" style="80" customWidth="1"/>
    <col min="10" max="16384" width="9.140625" style="80"/>
  </cols>
  <sheetData>
    <row r="1" spans="1:26" s="15" customFormat="1" ht="15" x14ac:dyDescent="0.2">
      <c r="A1" s="15" t="s">
        <v>222</v>
      </c>
      <c r="B1" s="15" t="str">
        <f>Issue</f>
        <v>2024 Show Season V1 7/22/2024</v>
      </c>
      <c r="C1" s="84"/>
    </row>
    <row r="2" spans="1:26" x14ac:dyDescent="0.25">
      <c r="H2" s="156"/>
      <c r="I2"/>
    </row>
    <row r="3" spans="1:26" ht="19.5" customHeight="1" x14ac:dyDescent="0.4">
      <c r="B3" s="183"/>
      <c r="C3" s="181" t="s">
        <v>274</v>
      </c>
      <c r="D3" s="182"/>
      <c r="E3" s="88" t="e">
        <f>VLOOKUP(SelShowDay,ShowDates,3,FALSE)</f>
        <v>#N/A</v>
      </c>
      <c r="F3" s="87"/>
      <c r="G3" s="87"/>
      <c r="H3" s="175" t="s">
        <v>106</v>
      </c>
      <c r="I3" s="89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53"/>
      <c r="C5" s="84" t="s">
        <v>160</v>
      </c>
      <c r="F5" s="15" t="s">
        <v>161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86">
        <v>114</v>
      </c>
      <c r="B6" s="75" t="s">
        <v>106</v>
      </c>
      <c r="C6" s="75" t="s">
        <v>107</v>
      </c>
      <c r="D6" s="75" t="s">
        <v>108</v>
      </c>
      <c r="E6" s="75" t="s">
        <v>109</v>
      </c>
      <c r="F6" s="75" t="s">
        <v>110</v>
      </c>
      <c r="G6" s="75" t="s">
        <v>111</v>
      </c>
      <c r="H6" s="75" t="s">
        <v>112</v>
      </c>
      <c r="I6" s="75" t="s">
        <v>113</v>
      </c>
      <c r="J6" s="75" t="s">
        <v>114</v>
      </c>
      <c r="K6" s="75" t="s">
        <v>115</v>
      </c>
      <c r="L6" s="75" t="s">
        <v>124</v>
      </c>
      <c r="M6" s="75" t="s">
        <v>148</v>
      </c>
      <c r="N6" s="75" t="s">
        <v>106</v>
      </c>
      <c r="O6" s="75" t="s">
        <v>107</v>
      </c>
      <c r="P6" s="75" t="s">
        <v>108</v>
      </c>
      <c r="Q6" s="75" t="s">
        <v>149</v>
      </c>
      <c r="R6" s="75"/>
      <c r="S6" s="75"/>
      <c r="T6" s="75"/>
      <c r="U6" s="75"/>
      <c r="V6" s="75"/>
      <c r="W6" s="75"/>
      <c r="X6" s="75"/>
      <c r="Y6" s="75"/>
      <c r="Z6" s="75"/>
    </row>
    <row r="7" spans="1:26" x14ac:dyDescent="0.25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</row>
    <row r="8" spans="1:26" x14ac:dyDescent="0.25">
      <c r="A8" s="81" t="s">
        <v>176</v>
      </c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</row>
    <row r="9" spans="1:26" x14ac:dyDescent="0.25">
      <c r="A9" s="81"/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ht="16.5" thickBot="1" x14ac:dyDescent="0.3">
      <c r="A10" s="81"/>
      <c r="B10" s="81" t="s">
        <v>111</v>
      </c>
      <c r="C10" s="85" t="s">
        <v>41</v>
      </c>
      <c r="D10" s="82"/>
      <c r="E10" s="82"/>
      <c r="F10" s="82"/>
      <c r="G10" s="82"/>
      <c r="H10" s="82"/>
      <c r="I10" s="82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</row>
    <row r="11" spans="1:26" x14ac:dyDescent="0.25">
      <c r="A11" s="81"/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</row>
    <row r="12" spans="1:26" ht="16.5" thickBot="1" x14ac:dyDescent="0.3">
      <c r="A12" s="81"/>
      <c r="B12" s="81" t="s">
        <v>112</v>
      </c>
      <c r="C12" s="85" t="s">
        <v>41</v>
      </c>
      <c r="D12" s="82"/>
      <c r="E12" s="82"/>
      <c r="F12" s="82"/>
      <c r="G12" s="82"/>
      <c r="H12" s="82"/>
      <c r="I12" s="82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</row>
    <row r="13" spans="1:26" x14ac:dyDescent="0.25">
      <c r="A13" s="81"/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</row>
    <row r="14" spans="1:26" ht="16.5" thickBot="1" x14ac:dyDescent="0.3">
      <c r="A14" s="81"/>
      <c r="B14" s="81" t="s">
        <v>113</v>
      </c>
      <c r="C14" s="85" t="s">
        <v>41</v>
      </c>
      <c r="D14" s="82"/>
      <c r="E14" s="82"/>
      <c r="F14" s="82"/>
      <c r="G14" s="82"/>
      <c r="H14" s="82"/>
      <c r="I14" s="82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</row>
    <row r="15" spans="1:26" x14ac:dyDescent="0.25">
      <c r="A15" s="81"/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</row>
    <row r="16" spans="1:26" ht="16.5" thickBot="1" x14ac:dyDescent="0.3">
      <c r="A16" s="81"/>
      <c r="B16" s="81" t="s">
        <v>114</v>
      </c>
      <c r="C16" s="85" t="s">
        <v>41</v>
      </c>
      <c r="D16" s="82"/>
      <c r="E16" s="82"/>
      <c r="F16" s="82"/>
      <c r="G16" s="82"/>
      <c r="H16" s="82"/>
      <c r="I16" s="82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x14ac:dyDescent="0.25">
      <c r="A17" s="81"/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ht="16.5" thickBot="1" x14ac:dyDescent="0.3">
      <c r="A18" s="81"/>
      <c r="B18" s="81" t="s">
        <v>115</v>
      </c>
      <c r="C18" s="85" t="s">
        <v>41</v>
      </c>
      <c r="D18" s="82"/>
      <c r="E18" s="82"/>
      <c r="F18" s="82"/>
      <c r="G18" s="82"/>
      <c r="H18" s="82"/>
      <c r="I18" s="82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x14ac:dyDescent="0.25">
      <c r="A19" s="81"/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x14ac:dyDescent="0.25">
      <c r="A20" s="81" t="s">
        <v>278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</row>
    <row r="21" spans="1:26" x14ac:dyDescent="0.25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</row>
    <row r="22" spans="1:26" ht="16.5" thickBot="1" x14ac:dyDescent="0.3">
      <c r="A22" s="81"/>
      <c r="B22" s="81" t="s">
        <v>109</v>
      </c>
      <c r="C22" s="85" t="s">
        <v>255</v>
      </c>
      <c r="D22" s="82"/>
      <c r="E22" s="82"/>
      <c r="F22" s="82"/>
      <c r="G22" s="82"/>
      <c r="H22" s="82"/>
      <c r="I22" s="82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</row>
    <row r="23" spans="1:26" x14ac:dyDescent="0.25">
      <c r="A23" s="81"/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</row>
    <row r="24" spans="1:26" ht="16.5" thickBot="1" x14ac:dyDescent="0.3">
      <c r="A24" s="81"/>
      <c r="B24" s="81" t="s">
        <v>110</v>
      </c>
      <c r="C24" s="85" t="s">
        <v>255</v>
      </c>
      <c r="D24" s="82"/>
      <c r="E24" s="82"/>
      <c r="F24" s="82"/>
      <c r="G24" s="82"/>
      <c r="H24" s="82"/>
      <c r="I24" s="82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</row>
    <row r="25" spans="1:26" x14ac:dyDescent="0.25">
      <c r="A25" s="81"/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ht="16.5" thickBot="1" x14ac:dyDescent="0.3">
      <c r="A26" s="81"/>
      <c r="B26" s="81" t="s">
        <v>111</v>
      </c>
      <c r="C26" s="85" t="s">
        <v>23</v>
      </c>
      <c r="D26" s="82"/>
      <c r="E26" s="82"/>
      <c r="F26" s="82"/>
      <c r="G26" s="82"/>
      <c r="H26" s="82"/>
      <c r="I26" s="82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x14ac:dyDescent="0.25">
      <c r="A27" s="81"/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ht="16.5" thickBot="1" x14ac:dyDescent="0.3">
      <c r="A28" s="81"/>
      <c r="B28" s="81" t="s">
        <v>112</v>
      </c>
      <c r="C28" s="85" t="s">
        <v>23</v>
      </c>
      <c r="D28" s="82"/>
      <c r="E28" s="82"/>
      <c r="F28" s="82"/>
      <c r="G28" s="82"/>
      <c r="H28" s="82"/>
      <c r="I28" s="82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x14ac:dyDescent="0.25">
      <c r="A29" s="81"/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ht="16.5" thickBot="1" x14ac:dyDescent="0.3">
      <c r="A30" s="81"/>
      <c r="B30" s="81" t="s">
        <v>113</v>
      </c>
      <c r="C30" s="85" t="s">
        <v>23</v>
      </c>
      <c r="D30" s="82"/>
      <c r="E30" s="82"/>
      <c r="F30" s="82"/>
      <c r="G30" s="82"/>
      <c r="H30" s="82"/>
      <c r="I30" s="82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x14ac:dyDescent="0.25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ht="16.5" thickBot="1" x14ac:dyDescent="0.3">
      <c r="A32" s="81"/>
      <c r="B32" s="81" t="s">
        <v>114</v>
      </c>
      <c r="C32" s="85" t="s">
        <v>23</v>
      </c>
      <c r="D32" s="82"/>
      <c r="E32" s="82"/>
      <c r="F32" s="82"/>
      <c r="G32" s="82"/>
      <c r="H32" s="82"/>
      <c r="I32" s="82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x14ac:dyDescent="0.25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ht="16.5" thickBot="1" x14ac:dyDescent="0.3">
      <c r="A34" s="81"/>
      <c r="B34" s="81" t="s">
        <v>115</v>
      </c>
      <c r="C34" s="85" t="s">
        <v>23</v>
      </c>
      <c r="D34" s="82"/>
      <c r="E34" s="82"/>
      <c r="F34" s="82"/>
      <c r="G34" s="82"/>
      <c r="H34" s="82"/>
      <c r="I34" s="82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x14ac:dyDescent="0.25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ht="16.5" thickBot="1" x14ac:dyDescent="0.3">
      <c r="A36" s="81"/>
      <c r="B36" s="81" t="s">
        <v>124</v>
      </c>
      <c r="C36" s="85" t="s">
        <v>23</v>
      </c>
      <c r="D36" s="82"/>
      <c r="E36" s="82"/>
      <c r="F36" s="82"/>
      <c r="G36" s="82"/>
      <c r="H36" s="82"/>
      <c r="I36" s="82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x14ac:dyDescent="0.25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ht="16.5" thickBot="1" x14ac:dyDescent="0.3">
      <c r="A38" s="81"/>
      <c r="B38" s="81" t="s">
        <v>148</v>
      </c>
      <c r="C38" s="85" t="s">
        <v>23</v>
      </c>
      <c r="D38" s="82"/>
      <c r="E38" s="82"/>
      <c r="F38" s="82"/>
      <c r="G38" s="82"/>
      <c r="H38" s="82"/>
      <c r="I38" s="82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x14ac:dyDescent="0.25">
      <c r="A39" s="81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x14ac:dyDescent="0.25">
      <c r="A40" s="81" t="s">
        <v>276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1" spans="1:26" x14ac:dyDescent="0.25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</row>
    <row r="42" spans="1:26" ht="16.5" thickBot="1" x14ac:dyDescent="0.3">
      <c r="A42" s="81"/>
      <c r="B42" s="81" t="s">
        <v>109</v>
      </c>
      <c r="C42" s="85" t="s">
        <v>44</v>
      </c>
      <c r="D42" s="82"/>
      <c r="E42" s="82"/>
      <c r="F42" s="82"/>
      <c r="G42" s="82"/>
      <c r="H42" s="82"/>
      <c r="I42" s="82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</row>
    <row r="43" spans="1:26" x14ac:dyDescent="0.25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</row>
    <row r="44" spans="1:26" ht="16.5" thickBot="1" x14ac:dyDescent="0.3">
      <c r="A44" s="81"/>
      <c r="B44" s="81" t="s">
        <v>110</v>
      </c>
      <c r="C44" s="85" t="s">
        <v>44</v>
      </c>
      <c r="D44" s="82"/>
      <c r="E44" s="82"/>
      <c r="F44" s="82"/>
      <c r="G44" s="82"/>
      <c r="H44" s="82"/>
      <c r="I44" s="82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</row>
    <row r="45" spans="1:26" x14ac:dyDescent="0.25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</row>
    <row r="46" spans="1:26" ht="16.5" thickBot="1" x14ac:dyDescent="0.3">
      <c r="A46" s="81"/>
      <c r="B46" s="81" t="s">
        <v>111</v>
      </c>
      <c r="C46" s="85" t="s">
        <v>96</v>
      </c>
      <c r="D46" s="82"/>
      <c r="E46" s="82"/>
      <c r="F46" s="82"/>
      <c r="G46" s="82"/>
      <c r="H46" s="82"/>
      <c r="I46" s="82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</row>
    <row r="47" spans="1:26" x14ac:dyDescent="0.25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</row>
    <row r="48" spans="1:26" ht="16.5" thickBot="1" x14ac:dyDescent="0.3">
      <c r="A48" s="81"/>
      <c r="B48" s="81" t="s">
        <v>112</v>
      </c>
      <c r="C48" s="85" t="s">
        <v>94</v>
      </c>
      <c r="D48" s="82"/>
      <c r="E48" s="82"/>
      <c r="F48" s="82"/>
      <c r="G48" s="82"/>
      <c r="H48" s="82"/>
      <c r="I48" s="82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</row>
    <row r="49" spans="1:26" x14ac:dyDescent="0.25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</row>
    <row r="50" spans="1:26" ht="16.5" thickBot="1" x14ac:dyDescent="0.3">
      <c r="A50" s="81"/>
      <c r="B50" s="81" t="s">
        <v>113</v>
      </c>
      <c r="C50" s="85" t="s">
        <v>18</v>
      </c>
      <c r="D50" s="82"/>
      <c r="E50" s="82"/>
      <c r="F50" s="82"/>
      <c r="G50" s="82"/>
      <c r="H50" s="82"/>
      <c r="I50" s="82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</row>
    <row r="51" spans="1:26" x14ac:dyDescent="0.25">
      <c r="A51" s="81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</row>
    <row r="52" spans="1:26" ht="16.5" thickBot="1" x14ac:dyDescent="0.3">
      <c r="A52" s="81"/>
      <c r="B52" s="81" t="s">
        <v>114</v>
      </c>
      <c r="C52" s="85" t="s">
        <v>96</v>
      </c>
      <c r="D52" s="82"/>
      <c r="E52" s="82"/>
      <c r="F52" s="82"/>
      <c r="G52" s="82"/>
      <c r="H52" s="82"/>
      <c r="I52" s="82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</row>
    <row r="53" spans="1:26" x14ac:dyDescent="0.25">
      <c r="A53" s="81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</row>
    <row r="54" spans="1:26" ht="16.5" thickBot="1" x14ac:dyDescent="0.3">
      <c r="A54" s="81"/>
      <c r="B54" s="81" t="s">
        <v>115</v>
      </c>
      <c r="C54" s="85" t="s">
        <v>94</v>
      </c>
      <c r="D54" s="82"/>
      <c r="E54" s="82"/>
      <c r="F54" s="82"/>
      <c r="G54" s="82"/>
      <c r="H54" s="82"/>
      <c r="I54" s="82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</row>
    <row r="55" spans="1:26" x14ac:dyDescent="0.25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</row>
    <row r="56" spans="1:26" ht="16.5" thickBot="1" x14ac:dyDescent="0.3">
      <c r="A56" s="81"/>
      <c r="B56" s="81" t="s">
        <v>124</v>
      </c>
      <c r="C56" s="85" t="s">
        <v>85</v>
      </c>
      <c r="D56" s="82"/>
      <c r="E56" s="82"/>
      <c r="F56" s="82"/>
      <c r="G56" s="82"/>
      <c r="H56" s="82"/>
      <c r="I56" s="82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</row>
    <row r="57" spans="1:26" x14ac:dyDescent="0.25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</row>
    <row r="58" spans="1:26" ht="16.5" thickBot="1" x14ac:dyDescent="0.3">
      <c r="A58" s="81"/>
      <c r="B58" s="81" t="s">
        <v>148</v>
      </c>
      <c r="C58" s="85" t="s">
        <v>94</v>
      </c>
      <c r="D58" s="82"/>
      <c r="E58" s="82"/>
      <c r="F58" s="82"/>
      <c r="G58" s="82"/>
      <c r="H58" s="82"/>
      <c r="I58" s="82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</row>
    <row r="59" spans="1:26" x14ac:dyDescent="0.25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</row>
    <row r="60" spans="1:26" ht="16.5" thickBot="1" x14ac:dyDescent="0.3">
      <c r="A60" s="81"/>
      <c r="B60" s="81" t="s">
        <v>109</v>
      </c>
      <c r="C60" s="85" t="s">
        <v>303</v>
      </c>
      <c r="D60" s="82"/>
      <c r="E60" s="82"/>
      <c r="F60" s="82"/>
      <c r="G60" s="82"/>
      <c r="H60" s="82"/>
      <c r="I60" s="82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</row>
    <row r="61" spans="1:26" x14ac:dyDescent="0.25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</row>
    <row r="62" spans="1:26" ht="16.5" thickBot="1" x14ac:dyDescent="0.3">
      <c r="A62" s="81"/>
      <c r="B62" s="81" t="s">
        <v>110</v>
      </c>
      <c r="C62" s="85" t="s">
        <v>303</v>
      </c>
      <c r="D62" s="82"/>
      <c r="E62" s="82"/>
      <c r="F62" s="82"/>
      <c r="G62" s="82"/>
      <c r="H62" s="82"/>
      <c r="I62" s="82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1:26" x14ac:dyDescent="0.25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</row>
    <row r="64" spans="1:26" ht="16.5" thickBot="1" x14ac:dyDescent="0.3">
      <c r="A64" s="81"/>
      <c r="B64" s="81" t="s">
        <v>111</v>
      </c>
      <c r="C64" s="85" t="s">
        <v>48</v>
      </c>
      <c r="D64" s="82"/>
      <c r="E64" s="82"/>
      <c r="F64" s="82"/>
      <c r="G64" s="82"/>
      <c r="H64" s="82"/>
      <c r="I64" s="82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</row>
    <row r="65" spans="1:26" x14ac:dyDescent="0.25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</row>
    <row r="66" spans="1:26" ht="16.5" thickBot="1" x14ac:dyDescent="0.3">
      <c r="A66" s="81"/>
      <c r="B66" s="81" t="s">
        <v>112</v>
      </c>
      <c r="C66" s="85" t="s">
        <v>48</v>
      </c>
      <c r="D66" s="82"/>
      <c r="E66" s="82"/>
      <c r="F66" s="82"/>
      <c r="G66" s="82"/>
      <c r="H66" s="82"/>
      <c r="I66" s="82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</row>
    <row r="67" spans="1:26" x14ac:dyDescent="0.25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</row>
    <row r="68" spans="1:26" ht="16.5" thickBot="1" x14ac:dyDescent="0.3">
      <c r="A68" s="81"/>
      <c r="B68" s="81" t="s">
        <v>113</v>
      </c>
      <c r="C68" s="85" t="s">
        <v>95</v>
      </c>
      <c r="D68" s="82"/>
      <c r="E68" s="82"/>
      <c r="F68" s="82"/>
      <c r="G68" s="82"/>
      <c r="H68" s="82"/>
      <c r="I68" s="82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</row>
    <row r="69" spans="1:26" x14ac:dyDescent="0.25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</row>
    <row r="70" spans="1:26" ht="16.5" thickBot="1" x14ac:dyDescent="0.3">
      <c r="A70" s="81"/>
      <c r="B70" s="81" t="s">
        <v>114</v>
      </c>
      <c r="C70" s="85" t="s">
        <v>18</v>
      </c>
      <c r="D70" s="82"/>
      <c r="E70" s="82"/>
      <c r="F70" s="82"/>
      <c r="G70" s="82"/>
      <c r="H70" s="82"/>
      <c r="I70" s="82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</row>
    <row r="71" spans="1:26" x14ac:dyDescent="0.25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</row>
    <row r="72" spans="1:26" ht="16.5" thickBot="1" x14ac:dyDescent="0.3">
      <c r="A72" s="81"/>
      <c r="B72" s="81" t="s">
        <v>115</v>
      </c>
      <c r="C72" s="85" t="s">
        <v>85</v>
      </c>
      <c r="D72" s="82"/>
      <c r="E72" s="82"/>
      <c r="F72" s="82"/>
      <c r="G72" s="82"/>
      <c r="H72" s="82"/>
      <c r="I72" s="82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</row>
    <row r="73" spans="1:26" x14ac:dyDescent="0.25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</row>
    <row r="74" spans="1:26" ht="16.5" thickBot="1" x14ac:dyDescent="0.3">
      <c r="A74" s="81"/>
      <c r="B74" s="81" t="s">
        <v>124</v>
      </c>
      <c r="C74" s="85" t="s">
        <v>20</v>
      </c>
      <c r="D74" s="82"/>
      <c r="E74" s="82"/>
      <c r="F74" s="82"/>
      <c r="G74" s="82"/>
      <c r="H74" s="82"/>
      <c r="I74" s="82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</row>
    <row r="75" spans="1:26" x14ac:dyDescent="0.25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</row>
    <row r="76" spans="1:26" ht="16.5" thickBot="1" x14ac:dyDescent="0.3">
      <c r="A76" s="81"/>
      <c r="B76" s="81" t="s">
        <v>148</v>
      </c>
      <c r="C76" s="85" t="s">
        <v>85</v>
      </c>
      <c r="D76" s="82"/>
      <c r="E76" s="82"/>
      <c r="F76" s="82"/>
      <c r="G76" s="82"/>
      <c r="H76" s="82"/>
      <c r="I76" s="82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</row>
    <row r="77" spans="1:26" x14ac:dyDescent="0.25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</row>
    <row r="78" spans="1:26" x14ac:dyDescent="0.25">
      <c r="A78" s="81" t="s">
        <v>104</v>
      </c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</row>
    <row r="79" spans="1:26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</row>
    <row r="80" spans="1:26" ht="16.5" thickBot="1" x14ac:dyDescent="0.3">
      <c r="A80" s="81"/>
      <c r="B80" s="81" t="s">
        <v>113</v>
      </c>
      <c r="C80" s="85" t="s">
        <v>91</v>
      </c>
      <c r="D80" s="82"/>
      <c r="E80" s="82"/>
      <c r="F80" s="82"/>
      <c r="G80" s="82"/>
      <c r="H80" s="82"/>
      <c r="I80" s="82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</row>
    <row r="81" spans="1:26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</row>
    <row r="82" spans="1:26" ht="16.5" thickBot="1" x14ac:dyDescent="0.3">
      <c r="A82" s="81"/>
      <c r="B82" s="81" t="s">
        <v>114</v>
      </c>
      <c r="C82" s="85" t="s">
        <v>91</v>
      </c>
      <c r="D82" s="82"/>
      <c r="E82" s="82"/>
      <c r="F82" s="82"/>
      <c r="G82" s="82"/>
      <c r="H82" s="82"/>
      <c r="I82" s="82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</row>
    <row r="83" spans="1:26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</row>
    <row r="84" spans="1:26" ht="16.5" thickBot="1" x14ac:dyDescent="0.3">
      <c r="A84" s="81"/>
      <c r="B84" s="81" t="s">
        <v>115</v>
      </c>
      <c r="C84" s="85" t="s">
        <v>91</v>
      </c>
      <c r="D84" s="82"/>
      <c r="E84" s="82"/>
      <c r="F84" s="82"/>
      <c r="G84" s="82"/>
      <c r="H84" s="82"/>
      <c r="I84" s="82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</row>
    <row r="85" spans="1:26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</row>
    <row r="86" spans="1:26" ht="16.5" thickBot="1" x14ac:dyDescent="0.3">
      <c r="A86" s="81"/>
      <c r="B86" s="81" t="s">
        <v>124</v>
      </c>
      <c r="C86" s="85" t="s">
        <v>91</v>
      </c>
      <c r="D86" s="82"/>
      <c r="E86" s="82"/>
      <c r="F86" s="82"/>
      <c r="G86" s="82"/>
      <c r="H86" s="82"/>
      <c r="I86" s="82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</row>
    <row r="87" spans="1:26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</row>
    <row r="88" spans="1:26" ht="16.5" thickBot="1" x14ac:dyDescent="0.3">
      <c r="A88" s="81"/>
      <c r="B88" s="81" t="s">
        <v>148</v>
      </c>
      <c r="C88" s="85" t="s">
        <v>91</v>
      </c>
      <c r="D88" s="82"/>
      <c r="E88" s="82"/>
      <c r="F88" s="82"/>
      <c r="G88" s="82"/>
      <c r="H88" s="82"/>
      <c r="I88" s="82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</row>
    <row r="89" spans="1:26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</row>
    <row r="90" spans="1:26" ht="16.5" thickBot="1" x14ac:dyDescent="0.3">
      <c r="A90" s="81"/>
      <c r="B90" s="81" t="s">
        <v>106</v>
      </c>
      <c r="C90" s="85" t="s">
        <v>91</v>
      </c>
      <c r="D90" s="82"/>
      <c r="E90" s="82"/>
      <c r="F90" s="82"/>
      <c r="G90" s="82"/>
      <c r="H90" s="82"/>
      <c r="I90" s="82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</row>
    <row r="91" spans="1:26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</row>
    <row r="92" spans="1:26" ht="16.5" thickBot="1" x14ac:dyDescent="0.3">
      <c r="A92" s="81"/>
      <c r="B92" s="81" t="s">
        <v>107</v>
      </c>
      <c r="C92" s="85" t="s">
        <v>91</v>
      </c>
      <c r="D92" s="82"/>
      <c r="E92" s="82"/>
      <c r="F92" s="82"/>
      <c r="G92" s="82"/>
      <c r="H92" s="82"/>
      <c r="I92" s="82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</row>
    <row r="93" spans="1:26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</row>
    <row r="94" spans="1:26" x14ac:dyDescent="0.25">
      <c r="A94" s="81" t="s">
        <v>182</v>
      </c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</row>
    <row r="95" spans="1:26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</row>
    <row r="96" spans="1:26" ht="16.5" thickBot="1" x14ac:dyDescent="0.3">
      <c r="A96" s="81"/>
      <c r="B96" s="81" t="s">
        <v>111</v>
      </c>
      <c r="C96" s="85" t="s">
        <v>44</v>
      </c>
      <c r="D96" s="82"/>
      <c r="E96" s="82"/>
      <c r="F96" s="82"/>
      <c r="G96" s="82"/>
      <c r="H96" s="82"/>
      <c r="I96" s="82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</row>
    <row r="97" spans="1:26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</row>
    <row r="98" spans="1:26" ht="16.5" thickBot="1" x14ac:dyDescent="0.3">
      <c r="A98" s="81"/>
      <c r="B98" s="81" t="s">
        <v>112</v>
      </c>
      <c r="C98" s="85" t="s">
        <v>44</v>
      </c>
      <c r="D98" s="82"/>
      <c r="E98" s="82"/>
      <c r="F98" s="82"/>
      <c r="G98" s="82"/>
      <c r="H98" s="82"/>
      <c r="I98" s="82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</row>
    <row r="99" spans="1:26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</row>
    <row r="100" spans="1:26" ht="16.5" thickBot="1" x14ac:dyDescent="0.3">
      <c r="A100" s="81"/>
      <c r="B100" s="81" t="s">
        <v>113</v>
      </c>
      <c r="C100" s="85" t="s">
        <v>44</v>
      </c>
      <c r="D100" s="82"/>
      <c r="E100" s="82"/>
      <c r="F100" s="82"/>
      <c r="G100" s="82"/>
      <c r="H100" s="82"/>
      <c r="I100" s="82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</row>
    <row r="101" spans="1:26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</row>
    <row r="102" spans="1:26" ht="16.5" thickBot="1" x14ac:dyDescent="0.3">
      <c r="A102" s="81"/>
      <c r="B102" s="81" t="s">
        <v>114</v>
      </c>
      <c r="C102" s="85" t="s">
        <v>44</v>
      </c>
      <c r="D102" s="82"/>
      <c r="E102" s="82"/>
      <c r="F102" s="82"/>
      <c r="G102" s="82"/>
      <c r="H102" s="82"/>
      <c r="I102" s="82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</row>
    <row r="103" spans="1:26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</row>
    <row r="104" spans="1:26" ht="16.5" thickBot="1" x14ac:dyDescent="0.3">
      <c r="A104" s="81"/>
      <c r="B104" s="81" t="s">
        <v>115</v>
      </c>
      <c r="C104" s="85" t="s">
        <v>48</v>
      </c>
      <c r="D104" s="82"/>
      <c r="E104" s="82"/>
      <c r="F104" s="82"/>
      <c r="G104" s="82"/>
      <c r="H104" s="82"/>
      <c r="I104" s="82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</row>
    <row r="105" spans="1:26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</row>
    <row r="106" spans="1:26" ht="16.5" thickBot="1" x14ac:dyDescent="0.3">
      <c r="A106" s="81"/>
      <c r="B106" s="81" t="s">
        <v>124</v>
      </c>
      <c r="C106" s="85" t="s">
        <v>48</v>
      </c>
      <c r="D106" s="82"/>
      <c r="E106" s="82"/>
      <c r="F106" s="82"/>
      <c r="G106" s="82"/>
      <c r="H106" s="82"/>
      <c r="I106" s="82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</row>
    <row r="107" spans="1:26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</row>
    <row r="108" spans="1:26" ht="16.5" thickBot="1" x14ac:dyDescent="0.3">
      <c r="A108" s="81"/>
      <c r="B108" s="81" t="s">
        <v>148</v>
      </c>
      <c r="C108" s="85" t="s">
        <v>48</v>
      </c>
      <c r="D108" s="82"/>
      <c r="E108" s="82"/>
      <c r="F108" s="82"/>
      <c r="G108" s="82"/>
      <c r="H108" s="82"/>
      <c r="I108" s="82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</row>
    <row r="109" spans="1:26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</row>
    <row r="110" spans="1:26" ht="16.5" thickBot="1" x14ac:dyDescent="0.3">
      <c r="A110" s="81"/>
      <c r="B110" s="81" t="s">
        <v>106</v>
      </c>
      <c r="C110" s="85" t="s">
        <v>48</v>
      </c>
      <c r="D110" s="82"/>
      <c r="E110" s="82"/>
      <c r="F110" s="82"/>
      <c r="G110" s="82"/>
      <c r="H110" s="82"/>
      <c r="I110" s="82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</row>
    <row r="111" spans="1:26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</row>
    <row r="112" spans="1:26" ht="16.5" thickBot="1" x14ac:dyDescent="0.3">
      <c r="A112" s="81"/>
      <c r="B112" s="81" t="s">
        <v>107</v>
      </c>
      <c r="C112" s="85" t="s">
        <v>48</v>
      </c>
      <c r="D112" s="82"/>
      <c r="E112" s="82"/>
      <c r="F112" s="82"/>
      <c r="G112" s="82"/>
      <c r="H112" s="82"/>
      <c r="I112" s="82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</row>
    <row r="113" spans="1:26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</row>
    <row r="114" spans="1:26" x14ac:dyDescent="0.25">
      <c r="A114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</row>
    <row r="115" spans="1:26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</row>
    <row r="116" spans="1:26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</row>
    <row r="117" spans="1:26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</row>
    <row r="118" spans="1:26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</row>
    <row r="119" spans="1:26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</row>
    <row r="120" spans="1:26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</row>
    <row r="121" spans="1:26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</row>
    <row r="122" spans="1:26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</row>
    <row r="123" spans="1:26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</row>
    <row r="124" spans="1:26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</row>
    <row r="125" spans="1:26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</row>
    <row r="126" spans="1:26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</row>
    <row r="127" spans="1:26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</row>
    <row r="128" spans="1:26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</row>
    <row r="129" spans="1:26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</row>
    <row r="130" spans="1:26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</row>
    <row r="131" spans="1:26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</row>
    <row r="132" spans="1:26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</row>
    <row r="133" spans="1:26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</row>
    <row r="134" spans="1:26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</row>
    <row r="135" spans="1:26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</row>
    <row r="136" spans="1:26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</row>
    <row r="137" spans="1:26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</row>
    <row r="138" spans="1:26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</row>
    <row r="139" spans="1:26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</row>
    <row r="140" spans="1:26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</row>
    <row r="141" spans="1:26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</row>
    <row r="142" spans="1:26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</row>
    <row r="143" spans="1:26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</row>
    <row r="144" spans="1:26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</row>
    <row r="145" spans="1:26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</row>
    <row r="146" spans="1:26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</row>
    <row r="147" spans="1:26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</row>
    <row r="148" spans="1:26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</row>
    <row r="149" spans="1:26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</row>
    <row r="150" spans="1:26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</row>
    <row r="151" spans="1:26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</row>
    <row r="152" spans="1:26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</row>
    <row r="153" spans="1:26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</row>
    <row r="154" spans="1:26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</row>
    <row r="155" spans="1:26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</row>
    <row r="156" spans="1:26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</row>
    <row r="157" spans="1:26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</row>
    <row r="158" spans="1:26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  <row r="159" spans="1:26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</row>
    <row r="160" spans="1:26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</row>
    <row r="161" spans="1:26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</row>
    <row r="162" spans="1:26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</row>
    <row r="163" spans="1:26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</row>
    <row r="164" spans="1:26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</row>
    <row r="165" spans="1:26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</row>
    <row r="166" spans="1:26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</row>
    <row r="167" spans="1:26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</row>
    <row r="168" spans="1:26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</row>
    <row r="169" spans="1:26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</row>
    <row r="170" spans="1:26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</row>
    <row r="171" spans="1:26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</row>
    <row r="172" spans="1:26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</row>
    <row r="173" spans="1:26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</row>
    <row r="174" spans="1:26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</row>
    <row r="175" spans="1:26" x14ac:dyDescent="0.25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</row>
    <row r="176" spans="1:26" x14ac:dyDescent="0.25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</row>
    <row r="177" spans="1:26" x14ac:dyDescent="0.25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</row>
    <row r="178" spans="1:26" x14ac:dyDescent="0.25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</row>
    <row r="179" spans="1:26" x14ac:dyDescent="0.25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</row>
    <row r="180" spans="1:26" x14ac:dyDescent="0.25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</row>
    <row r="181" spans="1:26" x14ac:dyDescent="0.25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</row>
    <row r="182" spans="1:26" x14ac:dyDescent="0.25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</row>
    <row r="183" spans="1:26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</row>
    <row r="184" spans="1:26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</row>
    <row r="185" spans="1:26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</row>
    <row r="186" spans="1:26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</row>
    <row r="187" spans="1:26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</row>
    <row r="188" spans="1:26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</row>
    <row r="189" spans="1:26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</row>
    <row r="190" spans="1:26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</row>
    <row r="191" spans="1:26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</row>
    <row r="192" spans="1:26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</row>
    <row r="193" spans="1:26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</row>
    <row r="194" spans="1:26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</row>
    <row r="195" spans="1:26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</row>
    <row r="196" spans="1:26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</row>
    <row r="197" spans="1:26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</row>
    <row r="198" spans="1:26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</row>
    <row r="199" spans="1:26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</row>
    <row r="200" spans="1:26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</row>
    <row r="201" spans="1:26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</row>
    <row r="202" spans="1:26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</row>
    <row r="203" spans="1:26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</row>
    <row r="204" spans="1:26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</row>
    <row r="205" spans="1:26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</row>
    <row r="206" spans="1:26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</row>
    <row r="207" spans="1:26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</row>
    <row r="208" spans="1:26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</row>
    <row r="209" spans="1:26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</row>
    <row r="210" spans="1:26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</row>
    <row r="211" spans="1:26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</row>
    <row r="212" spans="1:26" x14ac:dyDescent="0.25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</row>
    <row r="213" spans="1:26" x14ac:dyDescent="0.25">
      <c r="A213" s="81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</row>
    <row r="214" spans="1:26" x14ac:dyDescent="0.25">
      <c r="A214" s="81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</row>
    <row r="215" spans="1:26" x14ac:dyDescent="0.25">
      <c r="A215" s="81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</row>
    <row r="216" spans="1:26" x14ac:dyDescent="0.25">
      <c r="A216" s="81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</row>
    <row r="217" spans="1:26" x14ac:dyDescent="0.25">
      <c r="A217" s="81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</row>
    <row r="218" spans="1:26" x14ac:dyDescent="0.25">
      <c r="A218" s="81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</row>
    <row r="219" spans="1:26" x14ac:dyDescent="0.25">
      <c r="A219" s="81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</row>
    <row r="220" spans="1:26" x14ac:dyDescent="0.25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</row>
    <row r="221" spans="1:26" x14ac:dyDescent="0.25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</row>
    <row r="222" spans="1:26" x14ac:dyDescent="0.25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</row>
    <row r="223" spans="1:26" x14ac:dyDescent="0.25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</row>
    <row r="224" spans="1:26" x14ac:dyDescent="0.25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</row>
    <row r="225" spans="1:26" x14ac:dyDescent="0.25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</row>
    <row r="226" spans="1:26" x14ac:dyDescent="0.25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</row>
    <row r="227" spans="1:26" x14ac:dyDescent="0.25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</row>
    <row r="228" spans="1:26" x14ac:dyDescent="0.25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</row>
    <row r="229" spans="1:26" x14ac:dyDescent="0.25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</row>
    <row r="230" spans="1:26" x14ac:dyDescent="0.25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</row>
    <row r="231" spans="1:26" x14ac:dyDescent="0.25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</row>
    <row r="232" spans="1:26" x14ac:dyDescent="0.25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</row>
    <row r="233" spans="1:26" x14ac:dyDescent="0.25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</row>
    <row r="234" spans="1:26" x14ac:dyDescent="0.25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</row>
    <row r="235" spans="1:26" x14ac:dyDescent="0.25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</row>
    <row r="236" spans="1:26" x14ac:dyDescent="0.25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</row>
    <row r="237" spans="1:26" x14ac:dyDescent="0.25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</row>
    <row r="238" spans="1:26" x14ac:dyDescent="0.25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</row>
    <row r="239" spans="1:26" x14ac:dyDescent="0.25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</row>
    <row r="240" spans="1:26" x14ac:dyDescent="0.25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</row>
    <row r="241" spans="1:26" x14ac:dyDescent="0.25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</row>
    <row r="242" spans="1:26" x14ac:dyDescent="0.25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</row>
    <row r="243" spans="1:26" x14ac:dyDescent="0.25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</row>
    <row r="244" spans="1:26" x14ac:dyDescent="0.25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</row>
    <row r="245" spans="1:26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</row>
    <row r="246" spans="1:26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</row>
    <row r="247" spans="1:26" x14ac:dyDescent="0.25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</row>
    <row r="248" spans="1:26" x14ac:dyDescent="0.25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</row>
    <row r="249" spans="1:26" x14ac:dyDescent="0.25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</row>
    <row r="250" spans="1:26" x14ac:dyDescent="0.25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</row>
    <row r="251" spans="1:26" x14ac:dyDescent="0.25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</row>
    <row r="252" spans="1:26" x14ac:dyDescent="0.25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</row>
    <row r="253" spans="1:26" x14ac:dyDescent="0.25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</row>
    <row r="254" spans="1:26" x14ac:dyDescent="0.25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</row>
    <row r="255" spans="1:26" x14ac:dyDescent="0.25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</row>
    <row r="256" spans="1:26" x14ac:dyDescent="0.25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</row>
    <row r="257" spans="1:26" x14ac:dyDescent="0.25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</row>
    <row r="258" spans="1:26" x14ac:dyDescent="0.25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</row>
    <row r="259" spans="1:26" x14ac:dyDescent="0.25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</row>
    <row r="260" spans="1:26" x14ac:dyDescent="0.25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</row>
    <row r="261" spans="1:26" x14ac:dyDescent="0.25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</row>
    <row r="262" spans="1:26" x14ac:dyDescent="0.25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</row>
    <row r="263" spans="1:26" x14ac:dyDescent="0.25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</row>
    <row r="264" spans="1:26" x14ac:dyDescent="0.25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</row>
    <row r="265" spans="1:26" x14ac:dyDescent="0.25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</row>
    <row r="266" spans="1:26" x14ac:dyDescent="0.25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</row>
    <row r="267" spans="1:26" x14ac:dyDescent="0.25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</row>
    <row r="268" spans="1:26" x14ac:dyDescent="0.25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</row>
    <row r="269" spans="1:26" x14ac:dyDescent="0.25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</row>
    <row r="270" spans="1:26" x14ac:dyDescent="0.25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</row>
    <row r="271" spans="1:26" x14ac:dyDescent="0.25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</row>
    <row r="272" spans="1:26" x14ac:dyDescent="0.25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</row>
    <row r="273" spans="1:26" x14ac:dyDescent="0.25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</row>
    <row r="274" spans="1:26" x14ac:dyDescent="0.25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</row>
    <row r="275" spans="1:26" x14ac:dyDescent="0.25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</row>
    <row r="276" spans="1:26" x14ac:dyDescent="0.25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</row>
    <row r="277" spans="1:26" x14ac:dyDescent="0.25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</row>
    <row r="278" spans="1:26" x14ac:dyDescent="0.25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</row>
    <row r="279" spans="1:26" x14ac:dyDescent="0.25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</row>
    <row r="280" spans="1:26" x14ac:dyDescent="0.25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</row>
    <row r="281" spans="1:26" x14ac:dyDescent="0.25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</row>
    <row r="282" spans="1:26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</row>
    <row r="283" spans="1:26" x14ac:dyDescent="0.25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</row>
    <row r="284" spans="1:26" x14ac:dyDescent="0.25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</row>
    <row r="285" spans="1:26" x14ac:dyDescent="0.25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</row>
    <row r="286" spans="1:26" x14ac:dyDescent="0.25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</row>
    <row r="287" spans="1:26" x14ac:dyDescent="0.25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</row>
    <row r="288" spans="1:26" x14ac:dyDescent="0.25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</row>
    <row r="289" spans="1:26" x14ac:dyDescent="0.25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</row>
    <row r="290" spans="1:26" x14ac:dyDescent="0.25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</row>
    <row r="291" spans="1:26" x14ac:dyDescent="0.25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</row>
    <row r="292" spans="1:26" x14ac:dyDescent="0.25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</row>
    <row r="293" spans="1:26" x14ac:dyDescent="0.25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</row>
    <row r="294" spans="1:26" x14ac:dyDescent="0.25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</row>
    <row r="295" spans="1:26" x14ac:dyDescent="0.25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</row>
    <row r="296" spans="1:26" x14ac:dyDescent="0.25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</row>
    <row r="297" spans="1:26" x14ac:dyDescent="0.25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</row>
    <row r="298" spans="1:26" x14ac:dyDescent="0.25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</row>
    <row r="299" spans="1:26" x14ac:dyDescent="0.25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</row>
    <row r="300" spans="1:26" x14ac:dyDescent="0.25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</row>
    <row r="301" spans="1:26" x14ac:dyDescent="0.25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</row>
    <row r="302" spans="1:26" x14ac:dyDescent="0.25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</row>
    <row r="303" spans="1:26" x14ac:dyDescent="0.25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</row>
    <row r="304" spans="1:26" x14ac:dyDescent="0.25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</row>
    <row r="305" spans="1:26" x14ac:dyDescent="0.25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</row>
    <row r="306" spans="1:26" x14ac:dyDescent="0.25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</row>
    <row r="307" spans="1:26" x14ac:dyDescent="0.25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</row>
    <row r="308" spans="1:26" x14ac:dyDescent="0.25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</row>
    <row r="309" spans="1:26" x14ac:dyDescent="0.25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</row>
    <row r="310" spans="1:26" x14ac:dyDescent="0.25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</row>
    <row r="311" spans="1:26" x14ac:dyDescent="0.25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</row>
    <row r="312" spans="1:26" x14ac:dyDescent="0.25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</row>
    <row r="313" spans="1:26" x14ac:dyDescent="0.25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</row>
    <row r="314" spans="1:26" x14ac:dyDescent="0.25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</row>
    <row r="315" spans="1:26" x14ac:dyDescent="0.25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</row>
    <row r="316" spans="1:26" x14ac:dyDescent="0.25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</row>
    <row r="317" spans="1:26" x14ac:dyDescent="0.25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</row>
    <row r="318" spans="1:26" x14ac:dyDescent="0.25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</row>
    <row r="319" spans="1:26" x14ac:dyDescent="0.25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</row>
    <row r="320" spans="1:26" x14ac:dyDescent="0.25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</row>
    <row r="321" spans="1:26" x14ac:dyDescent="0.25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</row>
    <row r="322" spans="1:26" x14ac:dyDescent="0.25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</row>
    <row r="323" spans="1:26" x14ac:dyDescent="0.25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</row>
    <row r="324" spans="1:26" x14ac:dyDescent="0.25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</row>
    <row r="325" spans="1:26" x14ac:dyDescent="0.25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</row>
    <row r="326" spans="1:26" x14ac:dyDescent="0.25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</row>
    <row r="327" spans="1:26" x14ac:dyDescent="0.25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</row>
    <row r="328" spans="1:26" x14ac:dyDescent="0.25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</row>
    <row r="329" spans="1:26" x14ac:dyDescent="0.25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</row>
    <row r="330" spans="1:26" x14ac:dyDescent="0.25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</row>
    <row r="331" spans="1:26" x14ac:dyDescent="0.25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</row>
    <row r="332" spans="1:26" x14ac:dyDescent="0.25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</row>
    <row r="333" spans="1:26" x14ac:dyDescent="0.25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</row>
    <row r="334" spans="1:26" x14ac:dyDescent="0.25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</row>
    <row r="335" spans="1:26" x14ac:dyDescent="0.25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</row>
    <row r="336" spans="1:26" x14ac:dyDescent="0.25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</row>
    <row r="337" spans="1:26" x14ac:dyDescent="0.25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</row>
    <row r="338" spans="1:26" x14ac:dyDescent="0.25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</row>
    <row r="339" spans="1:26" x14ac:dyDescent="0.25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</row>
    <row r="340" spans="1:26" x14ac:dyDescent="0.25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</row>
    <row r="341" spans="1:26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</row>
    <row r="342" spans="1:26" x14ac:dyDescent="0.25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</row>
    <row r="343" spans="1:26" x14ac:dyDescent="0.25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</row>
    <row r="344" spans="1:26" x14ac:dyDescent="0.25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</row>
    <row r="345" spans="1:26" x14ac:dyDescent="0.25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</row>
    <row r="346" spans="1:26" x14ac:dyDescent="0.25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</row>
    <row r="347" spans="1:26" x14ac:dyDescent="0.25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</row>
    <row r="348" spans="1:26" x14ac:dyDescent="0.25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</row>
    <row r="349" spans="1:26" x14ac:dyDescent="0.25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</row>
    <row r="350" spans="1:26" x14ac:dyDescent="0.25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</row>
    <row r="351" spans="1:26" x14ac:dyDescent="0.25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</row>
    <row r="352" spans="1:26" x14ac:dyDescent="0.25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</row>
    <row r="353" spans="1:26" x14ac:dyDescent="0.25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</row>
    <row r="354" spans="1:26" x14ac:dyDescent="0.25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</row>
    <row r="355" spans="1:26" x14ac:dyDescent="0.25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</row>
    <row r="356" spans="1:26" x14ac:dyDescent="0.25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</row>
    <row r="357" spans="1:26" x14ac:dyDescent="0.25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</row>
    <row r="358" spans="1:26" x14ac:dyDescent="0.25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</row>
    <row r="359" spans="1:26" x14ac:dyDescent="0.25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</row>
    <row r="360" spans="1:26" x14ac:dyDescent="0.25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</row>
    <row r="361" spans="1:26" x14ac:dyDescent="0.25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</row>
    <row r="362" spans="1:26" x14ac:dyDescent="0.25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</row>
    <row r="363" spans="1:26" x14ac:dyDescent="0.25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</row>
    <row r="364" spans="1:26" x14ac:dyDescent="0.25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</row>
    <row r="365" spans="1:26" x14ac:dyDescent="0.25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</row>
    <row r="366" spans="1:26" x14ac:dyDescent="0.25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</row>
    <row r="367" spans="1:26" x14ac:dyDescent="0.25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</row>
    <row r="368" spans="1:26" x14ac:dyDescent="0.25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</row>
    <row r="369" spans="1:26" x14ac:dyDescent="0.25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</row>
    <row r="370" spans="1:26" x14ac:dyDescent="0.25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</row>
    <row r="371" spans="1:26" x14ac:dyDescent="0.25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</row>
    <row r="372" spans="1:26" x14ac:dyDescent="0.25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</row>
    <row r="373" spans="1:26" x14ac:dyDescent="0.25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</row>
    <row r="374" spans="1:26" x14ac:dyDescent="0.25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</row>
    <row r="375" spans="1:26" x14ac:dyDescent="0.25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</row>
    <row r="376" spans="1:26" x14ac:dyDescent="0.25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</row>
    <row r="377" spans="1:26" x14ac:dyDescent="0.25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</row>
    <row r="378" spans="1:26" x14ac:dyDescent="0.25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</row>
    <row r="379" spans="1:26" x14ac:dyDescent="0.25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</row>
    <row r="380" spans="1:26" x14ac:dyDescent="0.25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</row>
    <row r="381" spans="1:26" x14ac:dyDescent="0.25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</row>
    <row r="382" spans="1:26" x14ac:dyDescent="0.25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</row>
    <row r="383" spans="1:26" x14ac:dyDescent="0.25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</row>
    <row r="384" spans="1:26" x14ac:dyDescent="0.25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</row>
    <row r="385" spans="1:26" x14ac:dyDescent="0.25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</row>
    <row r="386" spans="1:26" x14ac:dyDescent="0.25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</row>
    <row r="387" spans="1:26" x14ac:dyDescent="0.25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</row>
    <row r="388" spans="1:26" x14ac:dyDescent="0.25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</row>
    <row r="389" spans="1:26" x14ac:dyDescent="0.25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</row>
    <row r="390" spans="1:26" x14ac:dyDescent="0.25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</row>
    <row r="391" spans="1:26" x14ac:dyDescent="0.25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</row>
    <row r="392" spans="1:26" x14ac:dyDescent="0.25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</row>
    <row r="393" spans="1:26" x14ac:dyDescent="0.25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</row>
    <row r="394" spans="1:26" x14ac:dyDescent="0.25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</row>
    <row r="395" spans="1:26" x14ac:dyDescent="0.25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</row>
    <row r="396" spans="1:26" x14ac:dyDescent="0.25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</row>
    <row r="397" spans="1:26" x14ac:dyDescent="0.25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</row>
    <row r="398" spans="1:26" x14ac:dyDescent="0.25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</row>
    <row r="399" spans="1:26" x14ac:dyDescent="0.25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</row>
    <row r="400" spans="1:26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</row>
    <row r="401" spans="1:26" x14ac:dyDescent="0.25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</row>
    <row r="402" spans="1:26" x14ac:dyDescent="0.25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</row>
    <row r="403" spans="1:26" x14ac:dyDescent="0.25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</row>
    <row r="404" spans="1:26" x14ac:dyDescent="0.25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</row>
    <row r="405" spans="1:26" x14ac:dyDescent="0.25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</row>
    <row r="406" spans="1:26" x14ac:dyDescent="0.25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</row>
    <row r="407" spans="1:26" x14ac:dyDescent="0.25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</row>
    <row r="408" spans="1:26" x14ac:dyDescent="0.25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</row>
    <row r="409" spans="1:26" x14ac:dyDescent="0.25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</row>
    <row r="410" spans="1:26" x14ac:dyDescent="0.25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</row>
    <row r="411" spans="1:26" x14ac:dyDescent="0.25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</row>
    <row r="412" spans="1:26" x14ac:dyDescent="0.25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</row>
    <row r="413" spans="1:26" x14ac:dyDescent="0.25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</row>
    <row r="414" spans="1:26" x14ac:dyDescent="0.25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</row>
    <row r="415" spans="1:26" x14ac:dyDescent="0.25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</row>
    <row r="416" spans="1:26" x14ac:dyDescent="0.25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</row>
    <row r="417" spans="1:26" x14ac:dyDescent="0.25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</row>
    <row r="418" spans="1:26" x14ac:dyDescent="0.25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</row>
    <row r="419" spans="1:26" x14ac:dyDescent="0.25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</row>
    <row r="420" spans="1:26" x14ac:dyDescent="0.25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</row>
    <row r="421" spans="1:26" x14ac:dyDescent="0.25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</row>
    <row r="422" spans="1:26" x14ac:dyDescent="0.25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</row>
    <row r="423" spans="1:26" x14ac:dyDescent="0.25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</row>
    <row r="424" spans="1:26" x14ac:dyDescent="0.25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</row>
    <row r="425" spans="1:26" x14ac:dyDescent="0.25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</row>
    <row r="426" spans="1:26" x14ac:dyDescent="0.25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</row>
    <row r="427" spans="1:26" x14ac:dyDescent="0.25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</row>
    <row r="428" spans="1:26" x14ac:dyDescent="0.25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</row>
    <row r="429" spans="1:26" x14ac:dyDescent="0.25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</row>
    <row r="430" spans="1:26" x14ac:dyDescent="0.25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</row>
    <row r="431" spans="1:26" x14ac:dyDescent="0.25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</row>
    <row r="432" spans="1:26" x14ac:dyDescent="0.25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</row>
    <row r="433" spans="1:26" x14ac:dyDescent="0.25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</row>
    <row r="434" spans="1:26" x14ac:dyDescent="0.25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</row>
    <row r="435" spans="1:26" x14ac:dyDescent="0.25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</row>
    <row r="436" spans="1:26" x14ac:dyDescent="0.25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</row>
    <row r="437" spans="1:26" x14ac:dyDescent="0.25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</row>
    <row r="438" spans="1:26" x14ac:dyDescent="0.25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</row>
    <row r="439" spans="1:26" x14ac:dyDescent="0.25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</row>
    <row r="440" spans="1:26" x14ac:dyDescent="0.25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</row>
    <row r="441" spans="1:26" x14ac:dyDescent="0.25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</row>
    <row r="442" spans="1:26" x14ac:dyDescent="0.25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</row>
    <row r="443" spans="1:26" x14ac:dyDescent="0.25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</row>
    <row r="444" spans="1:26" x14ac:dyDescent="0.25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</row>
    <row r="445" spans="1:26" x14ac:dyDescent="0.25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</row>
    <row r="446" spans="1:26" x14ac:dyDescent="0.25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</row>
    <row r="447" spans="1:26" x14ac:dyDescent="0.25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</row>
    <row r="448" spans="1:26" x14ac:dyDescent="0.25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</row>
    <row r="449" spans="1:26" x14ac:dyDescent="0.25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</row>
    <row r="450" spans="1:26" x14ac:dyDescent="0.25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</row>
    <row r="451" spans="1:26" x14ac:dyDescent="0.25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</row>
    <row r="452" spans="1:26" x14ac:dyDescent="0.25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</row>
    <row r="453" spans="1:26" x14ac:dyDescent="0.25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</row>
    <row r="454" spans="1:26" x14ac:dyDescent="0.25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</row>
    <row r="455" spans="1:26" x14ac:dyDescent="0.25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</row>
    <row r="456" spans="1:26" x14ac:dyDescent="0.25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</row>
    <row r="457" spans="1:26" x14ac:dyDescent="0.25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</row>
    <row r="458" spans="1:26" x14ac:dyDescent="0.25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</row>
    <row r="459" spans="1:26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</row>
    <row r="460" spans="1:26" x14ac:dyDescent="0.25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</row>
    <row r="461" spans="1:26" x14ac:dyDescent="0.25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</row>
    <row r="462" spans="1:26" x14ac:dyDescent="0.25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</row>
    <row r="463" spans="1:26" x14ac:dyDescent="0.25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</row>
    <row r="464" spans="1:26" x14ac:dyDescent="0.25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</row>
    <row r="465" spans="1:26" x14ac:dyDescent="0.25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</row>
    <row r="466" spans="1:26" x14ac:dyDescent="0.25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</row>
    <row r="467" spans="1:26" x14ac:dyDescent="0.25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</row>
    <row r="468" spans="1:26" x14ac:dyDescent="0.25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</row>
    <row r="469" spans="1:26" x14ac:dyDescent="0.25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</row>
    <row r="470" spans="1:26" x14ac:dyDescent="0.25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</row>
    <row r="471" spans="1:26" x14ac:dyDescent="0.25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</row>
    <row r="472" spans="1:26" x14ac:dyDescent="0.25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</row>
    <row r="473" spans="1:26" x14ac:dyDescent="0.25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</row>
    <row r="474" spans="1:26" x14ac:dyDescent="0.25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</row>
    <row r="475" spans="1:26" x14ac:dyDescent="0.25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</row>
    <row r="476" spans="1:26" x14ac:dyDescent="0.25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</row>
    <row r="477" spans="1:26" x14ac:dyDescent="0.25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</row>
    <row r="478" spans="1:26" x14ac:dyDescent="0.25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</row>
    <row r="479" spans="1:26" x14ac:dyDescent="0.25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</row>
    <row r="480" spans="1:26" x14ac:dyDescent="0.25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</row>
    <row r="481" spans="1:26" x14ac:dyDescent="0.25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</row>
    <row r="482" spans="1:26" x14ac:dyDescent="0.25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</row>
    <row r="483" spans="1:26" x14ac:dyDescent="0.25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</row>
    <row r="484" spans="1:26" x14ac:dyDescent="0.25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</row>
    <row r="485" spans="1:26" x14ac:dyDescent="0.25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</row>
    <row r="486" spans="1:26" x14ac:dyDescent="0.25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</row>
    <row r="487" spans="1:26" x14ac:dyDescent="0.25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</row>
    <row r="488" spans="1:26" x14ac:dyDescent="0.25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</row>
    <row r="489" spans="1:26" x14ac:dyDescent="0.25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</row>
    <row r="490" spans="1:26" x14ac:dyDescent="0.25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</row>
    <row r="491" spans="1:26" x14ac:dyDescent="0.25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</row>
    <row r="492" spans="1:26" x14ac:dyDescent="0.25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</row>
    <row r="493" spans="1:26" x14ac:dyDescent="0.25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</row>
    <row r="494" spans="1:26" x14ac:dyDescent="0.25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</row>
    <row r="495" spans="1:26" x14ac:dyDescent="0.25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</row>
    <row r="496" spans="1:26" x14ac:dyDescent="0.25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</row>
    <row r="497" spans="1:26" x14ac:dyDescent="0.25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</row>
    <row r="498" spans="1:26" x14ac:dyDescent="0.25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</row>
    <row r="499" spans="1:26" x14ac:dyDescent="0.25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</row>
    <row r="500" spans="1:26" x14ac:dyDescent="0.25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</row>
    <row r="501" spans="1:26" x14ac:dyDescent="0.25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</row>
    <row r="502" spans="1:26" x14ac:dyDescent="0.25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</row>
    <row r="503" spans="1:26" x14ac:dyDescent="0.25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</row>
    <row r="504" spans="1:26" x14ac:dyDescent="0.25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</row>
    <row r="505" spans="1:26" x14ac:dyDescent="0.25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</row>
    <row r="506" spans="1:26" x14ac:dyDescent="0.25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</row>
    <row r="507" spans="1:26" x14ac:dyDescent="0.25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</row>
    <row r="508" spans="1:26" x14ac:dyDescent="0.25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</row>
    <row r="509" spans="1:26" x14ac:dyDescent="0.25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</row>
    <row r="510" spans="1:26" x14ac:dyDescent="0.25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</row>
    <row r="511" spans="1:26" x14ac:dyDescent="0.25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</row>
    <row r="512" spans="1:26" x14ac:dyDescent="0.25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</row>
    <row r="513" spans="1:26" x14ac:dyDescent="0.25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</row>
    <row r="514" spans="1:26" x14ac:dyDescent="0.25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</row>
    <row r="515" spans="1:26" x14ac:dyDescent="0.25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</row>
    <row r="516" spans="1:26" x14ac:dyDescent="0.25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</row>
    <row r="517" spans="1:26" x14ac:dyDescent="0.25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</row>
    <row r="518" spans="1:26" x14ac:dyDescent="0.25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</row>
    <row r="519" spans="1:26" x14ac:dyDescent="0.25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</row>
    <row r="520" spans="1:26" x14ac:dyDescent="0.25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</row>
    <row r="521" spans="1:26" x14ac:dyDescent="0.25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</row>
    <row r="522" spans="1:26" x14ac:dyDescent="0.25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</row>
    <row r="523" spans="1:26" x14ac:dyDescent="0.25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</row>
    <row r="524" spans="1:26" x14ac:dyDescent="0.25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</row>
    <row r="525" spans="1:26" x14ac:dyDescent="0.25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</row>
    <row r="526" spans="1:26" x14ac:dyDescent="0.25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</row>
    <row r="527" spans="1:26" x14ac:dyDescent="0.25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</row>
    <row r="528" spans="1:26" x14ac:dyDescent="0.25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</row>
    <row r="529" spans="1:26" x14ac:dyDescent="0.25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</row>
    <row r="530" spans="1:26" x14ac:dyDescent="0.25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</row>
    <row r="531" spans="1:26" x14ac:dyDescent="0.25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</row>
    <row r="532" spans="1:26" x14ac:dyDescent="0.25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</row>
    <row r="533" spans="1:26" x14ac:dyDescent="0.25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</row>
    <row r="534" spans="1:26" x14ac:dyDescent="0.25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</row>
    <row r="535" spans="1:26" x14ac:dyDescent="0.25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</row>
    <row r="536" spans="1:26" x14ac:dyDescent="0.25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</row>
    <row r="537" spans="1:26" x14ac:dyDescent="0.25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</row>
    <row r="538" spans="1:26" x14ac:dyDescent="0.25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</row>
    <row r="539" spans="1:26" x14ac:dyDescent="0.25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</row>
    <row r="540" spans="1:26" x14ac:dyDescent="0.25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</row>
    <row r="541" spans="1:26" x14ac:dyDescent="0.25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</row>
    <row r="542" spans="1:26" x14ac:dyDescent="0.25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</row>
    <row r="543" spans="1:26" x14ac:dyDescent="0.25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</row>
    <row r="544" spans="1:26" x14ac:dyDescent="0.25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</row>
    <row r="545" spans="1:26" x14ac:dyDescent="0.25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</row>
    <row r="546" spans="1:26" x14ac:dyDescent="0.25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</row>
    <row r="547" spans="1:26" x14ac:dyDescent="0.25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</row>
    <row r="548" spans="1:26" x14ac:dyDescent="0.25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</row>
    <row r="549" spans="1:26" x14ac:dyDescent="0.25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</row>
    <row r="550" spans="1:26" x14ac:dyDescent="0.25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</row>
    <row r="551" spans="1:26" x14ac:dyDescent="0.25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</row>
    <row r="552" spans="1:26" x14ac:dyDescent="0.25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</row>
    <row r="553" spans="1:26" x14ac:dyDescent="0.25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</row>
    <row r="554" spans="1:26" x14ac:dyDescent="0.25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</row>
    <row r="555" spans="1:26" x14ac:dyDescent="0.25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</row>
    <row r="556" spans="1:26" x14ac:dyDescent="0.25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</row>
    <row r="557" spans="1:26" x14ac:dyDescent="0.25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</row>
    <row r="558" spans="1:26" x14ac:dyDescent="0.25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</row>
    <row r="559" spans="1:26" x14ac:dyDescent="0.25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</row>
    <row r="560" spans="1:26" x14ac:dyDescent="0.25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</row>
    <row r="561" spans="1:26" x14ac:dyDescent="0.25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</row>
    <row r="562" spans="1:26" x14ac:dyDescent="0.25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</row>
    <row r="563" spans="1:26" x14ac:dyDescent="0.25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</row>
    <row r="564" spans="1:26" x14ac:dyDescent="0.25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</row>
    <row r="565" spans="1:26" x14ac:dyDescent="0.25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</row>
    <row r="566" spans="1:26" x14ac:dyDescent="0.25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</row>
    <row r="567" spans="1:26" x14ac:dyDescent="0.25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</row>
    <row r="568" spans="1:26" x14ac:dyDescent="0.25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</row>
    <row r="569" spans="1:26" x14ac:dyDescent="0.25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</row>
    <row r="570" spans="1:26" x14ac:dyDescent="0.25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</row>
    <row r="571" spans="1:26" x14ac:dyDescent="0.25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</row>
    <row r="572" spans="1:26" x14ac:dyDescent="0.25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</row>
    <row r="573" spans="1:26" x14ac:dyDescent="0.25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</row>
    <row r="574" spans="1:26" x14ac:dyDescent="0.25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</row>
    <row r="575" spans="1:26" x14ac:dyDescent="0.25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</row>
    <row r="576" spans="1:26" x14ac:dyDescent="0.25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</row>
    <row r="577" spans="1:26" x14ac:dyDescent="0.25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</row>
    <row r="578" spans="1:26" x14ac:dyDescent="0.25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</row>
    <row r="579" spans="1:26" x14ac:dyDescent="0.25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</row>
    <row r="580" spans="1:26" x14ac:dyDescent="0.25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</row>
    <row r="581" spans="1:26" x14ac:dyDescent="0.25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</row>
    <row r="582" spans="1:26" x14ac:dyDescent="0.25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</row>
    <row r="583" spans="1:26" x14ac:dyDescent="0.25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</row>
    <row r="584" spans="1:26" x14ac:dyDescent="0.25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</row>
    <row r="585" spans="1:26" x14ac:dyDescent="0.25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</row>
    <row r="586" spans="1:26" x14ac:dyDescent="0.25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</row>
    <row r="587" spans="1:26" x14ac:dyDescent="0.25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</row>
    <row r="588" spans="1:26" x14ac:dyDescent="0.25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</row>
    <row r="589" spans="1:26" x14ac:dyDescent="0.25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</row>
    <row r="590" spans="1:26" x14ac:dyDescent="0.25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</row>
    <row r="591" spans="1:26" x14ac:dyDescent="0.25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</row>
    <row r="592" spans="1:26" x14ac:dyDescent="0.25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</row>
    <row r="593" spans="1:26" x14ac:dyDescent="0.25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</row>
    <row r="594" spans="1:26" x14ac:dyDescent="0.25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</row>
    <row r="595" spans="1:26" x14ac:dyDescent="0.25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</row>
    <row r="596" spans="1:26" x14ac:dyDescent="0.25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</row>
    <row r="597" spans="1:26" x14ac:dyDescent="0.25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</row>
    <row r="598" spans="1:26" x14ac:dyDescent="0.25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</row>
    <row r="599" spans="1:26" x14ac:dyDescent="0.25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</row>
    <row r="600" spans="1:26" x14ac:dyDescent="0.25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</row>
    <row r="601" spans="1:26" x14ac:dyDescent="0.25">
      <c r="A601" s="81"/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80"/>
    <col min="4" max="4" width="18.28515625" style="80" customWidth="1"/>
    <col min="5" max="6" width="9.140625" style="80"/>
    <col min="7" max="7" width="18.28515625" style="80" customWidth="1"/>
    <col min="8" max="16384" width="9.140625" style="80"/>
  </cols>
  <sheetData>
    <row r="1" spans="1:26" ht="26.25" x14ac:dyDescent="0.4">
      <c r="B1" s="87" t="s">
        <v>273</v>
      </c>
      <c r="C1" s="87"/>
      <c r="D1" s="87"/>
      <c r="E1" s="87" t="s">
        <v>128</v>
      </c>
      <c r="F1" s="87"/>
      <c r="G1" s="87"/>
      <c r="H1" s="87" t="s">
        <v>171</v>
      </c>
    </row>
    <row r="3" spans="1:26" ht="20.25" x14ac:dyDescent="0.3">
      <c r="F3" s="92" t="str">
        <f>Season</f>
        <v>2022/2023</v>
      </c>
    </row>
    <row r="4" spans="1:26" x14ac:dyDescent="0.25">
      <c r="C4" s="80" t="s">
        <v>160</v>
      </c>
    </row>
    <row r="5" spans="1:26" x14ac:dyDescent="0.25">
      <c r="A5" s="81" t="s">
        <v>349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</row>
    <row r="6" spans="1:26" x14ac:dyDescent="0.25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</row>
    <row r="7" spans="1:26" ht="16.5" thickBot="1" x14ac:dyDescent="0.3">
      <c r="A7" s="81"/>
      <c r="B7" s="81" t="s">
        <v>113</v>
      </c>
      <c r="C7" s="81" t="s">
        <v>91</v>
      </c>
      <c r="D7" s="82"/>
      <c r="E7" s="82"/>
      <c r="F7" s="82"/>
      <c r="G7" s="82"/>
      <c r="H7" s="82"/>
      <c r="I7" s="82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</row>
    <row r="8" spans="1:26" x14ac:dyDescent="0.25">
      <c r="A8" s="81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</row>
    <row r="9" spans="1:26" ht="16.5" thickBot="1" x14ac:dyDescent="0.3">
      <c r="A9" s="81"/>
      <c r="B9" s="81" t="s">
        <v>114</v>
      </c>
      <c r="C9" s="81" t="s">
        <v>91</v>
      </c>
      <c r="D9" s="82"/>
      <c r="E9" s="82"/>
      <c r="F9" s="82"/>
      <c r="G9" s="82"/>
      <c r="H9" s="82"/>
      <c r="I9" s="82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x14ac:dyDescent="0.25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</row>
    <row r="11" spans="1:26" ht="16.5" thickBot="1" x14ac:dyDescent="0.3">
      <c r="A11" s="81"/>
      <c r="B11" s="81" t="s">
        <v>115</v>
      </c>
      <c r="C11" s="81" t="s">
        <v>91</v>
      </c>
      <c r="D11" s="82"/>
      <c r="E11" s="82"/>
      <c r="F11" s="82"/>
      <c r="G11" s="82"/>
      <c r="H11" s="82"/>
      <c r="I11" s="82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</row>
    <row r="12" spans="1:26" x14ac:dyDescent="0.25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</row>
    <row r="13" spans="1:26" ht="16.5" thickBot="1" x14ac:dyDescent="0.3">
      <c r="A13" s="81"/>
      <c r="B13" s="81" t="s">
        <v>124</v>
      </c>
      <c r="C13" s="81" t="s">
        <v>91</v>
      </c>
      <c r="D13" s="82"/>
      <c r="E13" s="82"/>
      <c r="F13" s="82"/>
      <c r="G13" s="82"/>
      <c r="H13" s="82"/>
      <c r="I13" s="82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</row>
    <row r="14" spans="1:26" x14ac:dyDescent="0.25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</row>
    <row r="15" spans="1:26" ht="16.5" thickBot="1" x14ac:dyDescent="0.3">
      <c r="A15" s="81"/>
      <c r="B15" s="81" t="s">
        <v>148</v>
      </c>
      <c r="C15" s="81" t="s">
        <v>91</v>
      </c>
      <c r="D15" s="82"/>
      <c r="E15" s="82"/>
      <c r="F15" s="82"/>
      <c r="G15" s="82"/>
      <c r="H15" s="82"/>
      <c r="I15" s="82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</row>
    <row r="16" spans="1:26" x14ac:dyDescent="0.25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x14ac:dyDescent="0.25">
      <c r="A17" s="81" t="s">
        <v>350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ht="16.5" thickBot="1" x14ac:dyDescent="0.3">
      <c r="A19" s="81"/>
      <c r="B19" s="81" t="s">
        <v>106</v>
      </c>
      <c r="C19" s="81" t="s">
        <v>91</v>
      </c>
      <c r="D19" s="82"/>
      <c r="E19" s="82"/>
      <c r="F19" s="82"/>
      <c r="G19" s="82"/>
      <c r="H19" s="82"/>
      <c r="I19" s="82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</row>
    <row r="21" spans="1:26" ht="16.5" thickBot="1" x14ac:dyDescent="0.3">
      <c r="A21" s="81"/>
      <c r="B21" s="81" t="s">
        <v>107</v>
      </c>
      <c r="C21" s="81" t="s">
        <v>91</v>
      </c>
      <c r="D21" s="82"/>
      <c r="E21" s="82"/>
      <c r="F21" s="82"/>
      <c r="G21" s="82"/>
      <c r="H21" s="82"/>
      <c r="I21" s="82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</row>
    <row r="22" spans="1:26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</row>
    <row r="23" spans="1:26" ht="16.5" thickBot="1" x14ac:dyDescent="0.3">
      <c r="A23" s="81"/>
      <c r="B23" s="81" t="s">
        <v>108</v>
      </c>
      <c r="C23" s="81" t="s">
        <v>91</v>
      </c>
      <c r="D23" s="82"/>
      <c r="E23" s="82"/>
      <c r="F23" s="82"/>
      <c r="G23" s="82"/>
      <c r="H23" s="82"/>
      <c r="I23" s="82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</row>
    <row r="24" spans="1:26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</row>
    <row r="25" spans="1:26" ht="16.5" thickBot="1" x14ac:dyDescent="0.3">
      <c r="A25" s="81"/>
      <c r="B25" s="81" t="s">
        <v>109</v>
      </c>
      <c r="C25" s="81" t="s">
        <v>303</v>
      </c>
      <c r="D25" s="82"/>
      <c r="E25" s="82"/>
      <c r="F25" s="82"/>
      <c r="G25" s="82"/>
      <c r="H25" s="82"/>
      <c r="I25" s="82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x14ac:dyDescent="0.25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ht="16.5" thickBot="1" x14ac:dyDescent="0.3">
      <c r="A27" s="81"/>
      <c r="B27" s="81" t="s">
        <v>110</v>
      </c>
      <c r="C27" s="81" t="s">
        <v>255</v>
      </c>
      <c r="D27" s="82"/>
      <c r="E27" s="82"/>
      <c r="F27" s="82"/>
      <c r="G27" s="82"/>
      <c r="H27" s="82"/>
      <c r="I27" s="82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ht="16.5" thickBot="1" x14ac:dyDescent="0.3">
      <c r="A29" s="81"/>
      <c r="B29" s="81" t="s">
        <v>111</v>
      </c>
      <c r="C29" s="81" t="s">
        <v>255</v>
      </c>
      <c r="D29" s="82"/>
      <c r="E29" s="82"/>
      <c r="F29" s="82"/>
      <c r="G29" s="82"/>
      <c r="H29" s="82"/>
      <c r="I29" s="82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ht="16.5" thickBot="1" x14ac:dyDescent="0.3">
      <c r="A31" s="81"/>
      <c r="B31" s="81" t="s">
        <v>112</v>
      </c>
      <c r="C31" s="81" t="s">
        <v>95</v>
      </c>
      <c r="D31" s="82"/>
      <c r="E31" s="82"/>
      <c r="F31" s="82"/>
      <c r="G31" s="82"/>
      <c r="H31" s="82"/>
      <c r="I31" s="82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ht="16.5" thickBot="1" x14ac:dyDescent="0.3">
      <c r="A33" s="81"/>
      <c r="B33" s="81" t="s">
        <v>113</v>
      </c>
      <c r="C33" s="81" t="s">
        <v>85</v>
      </c>
      <c r="D33" s="82"/>
      <c r="E33" s="82"/>
      <c r="F33" s="82"/>
      <c r="G33" s="82"/>
      <c r="H33" s="82"/>
      <c r="I33" s="82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x14ac:dyDescent="0.25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ht="16.5" thickBot="1" x14ac:dyDescent="0.3">
      <c r="A35" s="81"/>
      <c r="B35" s="81" t="s">
        <v>114</v>
      </c>
      <c r="C35" s="81" t="s">
        <v>7</v>
      </c>
      <c r="D35" s="82"/>
      <c r="E35" s="82"/>
      <c r="F35" s="82"/>
      <c r="G35" s="82"/>
      <c r="H35" s="82"/>
      <c r="I35" s="82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x14ac:dyDescent="0.25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ht="16.5" thickBot="1" x14ac:dyDescent="0.3">
      <c r="A37" s="81"/>
      <c r="B37" s="81" t="s">
        <v>115</v>
      </c>
      <c r="C37" s="81" t="s">
        <v>162</v>
      </c>
      <c r="D37" s="82"/>
      <c r="E37" s="82"/>
      <c r="F37" s="82"/>
      <c r="G37" s="82"/>
      <c r="H37" s="82"/>
      <c r="I37" s="82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x14ac:dyDescent="0.25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x14ac:dyDescent="0.25">
      <c r="A39" s="81" t="s">
        <v>351</v>
      </c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x14ac:dyDescent="0.25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1" spans="1:26" ht="16.5" thickBot="1" x14ac:dyDescent="0.3">
      <c r="A41" s="81"/>
      <c r="B41" s="81" t="s">
        <v>108</v>
      </c>
      <c r="C41" s="81" t="s">
        <v>7</v>
      </c>
      <c r="D41" s="82"/>
      <c r="E41" s="82"/>
      <c r="F41" s="82"/>
      <c r="G41" s="82"/>
      <c r="H41" s="82"/>
      <c r="I41" s="82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</row>
    <row r="42" spans="1:2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</row>
    <row r="43" spans="1:26" ht="16.5" thickBot="1" x14ac:dyDescent="0.3">
      <c r="A43" s="81"/>
      <c r="B43" s="81" t="s">
        <v>109</v>
      </c>
      <c r="C43" s="81" t="s">
        <v>85</v>
      </c>
      <c r="D43" s="82"/>
      <c r="E43" s="82"/>
      <c r="F43" s="82"/>
      <c r="G43" s="82"/>
      <c r="H43" s="82"/>
      <c r="I43" s="82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</row>
    <row r="44" spans="1:26" x14ac:dyDescent="0.25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</row>
    <row r="45" spans="1:26" ht="16.5" thickBot="1" x14ac:dyDescent="0.3">
      <c r="A45" s="81"/>
      <c r="B45" s="81" t="s">
        <v>110</v>
      </c>
      <c r="C45" s="81" t="s">
        <v>96</v>
      </c>
      <c r="D45" s="82"/>
      <c r="E45" s="82"/>
      <c r="F45" s="82"/>
      <c r="G45" s="82"/>
      <c r="H45" s="82"/>
      <c r="I45" s="82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</row>
    <row r="46" spans="1:26" x14ac:dyDescent="0.25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</row>
    <row r="47" spans="1:26" ht="16.5" thickBot="1" x14ac:dyDescent="0.3">
      <c r="A47" s="81"/>
      <c r="B47" s="81" t="s">
        <v>111</v>
      </c>
      <c r="C47" s="81" t="s">
        <v>41</v>
      </c>
      <c r="D47" s="82"/>
      <c r="E47" s="82"/>
      <c r="F47" s="82"/>
      <c r="G47" s="82"/>
      <c r="H47" s="82"/>
      <c r="I47" s="82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</row>
    <row r="48" spans="1:26" x14ac:dyDescent="0.25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</row>
    <row r="49" spans="1:26" ht="16.5" thickBot="1" x14ac:dyDescent="0.3">
      <c r="A49" s="81"/>
      <c r="B49" s="81" t="s">
        <v>112</v>
      </c>
      <c r="C49" s="81" t="s">
        <v>12</v>
      </c>
      <c r="D49" s="82"/>
      <c r="E49" s="82"/>
      <c r="F49" s="82"/>
      <c r="G49" s="82"/>
      <c r="H49" s="82"/>
      <c r="I49" s="82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</row>
    <row r="50" spans="1:26" x14ac:dyDescent="0.25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</row>
    <row r="51" spans="1:26" ht="16.5" thickBot="1" x14ac:dyDescent="0.3">
      <c r="A51" s="81"/>
      <c r="B51" s="81" t="s">
        <v>113</v>
      </c>
      <c r="C51" s="81" t="s">
        <v>95</v>
      </c>
      <c r="D51" s="82"/>
      <c r="E51" s="82"/>
      <c r="F51" s="82"/>
      <c r="G51" s="82"/>
      <c r="H51" s="82"/>
      <c r="I51" s="82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</row>
    <row r="52" spans="1:26" x14ac:dyDescent="0.25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</row>
    <row r="53" spans="1:26" ht="16.5" thickBot="1" x14ac:dyDescent="0.3">
      <c r="A53" s="81"/>
      <c r="B53" s="81" t="s">
        <v>114</v>
      </c>
      <c r="C53" s="81" t="s">
        <v>44</v>
      </c>
      <c r="D53" s="82"/>
      <c r="E53" s="82"/>
      <c r="F53" s="82"/>
      <c r="G53" s="82"/>
      <c r="H53" s="82"/>
      <c r="I53" s="82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</row>
    <row r="54" spans="1:26" x14ac:dyDescent="0.25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</row>
    <row r="55" spans="1:26" x14ac:dyDescent="0.25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</row>
    <row r="56" spans="1:26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</row>
    <row r="57" spans="1:26" x14ac:dyDescent="0.25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</row>
    <row r="58" spans="1:26" x14ac:dyDescent="0.25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</row>
    <row r="59" spans="1:26" x14ac:dyDescent="0.25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</row>
    <row r="60" spans="1:26" x14ac:dyDescent="0.25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</row>
    <row r="61" spans="1:26" x14ac:dyDescent="0.25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</row>
    <row r="62" spans="1:26" x14ac:dyDescent="0.25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1:26" x14ac:dyDescent="0.25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</row>
    <row r="64" spans="1:26" x14ac:dyDescent="0.25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</row>
    <row r="65" spans="1:26" x14ac:dyDescent="0.25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</row>
    <row r="66" spans="1:26" x14ac:dyDescent="0.25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</row>
    <row r="67" spans="1:26" x14ac:dyDescent="0.25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</row>
    <row r="68" spans="1:26" x14ac:dyDescent="0.25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</row>
    <row r="69" spans="1:26" x14ac:dyDescent="0.25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</row>
    <row r="70" spans="1:26" x14ac:dyDescent="0.25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</row>
    <row r="71" spans="1:26" x14ac:dyDescent="0.25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</row>
    <row r="72" spans="1:26" x14ac:dyDescent="0.25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</row>
    <row r="73" spans="1:26" x14ac:dyDescent="0.25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</row>
    <row r="74" spans="1:26" x14ac:dyDescent="0.25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</row>
    <row r="75" spans="1:26" x14ac:dyDescent="0.25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</row>
    <row r="76" spans="1:26" x14ac:dyDescent="0.25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</row>
    <row r="77" spans="1:26" x14ac:dyDescent="0.25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</row>
    <row r="78" spans="1:26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</row>
    <row r="79" spans="1:26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</row>
    <row r="80" spans="1:26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</row>
    <row r="81" spans="1:26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</row>
    <row r="82" spans="1:26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</row>
    <row r="83" spans="1:26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</row>
    <row r="84" spans="1:26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</row>
    <row r="85" spans="1:26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</row>
    <row r="86" spans="1:26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</row>
    <row r="87" spans="1:26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</row>
    <row r="88" spans="1:26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</row>
    <row r="89" spans="1:26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</row>
    <row r="90" spans="1:26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</row>
    <row r="91" spans="1:26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</row>
    <row r="92" spans="1:26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</row>
    <row r="93" spans="1:26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</row>
    <row r="94" spans="1:26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</row>
    <row r="95" spans="1:26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</row>
    <row r="96" spans="1:26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</row>
    <row r="97" spans="1:26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</row>
    <row r="98" spans="1:26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</row>
    <row r="99" spans="1:26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</row>
    <row r="100" spans="1:26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</row>
    <row r="101" spans="1:26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</row>
    <row r="102" spans="1:26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</row>
    <row r="103" spans="1:26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</row>
    <row r="104" spans="1:26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</row>
    <row r="105" spans="1:26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</row>
    <row r="106" spans="1:26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</row>
    <row r="107" spans="1:26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</row>
    <row r="108" spans="1:26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</row>
    <row r="109" spans="1:26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</row>
    <row r="110" spans="1:26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</row>
    <row r="111" spans="1:26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</row>
    <row r="112" spans="1:26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</row>
    <row r="113" spans="1:26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</row>
    <row r="114" spans="1:26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</row>
    <row r="115" spans="1:26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</row>
    <row r="116" spans="1:26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</row>
    <row r="117" spans="1:26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</row>
    <row r="118" spans="1:26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</row>
    <row r="119" spans="1:26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</row>
    <row r="120" spans="1:26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</row>
    <row r="121" spans="1:26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</row>
    <row r="122" spans="1:26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</row>
    <row r="123" spans="1:26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</row>
    <row r="124" spans="1:26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</row>
    <row r="125" spans="1:26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</row>
    <row r="126" spans="1:26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</row>
    <row r="127" spans="1:26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</row>
    <row r="128" spans="1:26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</row>
    <row r="129" spans="1:26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</row>
    <row r="130" spans="1:26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</row>
    <row r="131" spans="1:26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</row>
    <row r="132" spans="1:26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</row>
    <row r="133" spans="1:26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</row>
    <row r="134" spans="1:26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</row>
    <row r="135" spans="1:26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</row>
    <row r="136" spans="1:26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</row>
    <row r="137" spans="1:26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</row>
    <row r="138" spans="1:26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</row>
    <row r="139" spans="1:26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</row>
    <row r="140" spans="1:26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</row>
    <row r="141" spans="1:26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</row>
    <row r="142" spans="1:26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</row>
    <row r="143" spans="1:26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</row>
    <row r="144" spans="1:26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</row>
    <row r="145" spans="1:26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</row>
    <row r="146" spans="1:26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</row>
    <row r="147" spans="1:26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</row>
    <row r="148" spans="1:26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</row>
    <row r="149" spans="1:26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</row>
    <row r="150" spans="1:26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</row>
    <row r="151" spans="1:26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</row>
    <row r="152" spans="1:26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</row>
    <row r="153" spans="1:26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</row>
    <row r="154" spans="1:26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</row>
    <row r="155" spans="1:26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</row>
    <row r="156" spans="1:26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</row>
    <row r="157" spans="1:26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</row>
    <row r="158" spans="1:26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  <row r="159" spans="1:26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</row>
    <row r="160" spans="1:26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</row>
    <row r="161" spans="1:26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</row>
    <row r="162" spans="1:26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</row>
    <row r="163" spans="1:26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</row>
    <row r="164" spans="1:26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</row>
    <row r="165" spans="1:26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</row>
    <row r="166" spans="1:26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</row>
    <row r="167" spans="1:26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</row>
    <row r="168" spans="1:26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</row>
    <row r="169" spans="1:26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</row>
    <row r="170" spans="1:26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</row>
    <row r="171" spans="1:26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</row>
    <row r="172" spans="1:26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</row>
    <row r="173" spans="1:26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</row>
    <row r="174" spans="1:26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</row>
    <row r="175" spans="1:26" x14ac:dyDescent="0.25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</row>
    <row r="176" spans="1:26" x14ac:dyDescent="0.25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</row>
    <row r="177" spans="1:26" x14ac:dyDescent="0.25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</row>
    <row r="178" spans="1:26" x14ac:dyDescent="0.25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</row>
    <row r="179" spans="1:26" x14ac:dyDescent="0.25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</row>
    <row r="180" spans="1:26" x14ac:dyDescent="0.25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</row>
    <row r="181" spans="1:26" x14ac:dyDescent="0.25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</row>
    <row r="182" spans="1:26" x14ac:dyDescent="0.25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</row>
    <row r="183" spans="1:26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</row>
    <row r="184" spans="1:26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</row>
    <row r="185" spans="1:26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</row>
    <row r="186" spans="1:26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</row>
    <row r="187" spans="1:26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</row>
    <row r="188" spans="1:26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</row>
    <row r="189" spans="1:26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</row>
    <row r="190" spans="1:26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</row>
    <row r="191" spans="1:26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</row>
    <row r="192" spans="1:26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</row>
    <row r="193" spans="1:26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</row>
    <row r="194" spans="1:26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</row>
    <row r="195" spans="1:26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</row>
    <row r="196" spans="1:26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</row>
    <row r="197" spans="1:26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</row>
    <row r="198" spans="1:26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</row>
    <row r="199" spans="1:26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</row>
    <row r="200" spans="1:26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</row>
    <row r="201" spans="1:26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</row>
    <row r="202" spans="1:26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</row>
    <row r="203" spans="1:26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</row>
    <row r="204" spans="1:26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</row>
    <row r="205" spans="1:26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</row>
    <row r="206" spans="1:26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</row>
    <row r="207" spans="1:26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</row>
    <row r="208" spans="1:26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</row>
    <row r="209" spans="1:26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</row>
    <row r="210" spans="1:26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</row>
    <row r="211" spans="1:26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</row>
    <row r="212" spans="1:26" x14ac:dyDescent="0.25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</row>
    <row r="213" spans="1:26" x14ac:dyDescent="0.25">
      <c r="A213" s="81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</row>
    <row r="214" spans="1:26" x14ac:dyDescent="0.25">
      <c r="A214" s="81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</row>
    <row r="215" spans="1:26" x14ac:dyDescent="0.25">
      <c r="A215" s="81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</row>
    <row r="216" spans="1:26" x14ac:dyDescent="0.25">
      <c r="A216" s="81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</row>
    <row r="217" spans="1:26" x14ac:dyDescent="0.25">
      <c r="A217" s="81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</row>
    <row r="218" spans="1:26" x14ac:dyDescent="0.25">
      <c r="A218" s="81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</row>
    <row r="219" spans="1:26" x14ac:dyDescent="0.25">
      <c r="A219" s="81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</row>
    <row r="220" spans="1:26" x14ac:dyDescent="0.25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</row>
    <row r="221" spans="1:26" x14ac:dyDescent="0.25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</row>
    <row r="222" spans="1:26" x14ac:dyDescent="0.25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</row>
    <row r="223" spans="1:26" x14ac:dyDescent="0.25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</row>
    <row r="224" spans="1:26" x14ac:dyDescent="0.25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</row>
    <row r="225" spans="1:26" x14ac:dyDescent="0.25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</row>
    <row r="226" spans="1:26" x14ac:dyDescent="0.25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</row>
    <row r="227" spans="1:26" x14ac:dyDescent="0.25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</row>
    <row r="228" spans="1:26" x14ac:dyDescent="0.25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</row>
    <row r="229" spans="1:26" x14ac:dyDescent="0.25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</row>
    <row r="230" spans="1:26" x14ac:dyDescent="0.25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</row>
    <row r="231" spans="1:26" x14ac:dyDescent="0.25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</row>
    <row r="232" spans="1:26" x14ac:dyDescent="0.25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</row>
    <row r="233" spans="1:26" x14ac:dyDescent="0.25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</row>
    <row r="234" spans="1:26" x14ac:dyDescent="0.25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</row>
    <row r="235" spans="1:26" x14ac:dyDescent="0.25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</row>
    <row r="236" spans="1:26" x14ac:dyDescent="0.25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</row>
    <row r="237" spans="1:26" x14ac:dyDescent="0.25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</row>
    <row r="238" spans="1:26" x14ac:dyDescent="0.25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</row>
    <row r="239" spans="1:26" x14ac:dyDescent="0.25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</row>
    <row r="240" spans="1:26" x14ac:dyDescent="0.25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</row>
    <row r="241" spans="1:26" x14ac:dyDescent="0.25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</row>
    <row r="242" spans="1:26" x14ac:dyDescent="0.25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</row>
    <row r="243" spans="1:26" x14ac:dyDescent="0.25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</row>
    <row r="244" spans="1:26" x14ac:dyDescent="0.25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</row>
    <row r="245" spans="1:26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</row>
    <row r="246" spans="1:26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</row>
    <row r="247" spans="1:26" x14ac:dyDescent="0.25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</row>
    <row r="248" spans="1:26" x14ac:dyDescent="0.25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</row>
    <row r="249" spans="1:26" x14ac:dyDescent="0.25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</row>
    <row r="250" spans="1:26" x14ac:dyDescent="0.25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</row>
    <row r="251" spans="1:26" x14ac:dyDescent="0.25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</row>
    <row r="252" spans="1:26" x14ac:dyDescent="0.25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</row>
    <row r="253" spans="1:26" x14ac:dyDescent="0.25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</row>
    <row r="254" spans="1:26" x14ac:dyDescent="0.25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</row>
    <row r="255" spans="1:26" x14ac:dyDescent="0.25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</row>
    <row r="256" spans="1:26" x14ac:dyDescent="0.25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</row>
    <row r="257" spans="1:26" x14ac:dyDescent="0.25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</row>
    <row r="258" spans="1:26" x14ac:dyDescent="0.25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</row>
    <row r="259" spans="1:26" x14ac:dyDescent="0.25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</row>
    <row r="260" spans="1:26" x14ac:dyDescent="0.25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</row>
    <row r="261" spans="1:26" x14ac:dyDescent="0.25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</row>
    <row r="262" spans="1:26" x14ac:dyDescent="0.25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</row>
    <row r="263" spans="1:26" x14ac:dyDescent="0.25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</row>
    <row r="264" spans="1:26" x14ac:dyDescent="0.25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</row>
    <row r="265" spans="1:26" x14ac:dyDescent="0.25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</row>
    <row r="266" spans="1:26" x14ac:dyDescent="0.25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</row>
    <row r="267" spans="1:26" x14ac:dyDescent="0.25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</row>
    <row r="268" spans="1:26" x14ac:dyDescent="0.25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</row>
    <row r="269" spans="1:26" x14ac:dyDescent="0.25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</row>
    <row r="270" spans="1:26" x14ac:dyDescent="0.25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</row>
    <row r="271" spans="1:26" x14ac:dyDescent="0.25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</row>
    <row r="272" spans="1:26" x14ac:dyDescent="0.25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</row>
    <row r="273" spans="1:26" x14ac:dyDescent="0.25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</row>
    <row r="274" spans="1:26" x14ac:dyDescent="0.25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</row>
    <row r="275" spans="1:26" x14ac:dyDescent="0.25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</row>
    <row r="276" spans="1:26" x14ac:dyDescent="0.25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</row>
    <row r="277" spans="1:26" x14ac:dyDescent="0.25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</row>
    <row r="278" spans="1:26" x14ac:dyDescent="0.25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</row>
    <row r="279" spans="1:26" x14ac:dyDescent="0.25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</row>
    <row r="280" spans="1:26" x14ac:dyDescent="0.25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</row>
    <row r="281" spans="1:26" x14ac:dyDescent="0.25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</row>
    <row r="282" spans="1:26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</row>
    <row r="283" spans="1:26" x14ac:dyDescent="0.25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</row>
    <row r="284" spans="1:26" x14ac:dyDescent="0.25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</row>
    <row r="285" spans="1:26" x14ac:dyDescent="0.25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</row>
    <row r="286" spans="1:26" x14ac:dyDescent="0.25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</row>
    <row r="287" spans="1:26" x14ac:dyDescent="0.25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</row>
    <row r="288" spans="1:26" x14ac:dyDescent="0.25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</row>
    <row r="289" spans="1:26" x14ac:dyDescent="0.25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</row>
    <row r="290" spans="1:26" x14ac:dyDescent="0.25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</row>
    <row r="291" spans="1:26" x14ac:dyDescent="0.25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</row>
    <row r="292" spans="1:26" x14ac:dyDescent="0.25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</row>
    <row r="293" spans="1:26" x14ac:dyDescent="0.25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</row>
    <row r="294" spans="1:26" x14ac:dyDescent="0.25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</row>
    <row r="295" spans="1:26" x14ac:dyDescent="0.25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</row>
    <row r="296" spans="1:26" x14ac:dyDescent="0.25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</row>
    <row r="297" spans="1:26" x14ac:dyDescent="0.25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</row>
    <row r="298" spans="1:26" x14ac:dyDescent="0.25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</row>
    <row r="299" spans="1:26" x14ac:dyDescent="0.25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</row>
    <row r="300" spans="1:26" x14ac:dyDescent="0.25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</row>
    <row r="301" spans="1:26" x14ac:dyDescent="0.25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</row>
    <row r="302" spans="1:26" x14ac:dyDescent="0.25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</row>
    <row r="303" spans="1:26" x14ac:dyDescent="0.25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</row>
    <row r="304" spans="1:26" x14ac:dyDescent="0.25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</row>
    <row r="305" spans="1:26" x14ac:dyDescent="0.25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</row>
    <row r="306" spans="1:26" x14ac:dyDescent="0.25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</row>
    <row r="307" spans="1:26" x14ac:dyDescent="0.25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</row>
    <row r="308" spans="1:26" x14ac:dyDescent="0.25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</row>
    <row r="309" spans="1:26" x14ac:dyDescent="0.25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</row>
    <row r="310" spans="1:26" x14ac:dyDescent="0.25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</row>
    <row r="311" spans="1:26" x14ac:dyDescent="0.25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</row>
    <row r="312" spans="1:26" x14ac:dyDescent="0.25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</row>
    <row r="313" spans="1:26" x14ac:dyDescent="0.25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</row>
    <row r="314" spans="1:26" x14ac:dyDescent="0.25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</row>
    <row r="315" spans="1:26" x14ac:dyDescent="0.25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</row>
    <row r="316" spans="1:26" x14ac:dyDescent="0.25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</row>
    <row r="317" spans="1:26" x14ac:dyDescent="0.25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</row>
    <row r="318" spans="1:26" x14ac:dyDescent="0.25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</row>
    <row r="319" spans="1:26" x14ac:dyDescent="0.25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</row>
    <row r="320" spans="1:26" x14ac:dyDescent="0.25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</row>
    <row r="321" spans="1:26" x14ac:dyDescent="0.25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</row>
    <row r="322" spans="1:26" x14ac:dyDescent="0.25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</row>
    <row r="323" spans="1:26" x14ac:dyDescent="0.25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</row>
    <row r="324" spans="1:26" x14ac:dyDescent="0.25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</row>
    <row r="325" spans="1:26" x14ac:dyDescent="0.25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</row>
    <row r="326" spans="1:26" x14ac:dyDescent="0.25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</row>
    <row r="327" spans="1:26" x14ac:dyDescent="0.25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</row>
    <row r="328" spans="1:26" x14ac:dyDescent="0.25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</row>
    <row r="329" spans="1:26" x14ac:dyDescent="0.25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</row>
    <row r="330" spans="1:26" x14ac:dyDescent="0.25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</row>
    <row r="331" spans="1:26" x14ac:dyDescent="0.25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</row>
    <row r="332" spans="1:26" x14ac:dyDescent="0.25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</row>
    <row r="333" spans="1:26" x14ac:dyDescent="0.25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</row>
    <row r="334" spans="1:26" x14ac:dyDescent="0.25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</row>
    <row r="335" spans="1:26" x14ac:dyDescent="0.25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</row>
    <row r="336" spans="1:26" x14ac:dyDescent="0.25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</row>
    <row r="337" spans="1:26" x14ac:dyDescent="0.25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</row>
    <row r="338" spans="1:26" x14ac:dyDescent="0.25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</row>
    <row r="339" spans="1:26" x14ac:dyDescent="0.25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</row>
    <row r="340" spans="1:26" x14ac:dyDescent="0.25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</row>
    <row r="341" spans="1:26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</row>
    <row r="342" spans="1:26" x14ac:dyDescent="0.25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</row>
    <row r="343" spans="1:26" x14ac:dyDescent="0.25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</row>
    <row r="344" spans="1:26" x14ac:dyDescent="0.25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</row>
    <row r="345" spans="1:26" x14ac:dyDescent="0.25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</row>
    <row r="346" spans="1:26" x14ac:dyDescent="0.25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</row>
    <row r="347" spans="1:26" x14ac:dyDescent="0.25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</row>
    <row r="348" spans="1:26" x14ac:dyDescent="0.25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</row>
    <row r="349" spans="1:26" x14ac:dyDescent="0.25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</row>
    <row r="350" spans="1:26" x14ac:dyDescent="0.25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</row>
    <row r="351" spans="1:26" x14ac:dyDescent="0.25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</row>
    <row r="352" spans="1:26" x14ac:dyDescent="0.25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</row>
    <row r="353" spans="1:26" x14ac:dyDescent="0.25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</row>
    <row r="354" spans="1:26" x14ac:dyDescent="0.25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</row>
    <row r="355" spans="1:26" x14ac:dyDescent="0.25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</row>
    <row r="356" spans="1:26" x14ac:dyDescent="0.25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</row>
    <row r="357" spans="1:26" x14ac:dyDescent="0.25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</row>
    <row r="358" spans="1:26" x14ac:dyDescent="0.25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</row>
    <row r="359" spans="1:26" x14ac:dyDescent="0.25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</row>
    <row r="360" spans="1:26" x14ac:dyDescent="0.25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</row>
    <row r="361" spans="1:26" x14ac:dyDescent="0.25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</row>
    <row r="362" spans="1:26" x14ac:dyDescent="0.25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</row>
    <row r="363" spans="1:26" x14ac:dyDescent="0.25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</row>
    <row r="364" spans="1:26" x14ac:dyDescent="0.25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</row>
    <row r="365" spans="1:26" x14ac:dyDescent="0.25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</row>
    <row r="366" spans="1:26" x14ac:dyDescent="0.25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</row>
    <row r="367" spans="1:26" x14ac:dyDescent="0.25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</row>
    <row r="368" spans="1:26" x14ac:dyDescent="0.25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</row>
    <row r="369" spans="1:26" x14ac:dyDescent="0.25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</row>
    <row r="370" spans="1:26" x14ac:dyDescent="0.25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</row>
    <row r="371" spans="1:26" x14ac:dyDescent="0.25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</row>
    <row r="372" spans="1:26" x14ac:dyDescent="0.25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</row>
    <row r="373" spans="1:26" x14ac:dyDescent="0.25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</row>
    <row r="374" spans="1:26" x14ac:dyDescent="0.25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</row>
    <row r="375" spans="1:26" x14ac:dyDescent="0.25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</row>
    <row r="376" spans="1:26" x14ac:dyDescent="0.25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</row>
    <row r="377" spans="1:26" x14ac:dyDescent="0.25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</row>
    <row r="378" spans="1:26" x14ac:dyDescent="0.25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</row>
    <row r="379" spans="1:26" x14ac:dyDescent="0.25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</row>
    <row r="380" spans="1:26" x14ac:dyDescent="0.25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</row>
    <row r="381" spans="1:26" x14ac:dyDescent="0.25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</row>
    <row r="382" spans="1:26" x14ac:dyDescent="0.25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</row>
    <row r="383" spans="1:26" x14ac:dyDescent="0.25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</row>
    <row r="384" spans="1:26" x14ac:dyDescent="0.25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</row>
    <row r="385" spans="1:26" x14ac:dyDescent="0.25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</row>
    <row r="386" spans="1:26" x14ac:dyDescent="0.25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</row>
    <row r="387" spans="1:26" x14ac:dyDescent="0.25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</row>
    <row r="388" spans="1:26" x14ac:dyDescent="0.25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</row>
    <row r="389" spans="1:26" x14ac:dyDescent="0.25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</row>
    <row r="390" spans="1:26" x14ac:dyDescent="0.25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</row>
    <row r="391" spans="1:26" x14ac:dyDescent="0.25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</row>
    <row r="392" spans="1:26" x14ac:dyDescent="0.25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</row>
    <row r="393" spans="1:26" x14ac:dyDescent="0.25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</row>
    <row r="394" spans="1:26" x14ac:dyDescent="0.25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</row>
    <row r="395" spans="1:26" x14ac:dyDescent="0.25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</row>
    <row r="396" spans="1:26" x14ac:dyDescent="0.25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</row>
    <row r="397" spans="1:26" x14ac:dyDescent="0.25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</row>
    <row r="398" spans="1:26" x14ac:dyDescent="0.25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</row>
    <row r="399" spans="1:26" x14ac:dyDescent="0.25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</row>
    <row r="400" spans="1:26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</row>
    <row r="401" spans="1:26" x14ac:dyDescent="0.25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</row>
    <row r="402" spans="1:26" x14ac:dyDescent="0.25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</row>
    <row r="403" spans="1:26" x14ac:dyDescent="0.25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</row>
    <row r="404" spans="1:26" x14ac:dyDescent="0.25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</row>
    <row r="405" spans="1:26" x14ac:dyDescent="0.25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</row>
    <row r="406" spans="1:26" x14ac:dyDescent="0.25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</row>
    <row r="407" spans="1:26" x14ac:dyDescent="0.25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</row>
    <row r="408" spans="1:26" x14ac:dyDescent="0.25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</row>
    <row r="409" spans="1:26" x14ac:dyDescent="0.25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</row>
    <row r="410" spans="1:26" x14ac:dyDescent="0.25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</row>
    <row r="411" spans="1:26" x14ac:dyDescent="0.25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</row>
    <row r="412" spans="1:26" x14ac:dyDescent="0.25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</row>
    <row r="413" spans="1:26" x14ac:dyDescent="0.25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</row>
    <row r="414" spans="1:26" x14ac:dyDescent="0.25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</row>
    <row r="415" spans="1:26" x14ac:dyDescent="0.25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</row>
    <row r="416" spans="1:26" x14ac:dyDescent="0.25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</row>
    <row r="417" spans="1:26" x14ac:dyDescent="0.25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</row>
    <row r="418" spans="1:26" x14ac:dyDescent="0.25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</row>
    <row r="419" spans="1:26" x14ac:dyDescent="0.25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</row>
    <row r="420" spans="1:26" x14ac:dyDescent="0.25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</row>
    <row r="421" spans="1:26" x14ac:dyDescent="0.25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</row>
    <row r="422" spans="1:26" x14ac:dyDescent="0.25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</row>
    <row r="423" spans="1:26" x14ac:dyDescent="0.25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</row>
    <row r="424" spans="1:26" x14ac:dyDescent="0.25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</row>
    <row r="425" spans="1:26" x14ac:dyDescent="0.25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</row>
    <row r="426" spans="1:26" x14ac:dyDescent="0.25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</row>
    <row r="427" spans="1:26" x14ac:dyDescent="0.25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</row>
    <row r="428" spans="1:26" x14ac:dyDescent="0.25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</row>
    <row r="429" spans="1:26" x14ac:dyDescent="0.25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</row>
    <row r="430" spans="1:26" x14ac:dyDescent="0.25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</row>
    <row r="431" spans="1:26" x14ac:dyDescent="0.25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</row>
    <row r="432" spans="1:26" x14ac:dyDescent="0.25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</row>
    <row r="433" spans="1:26" x14ac:dyDescent="0.25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</row>
    <row r="434" spans="1:26" x14ac:dyDescent="0.25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</row>
    <row r="435" spans="1:26" x14ac:dyDescent="0.25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</row>
    <row r="436" spans="1:26" x14ac:dyDescent="0.25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</row>
    <row r="437" spans="1:26" x14ac:dyDescent="0.25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</row>
    <row r="438" spans="1:26" x14ac:dyDescent="0.25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</row>
    <row r="439" spans="1:26" x14ac:dyDescent="0.25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</row>
    <row r="440" spans="1:26" x14ac:dyDescent="0.25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</row>
    <row r="441" spans="1:26" x14ac:dyDescent="0.25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</row>
    <row r="442" spans="1:26" x14ac:dyDescent="0.25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</row>
    <row r="443" spans="1:26" x14ac:dyDescent="0.25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</row>
    <row r="444" spans="1:26" x14ac:dyDescent="0.25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</row>
    <row r="445" spans="1:26" x14ac:dyDescent="0.25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</row>
    <row r="446" spans="1:26" x14ac:dyDescent="0.25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</row>
    <row r="447" spans="1:26" x14ac:dyDescent="0.25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</row>
    <row r="448" spans="1:26" x14ac:dyDescent="0.25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</row>
    <row r="449" spans="1:26" x14ac:dyDescent="0.25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</row>
    <row r="450" spans="1:26" x14ac:dyDescent="0.25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</row>
    <row r="451" spans="1:26" x14ac:dyDescent="0.25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</row>
    <row r="452" spans="1:26" x14ac:dyDescent="0.25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</row>
    <row r="453" spans="1:26" x14ac:dyDescent="0.25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</row>
    <row r="454" spans="1:26" x14ac:dyDescent="0.25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</row>
    <row r="455" spans="1:26" x14ac:dyDescent="0.25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</row>
    <row r="456" spans="1:26" x14ac:dyDescent="0.25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</row>
    <row r="457" spans="1:26" x14ac:dyDescent="0.25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</row>
    <row r="458" spans="1:26" x14ac:dyDescent="0.25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</row>
    <row r="459" spans="1:26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</row>
    <row r="460" spans="1:26" x14ac:dyDescent="0.25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</row>
    <row r="461" spans="1:26" x14ac:dyDescent="0.25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</row>
    <row r="462" spans="1:26" x14ac:dyDescent="0.25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</row>
    <row r="463" spans="1:26" x14ac:dyDescent="0.25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</row>
    <row r="464" spans="1:26" x14ac:dyDescent="0.25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</row>
    <row r="465" spans="1:26" x14ac:dyDescent="0.25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</row>
    <row r="466" spans="1:26" x14ac:dyDescent="0.25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</row>
    <row r="467" spans="1:26" x14ac:dyDescent="0.25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</row>
    <row r="468" spans="1:26" x14ac:dyDescent="0.25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</row>
    <row r="469" spans="1:26" x14ac:dyDescent="0.25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</row>
    <row r="470" spans="1:26" x14ac:dyDescent="0.25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</row>
    <row r="471" spans="1:26" x14ac:dyDescent="0.25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</row>
    <row r="472" spans="1:26" x14ac:dyDescent="0.25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</row>
    <row r="473" spans="1:26" x14ac:dyDescent="0.25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</row>
    <row r="474" spans="1:26" x14ac:dyDescent="0.25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</row>
    <row r="475" spans="1:26" x14ac:dyDescent="0.25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</row>
    <row r="476" spans="1:26" x14ac:dyDescent="0.25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</row>
    <row r="477" spans="1:26" x14ac:dyDescent="0.25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</row>
    <row r="478" spans="1:26" x14ac:dyDescent="0.25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</row>
    <row r="479" spans="1:26" x14ac:dyDescent="0.25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</row>
    <row r="480" spans="1:26" x14ac:dyDescent="0.25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</row>
    <row r="481" spans="1:26" x14ac:dyDescent="0.25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</row>
    <row r="482" spans="1:26" x14ac:dyDescent="0.25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</row>
    <row r="483" spans="1:26" x14ac:dyDescent="0.25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</row>
    <row r="484" spans="1:26" x14ac:dyDescent="0.25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</row>
    <row r="485" spans="1:26" x14ac:dyDescent="0.25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</row>
    <row r="486" spans="1:26" x14ac:dyDescent="0.25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</row>
    <row r="487" spans="1:26" x14ac:dyDescent="0.25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</row>
    <row r="488" spans="1:26" x14ac:dyDescent="0.25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</row>
    <row r="489" spans="1:26" x14ac:dyDescent="0.25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</row>
    <row r="490" spans="1:26" x14ac:dyDescent="0.25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</row>
    <row r="491" spans="1:26" x14ac:dyDescent="0.25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</row>
    <row r="492" spans="1:26" x14ac:dyDescent="0.25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</row>
    <row r="493" spans="1:26" x14ac:dyDescent="0.25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</row>
    <row r="494" spans="1:26" x14ac:dyDescent="0.25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</row>
    <row r="495" spans="1:26" x14ac:dyDescent="0.25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</row>
    <row r="496" spans="1:26" x14ac:dyDescent="0.25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</row>
    <row r="497" spans="1:26" x14ac:dyDescent="0.25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</row>
    <row r="498" spans="1:26" x14ac:dyDescent="0.25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</row>
    <row r="499" spans="1:26" x14ac:dyDescent="0.25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</row>
    <row r="500" spans="1:26" x14ac:dyDescent="0.25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</row>
    <row r="501" spans="1:26" x14ac:dyDescent="0.25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</row>
    <row r="502" spans="1:26" x14ac:dyDescent="0.25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</row>
    <row r="503" spans="1:26" x14ac:dyDescent="0.25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</row>
    <row r="504" spans="1:26" x14ac:dyDescent="0.25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</row>
    <row r="505" spans="1:26" x14ac:dyDescent="0.25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</row>
    <row r="506" spans="1:26" x14ac:dyDescent="0.25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</row>
    <row r="507" spans="1:26" x14ac:dyDescent="0.25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</row>
    <row r="508" spans="1:26" x14ac:dyDescent="0.25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</row>
    <row r="509" spans="1:26" x14ac:dyDescent="0.25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</row>
    <row r="510" spans="1:26" x14ac:dyDescent="0.25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</row>
    <row r="511" spans="1:26" x14ac:dyDescent="0.25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</row>
    <row r="512" spans="1:26" x14ac:dyDescent="0.25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</row>
    <row r="513" spans="1:26" x14ac:dyDescent="0.25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</row>
    <row r="514" spans="1:26" x14ac:dyDescent="0.25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</row>
    <row r="515" spans="1:26" x14ac:dyDescent="0.25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</row>
    <row r="516" spans="1:26" x14ac:dyDescent="0.25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</row>
    <row r="517" spans="1:26" x14ac:dyDescent="0.25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</row>
    <row r="518" spans="1:26" x14ac:dyDescent="0.25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</row>
    <row r="519" spans="1:26" x14ac:dyDescent="0.25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</row>
    <row r="520" spans="1:26" x14ac:dyDescent="0.25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</row>
    <row r="521" spans="1:26" x14ac:dyDescent="0.25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</row>
    <row r="522" spans="1:26" x14ac:dyDescent="0.25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</row>
    <row r="523" spans="1:26" x14ac:dyDescent="0.25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</row>
    <row r="524" spans="1:26" x14ac:dyDescent="0.25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</row>
    <row r="525" spans="1:26" x14ac:dyDescent="0.25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</row>
    <row r="526" spans="1:26" x14ac:dyDescent="0.25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</row>
    <row r="527" spans="1:26" x14ac:dyDescent="0.25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</row>
    <row r="528" spans="1:26" x14ac:dyDescent="0.25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</row>
    <row r="529" spans="1:26" x14ac:dyDescent="0.25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</row>
    <row r="530" spans="1:26" x14ac:dyDescent="0.25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</row>
    <row r="531" spans="1:26" x14ac:dyDescent="0.25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</row>
    <row r="532" spans="1:26" x14ac:dyDescent="0.25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</row>
    <row r="533" spans="1:26" x14ac:dyDescent="0.25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</row>
    <row r="534" spans="1:26" x14ac:dyDescent="0.25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</row>
    <row r="535" spans="1:26" x14ac:dyDescent="0.25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</row>
    <row r="536" spans="1:26" x14ac:dyDescent="0.25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</row>
    <row r="537" spans="1:26" x14ac:dyDescent="0.25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</row>
    <row r="538" spans="1:26" x14ac:dyDescent="0.25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</row>
    <row r="539" spans="1:26" x14ac:dyDescent="0.25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</row>
    <row r="540" spans="1:26" x14ac:dyDescent="0.25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</row>
    <row r="541" spans="1:26" x14ac:dyDescent="0.25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</row>
    <row r="542" spans="1:26" x14ac:dyDescent="0.25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</row>
    <row r="543" spans="1:26" x14ac:dyDescent="0.25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</row>
    <row r="544" spans="1:26" x14ac:dyDescent="0.25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</row>
    <row r="545" spans="1:26" x14ac:dyDescent="0.25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</row>
    <row r="546" spans="1:26" x14ac:dyDescent="0.25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</row>
    <row r="547" spans="1:26" x14ac:dyDescent="0.25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</row>
    <row r="548" spans="1:26" x14ac:dyDescent="0.25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</row>
    <row r="549" spans="1:26" x14ac:dyDescent="0.25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</row>
    <row r="550" spans="1:26" x14ac:dyDescent="0.25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</row>
    <row r="551" spans="1:26" x14ac:dyDescent="0.25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</row>
    <row r="552" spans="1:26" x14ac:dyDescent="0.25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</row>
    <row r="553" spans="1:26" x14ac:dyDescent="0.25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</row>
    <row r="554" spans="1:26" x14ac:dyDescent="0.25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</row>
    <row r="555" spans="1:26" x14ac:dyDescent="0.25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</row>
    <row r="556" spans="1:26" x14ac:dyDescent="0.25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</row>
    <row r="557" spans="1:26" x14ac:dyDescent="0.25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</row>
    <row r="558" spans="1:26" x14ac:dyDescent="0.25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</row>
    <row r="559" spans="1:26" x14ac:dyDescent="0.25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</row>
    <row r="560" spans="1:26" x14ac:dyDescent="0.25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</row>
    <row r="561" spans="1:26" x14ac:dyDescent="0.25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</row>
    <row r="562" spans="1:26" x14ac:dyDescent="0.25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</row>
    <row r="563" spans="1:26" x14ac:dyDescent="0.25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</row>
    <row r="564" spans="1:26" x14ac:dyDescent="0.25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</row>
    <row r="565" spans="1:26" x14ac:dyDescent="0.25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</row>
    <row r="566" spans="1:26" x14ac:dyDescent="0.25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</row>
    <row r="567" spans="1:26" x14ac:dyDescent="0.25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</row>
    <row r="568" spans="1:26" x14ac:dyDescent="0.25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</row>
    <row r="569" spans="1:26" x14ac:dyDescent="0.25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</row>
    <row r="570" spans="1:26" x14ac:dyDescent="0.25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</row>
    <row r="571" spans="1:26" x14ac:dyDescent="0.25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</row>
    <row r="572" spans="1:26" x14ac:dyDescent="0.25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</row>
    <row r="573" spans="1:26" x14ac:dyDescent="0.25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</row>
    <row r="574" spans="1:26" x14ac:dyDescent="0.25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</row>
    <row r="575" spans="1:26" x14ac:dyDescent="0.25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</row>
    <row r="576" spans="1:26" x14ac:dyDescent="0.25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</row>
    <row r="577" spans="1:26" x14ac:dyDescent="0.25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</row>
    <row r="578" spans="1:26" x14ac:dyDescent="0.25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</row>
    <row r="579" spans="1:26" x14ac:dyDescent="0.25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</row>
    <row r="580" spans="1:26" x14ac:dyDescent="0.25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</row>
    <row r="581" spans="1:26" x14ac:dyDescent="0.25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</row>
    <row r="582" spans="1:26" x14ac:dyDescent="0.25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</row>
    <row r="583" spans="1:26" x14ac:dyDescent="0.25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</row>
    <row r="584" spans="1:26" x14ac:dyDescent="0.25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</row>
    <row r="585" spans="1:26" x14ac:dyDescent="0.25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</row>
    <row r="586" spans="1:26" x14ac:dyDescent="0.25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</row>
    <row r="587" spans="1:26" x14ac:dyDescent="0.25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</row>
    <row r="588" spans="1:26" x14ac:dyDescent="0.25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</row>
    <row r="589" spans="1:26" x14ac:dyDescent="0.25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</row>
    <row r="590" spans="1:26" x14ac:dyDescent="0.25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</row>
    <row r="591" spans="1:26" x14ac:dyDescent="0.25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</row>
    <row r="592" spans="1:26" x14ac:dyDescent="0.25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</row>
    <row r="593" spans="1:26" x14ac:dyDescent="0.25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</row>
    <row r="594" spans="1:26" x14ac:dyDescent="0.25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</row>
    <row r="595" spans="1:26" x14ac:dyDescent="0.25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</row>
    <row r="596" spans="1:26" x14ac:dyDescent="0.25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</row>
    <row r="597" spans="1:26" x14ac:dyDescent="0.25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</row>
    <row r="598" spans="1:26" x14ac:dyDescent="0.25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</row>
    <row r="599" spans="1:26" x14ac:dyDescent="0.25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</row>
    <row r="600" spans="1:26" x14ac:dyDescent="0.25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80"/>
    <col min="4" max="4" width="16" style="80" customWidth="1"/>
    <col min="5" max="5" width="13.7109375" style="80" customWidth="1"/>
    <col min="6" max="6" width="9.140625" style="80"/>
    <col min="7" max="7" width="27.42578125" style="80" customWidth="1"/>
    <col min="8" max="16384" width="9.140625" style="80"/>
  </cols>
  <sheetData>
    <row r="1" spans="1:26" ht="26.25" x14ac:dyDescent="0.4">
      <c r="B1" s="87" t="s">
        <v>273</v>
      </c>
      <c r="C1" s="87"/>
      <c r="D1" s="87"/>
      <c r="E1" s="87" t="s">
        <v>173</v>
      </c>
      <c r="F1" s="87"/>
      <c r="G1" s="87"/>
      <c r="H1" s="87" t="s">
        <v>171</v>
      </c>
    </row>
    <row r="3" spans="1:26" ht="20.25" x14ac:dyDescent="0.3">
      <c r="F3" s="92" t="str">
        <f>Season</f>
        <v>2022/2023</v>
      </c>
    </row>
    <row r="4" spans="1:26" x14ac:dyDescent="0.25">
      <c r="C4" s="80" t="s">
        <v>160</v>
      </c>
    </row>
    <row r="5" spans="1:26" x14ac:dyDescent="0.25">
      <c r="A5" s="81" t="s">
        <v>349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</row>
    <row r="6" spans="1:26" x14ac:dyDescent="0.25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</row>
    <row r="7" spans="1:26" ht="16.5" thickBot="1" x14ac:dyDescent="0.3">
      <c r="A7" s="81"/>
      <c r="B7" s="81" t="s">
        <v>113</v>
      </c>
      <c r="C7" s="81" t="s">
        <v>44</v>
      </c>
      <c r="D7" s="82"/>
      <c r="E7" s="82"/>
      <c r="F7" s="82"/>
      <c r="G7" s="82"/>
      <c r="H7" s="82"/>
      <c r="I7" s="82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</row>
    <row r="8" spans="1:26" x14ac:dyDescent="0.25">
      <c r="A8" s="81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</row>
    <row r="9" spans="1:26" ht="16.5" thickBot="1" x14ac:dyDescent="0.3">
      <c r="A9" s="81"/>
      <c r="B9" s="81" t="s">
        <v>114</v>
      </c>
      <c r="C9" s="81" t="s">
        <v>44</v>
      </c>
      <c r="D9" s="82"/>
      <c r="E9" s="82"/>
      <c r="F9" s="82"/>
      <c r="G9" s="82"/>
      <c r="H9" s="82"/>
      <c r="I9" s="82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x14ac:dyDescent="0.25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</row>
    <row r="11" spans="1:26" ht="16.5" thickBot="1" x14ac:dyDescent="0.3">
      <c r="A11" s="81"/>
      <c r="B11" s="81" t="s">
        <v>115</v>
      </c>
      <c r="C11" s="81" t="s">
        <v>48</v>
      </c>
      <c r="D11" s="82"/>
      <c r="E11" s="82"/>
      <c r="F11" s="82"/>
      <c r="G11" s="82"/>
      <c r="H11" s="82"/>
      <c r="I11" s="82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</row>
    <row r="12" spans="1:26" x14ac:dyDescent="0.25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</row>
    <row r="13" spans="1:26" ht="16.5" thickBot="1" x14ac:dyDescent="0.3">
      <c r="A13" s="81"/>
      <c r="B13" s="81" t="s">
        <v>124</v>
      </c>
      <c r="C13" s="81" t="s">
        <v>48</v>
      </c>
      <c r="D13" s="82"/>
      <c r="E13" s="82"/>
      <c r="F13" s="82"/>
      <c r="G13" s="82"/>
      <c r="H13" s="82"/>
      <c r="I13" s="82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</row>
    <row r="14" spans="1:26" x14ac:dyDescent="0.25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</row>
    <row r="15" spans="1:26" ht="16.5" thickBot="1" x14ac:dyDescent="0.3">
      <c r="A15" s="81"/>
      <c r="B15" s="81" t="s">
        <v>148</v>
      </c>
      <c r="C15" s="81" t="s">
        <v>48</v>
      </c>
      <c r="D15" s="82"/>
      <c r="E15" s="82"/>
      <c r="F15" s="82"/>
      <c r="G15" s="82"/>
      <c r="H15" s="82"/>
      <c r="I15" s="82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</row>
    <row r="16" spans="1:26" x14ac:dyDescent="0.25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ht="16.5" thickBot="1" x14ac:dyDescent="0.3">
      <c r="A17" s="81"/>
      <c r="B17" s="81" t="s">
        <v>106</v>
      </c>
      <c r="C17" s="81" t="s">
        <v>48</v>
      </c>
      <c r="D17" s="82"/>
      <c r="E17" s="82"/>
      <c r="F17" s="82"/>
      <c r="G17" s="82"/>
      <c r="H17" s="82"/>
      <c r="I17" s="82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ht="16.5" thickBot="1" x14ac:dyDescent="0.3">
      <c r="A19" s="81"/>
      <c r="B19" s="81" t="s">
        <v>107</v>
      </c>
      <c r="C19" s="81" t="s">
        <v>48</v>
      </c>
      <c r="D19" s="82"/>
      <c r="E19" s="82"/>
      <c r="F19" s="82"/>
      <c r="G19" s="82"/>
      <c r="H19" s="82"/>
      <c r="I19" s="82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</row>
    <row r="21" spans="1:26" x14ac:dyDescent="0.25">
      <c r="A21" s="81" t="s">
        <v>350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</row>
    <row r="22" spans="1:26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</row>
    <row r="23" spans="1:26" ht="16.5" thickBot="1" x14ac:dyDescent="0.3">
      <c r="A23" s="81"/>
      <c r="B23" s="81" t="s">
        <v>106</v>
      </c>
      <c r="C23" s="81" t="s">
        <v>303</v>
      </c>
      <c r="D23" s="82"/>
      <c r="E23" s="82"/>
      <c r="F23" s="82"/>
      <c r="G23" s="82"/>
      <c r="H23" s="82"/>
      <c r="I23" s="82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</row>
    <row r="24" spans="1:26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</row>
    <row r="25" spans="1:26" ht="16.5" thickBot="1" x14ac:dyDescent="0.3">
      <c r="A25" s="81"/>
      <c r="B25" s="81" t="s">
        <v>107</v>
      </c>
      <c r="C25" s="81" t="s">
        <v>303</v>
      </c>
      <c r="D25" s="82"/>
      <c r="E25" s="82"/>
      <c r="F25" s="82"/>
      <c r="G25" s="82"/>
      <c r="H25" s="82"/>
      <c r="I25" s="82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x14ac:dyDescent="0.25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ht="16.5" thickBot="1" x14ac:dyDescent="0.3">
      <c r="A27" s="81"/>
      <c r="B27" s="81" t="s">
        <v>108</v>
      </c>
      <c r="C27" s="81" t="s">
        <v>303</v>
      </c>
      <c r="D27" s="82"/>
      <c r="E27" s="82"/>
      <c r="F27" s="82"/>
      <c r="G27" s="82"/>
      <c r="H27" s="82"/>
      <c r="I27" s="82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ht="16.5" thickBot="1" x14ac:dyDescent="0.3">
      <c r="A29" s="81"/>
      <c r="B29" s="81" t="s">
        <v>109</v>
      </c>
      <c r="C29" s="81" t="s">
        <v>96</v>
      </c>
      <c r="D29" s="82"/>
      <c r="E29" s="82"/>
      <c r="F29" s="82"/>
      <c r="G29" s="82"/>
      <c r="H29" s="82"/>
      <c r="I29" s="82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ht="16.5" thickBot="1" x14ac:dyDescent="0.3">
      <c r="A31" s="81"/>
      <c r="B31" s="81" t="s">
        <v>110</v>
      </c>
      <c r="C31" s="81" t="s">
        <v>101</v>
      </c>
      <c r="D31" s="82"/>
      <c r="E31" s="82"/>
      <c r="F31" s="82"/>
      <c r="G31" s="82"/>
      <c r="H31" s="82"/>
      <c r="I31" s="82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ht="16.5" thickBot="1" x14ac:dyDescent="0.3">
      <c r="A33" s="81"/>
      <c r="B33" s="81" t="s">
        <v>111</v>
      </c>
      <c r="C33" s="81" t="s">
        <v>101</v>
      </c>
      <c r="D33" s="82"/>
      <c r="E33" s="82"/>
      <c r="F33" s="82"/>
      <c r="G33" s="82"/>
      <c r="H33" s="82"/>
      <c r="I33" s="82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x14ac:dyDescent="0.25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ht="16.5" thickBot="1" x14ac:dyDescent="0.3">
      <c r="A35" s="81"/>
      <c r="B35" s="81" t="s">
        <v>112</v>
      </c>
      <c r="C35" s="81" t="s">
        <v>90</v>
      </c>
      <c r="D35" s="82"/>
      <c r="E35" s="82"/>
      <c r="F35" s="82"/>
      <c r="G35" s="82"/>
      <c r="H35" s="82"/>
      <c r="I35" s="82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x14ac:dyDescent="0.25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ht="16.5" thickBot="1" x14ac:dyDescent="0.3">
      <c r="A37" s="81"/>
      <c r="B37" s="81" t="s">
        <v>113</v>
      </c>
      <c r="C37" s="81" t="s">
        <v>96</v>
      </c>
      <c r="D37" s="82"/>
      <c r="E37" s="82"/>
      <c r="F37" s="82"/>
      <c r="G37" s="82"/>
      <c r="H37" s="82"/>
      <c r="I37" s="82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x14ac:dyDescent="0.25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ht="16.5" thickBot="1" x14ac:dyDescent="0.3">
      <c r="A39" s="81"/>
      <c r="B39" s="81" t="s">
        <v>114</v>
      </c>
      <c r="C39" s="81" t="s">
        <v>95</v>
      </c>
      <c r="D39" s="82"/>
      <c r="E39" s="82"/>
      <c r="F39" s="82"/>
      <c r="G39" s="82"/>
      <c r="H39" s="82"/>
      <c r="I39" s="82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x14ac:dyDescent="0.25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1" spans="1:26" ht="16.5" thickBot="1" x14ac:dyDescent="0.3">
      <c r="A41" s="81"/>
      <c r="B41" s="81" t="s">
        <v>115</v>
      </c>
      <c r="C41" s="81" t="s">
        <v>90</v>
      </c>
      <c r="D41" s="82"/>
      <c r="E41" s="82"/>
      <c r="F41" s="82"/>
      <c r="G41" s="82"/>
      <c r="H41" s="82"/>
      <c r="I41" s="82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</row>
    <row r="42" spans="1:2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</row>
    <row r="43" spans="1:26" x14ac:dyDescent="0.25">
      <c r="A43" s="81" t="s">
        <v>351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</row>
    <row r="44" spans="1:26" x14ac:dyDescent="0.25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</row>
    <row r="45" spans="1:26" ht="16.5" thickBot="1" x14ac:dyDescent="0.3">
      <c r="A45" s="81"/>
      <c r="B45" s="81" t="s">
        <v>108</v>
      </c>
      <c r="C45" s="81" t="s">
        <v>255</v>
      </c>
      <c r="D45" s="82"/>
      <c r="E45" s="82"/>
      <c r="F45" s="82"/>
      <c r="G45" s="82"/>
      <c r="H45" s="82"/>
      <c r="I45" s="82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</row>
    <row r="46" spans="1:26" x14ac:dyDescent="0.25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</row>
    <row r="47" spans="1:26" ht="16.5" thickBot="1" x14ac:dyDescent="0.3">
      <c r="A47" s="81"/>
      <c r="B47" s="81" t="s">
        <v>109</v>
      </c>
      <c r="C47" s="81" t="s">
        <v>96</v>
      </c>
      <c r="D47" s="82"/>
      <c r="E47" s="82"/>
      <c r="F47" s="82"/>
      <c r="G47" s="82"/>
      <c r="H47" s="82"/>
      <c r="I47" s="82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</row>
    <row r="48" spans="1:26" x14ac:dyDescent="0.25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</row>
    <row r="49" spans="1:26" ht="16.5" thickBot="1" x14ac:dyDescent="0.3">
      <c r="A49" s="81"/>
      <c r="B49" s="81" t="s">
        <v>110</v>
      </c>
      <c r="C49" s="81" t="s">
        <v>94</v>
      </c>
      <c r="D49" s="82"/>
      <c r="E49" s="82"/>
      <c r="F49" s="82"/>
      <c r="G49" s="82"/>
      <c r="H49" s="82"/>
      <c r="I49" s="82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</row>
    <row r="50" spans="1:26" x14ac:dyDescent="0.25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</row>
    <row r="51" spans="1:26" ht="16.5" thickBot="1" x14ac:dyDescent="0.3">
      <c r="A51" s="81"/>
      <c r="B51" s="81" t="s">
        <v>111</v>
      </c>
      <c r="C51" s="81" t="s">
        <v>20</v>
      </c>
      <c r="D51" s="82"/>
      <c r="E51" s="82"/>
      <c r="F51" s="82"/>
      <c r="G51" s="82"/>
      <c r="H51" s="82"/>
      <c r="I51" s="82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</row>
    <row r="52" spans="1:26" x14ac:dyDescent="0.25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</row>
    <row r="53" spans="1:26" ht="16.5" thickBot="1" x14ac:dyDescent="0.3">
      <c r="A53" s="81"/>
      <c r="B53" s="81" t="s">
        <v>112</v>
      </c>
      <c r="C53" s="81" t="s">
        <v>48</v>
      </c>
      <c r="D53" s="82"/>
      <c r="E53" s="82"/>
      <c r="F53" s="82"/>
      <c r="G53" s="82"/>
      <c r="H53" s="82"/>
      <c r="I53" s="82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</row>
    <row r="54" spans="1:26" x14ac:dyDescent="0.25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</row>
    <row r="55" spans="1:26" ht="16.5" thickBot="1" x14ac:dyDescent="0.3">
      <c r="A55" s="81"/>
      <c r="B55" s="81" t="s">
        <v>113</v>
      </c>
      <c r="C55" s="81" t="s">
        <v>44</v>
      </c>
      <c r="D55" s="82"/>
      <c r="E55" s="82"/>
      <c r="F55" s="82"/>
      <c r="G55" s="82"/>
      <c r="H55" s="82"/>
      <c r="I55" s="82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</row>
    <row r="56" spans="1:26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</row>
    <row r="57" spans="1:26" ht="16.5" thickBot="1" x14ac:dyDescent="0.3">
      <c r="A57" s="81"/>
      <c r="B57" s="81" t="s">
        <v>114</v>
      </c>
      <c r="C57" s="81" t="s">
        <v>101</v>
      </c>
      <c r="D57" s="82"/>
      <c r="E57" s="82"/>
      <c r="F57" s="82"/>
      <c r="G57" s="82"/>
      <c r="H57" s="82"/>
      <c r="I57" s="82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</row>
    <row r="58" spans="1:26" x14ac:dyDescent="0.25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</row>
    <row r="59" spans="1:26" x14ac:dyDescent="0.25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</row>
    <row r="60" spans="1:26" x14ac:dyDescent="0.25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</row>
    <row r="61" spans="1:26" x14ac:dyDescent="0.25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</row>
    <row r="62" spans="1:26" x14ac:dyDescent="0.25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1:26" x14ac:dyDescent="0.25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</row>
    <row r="64" spans="1:26" x14ac:dyDescent="0.25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</row>
    <row r="65" spans="1:26" x14ac:dyDescent="0.25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</row>
    <row r="66" spans="1:26" x14ac:dyDescent="0.25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</row>
    <row r="67" spans="1:26" x14ac:dyDescent="0.25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</row>
    <row r="68" spans="1:26" x14ac:dyDescent="0.25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</row>
    <row r="69" spans="1:26" x14ac:dyDescent="0.25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</row>
    <row r="70" spans="1:26" x14ac:dyDescent="0.25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</row>
    <row r="71" spans="1:26" x14ac:dyDescent="0.25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</row>
    <row r="72" spans="1:26" x14ac:dyDescent="0.25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</row>
    <row r="73" spans="1:26" x14ac:dyDescent="0.25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</row>
    <row r="74" spans="1:26" x14ac:dyDescent="0.25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</row>
    <row r="75" spans="1:26" x14ac:dyDescent="0.25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</row>
    <row r="76" spans="1:26" x14ac:dyDescent="0.25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</row>
    <row r="77" spans="1:26" x14ac:dyDescent="0.25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</row>
    <row r="78" spans="1:26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</row>
    <row r="79" spans="1:26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</row>
    <row r="80" spans="1:26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</row>
    <row r="81" spans="1:26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</row>
    <row r="82" spans="1:26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</row>
    <row r="83" spans="1:26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</row>
    <row r="84" spans="1:26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</row>
    <row r="85" spans="1:26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</row>
    <row r="86" spans="1:26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</row>
    <row r="87" spans="1:26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</row>
    <row r="88" spans="1:26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</row>
    <row r="89" spans="1:26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</row>
    <row r="90" spans="1:26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</row>
    <row r="91" spans="1:26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</row>
    <row r="92" spans="1:26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</row>
    <row r="93" spans="1:26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</row>
    <row r="94" spans="1:26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</row>
    <row r="95" spans="1:26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</row>
    <row r="96" spans="1:26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</row>
    <row r="97" spans="1:26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</row>
    <row r="98" spans="1:26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</row>
    <row r="99" spans="1:26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</row>
    <row r="100" spans="1:26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</row>
    <row r="101" spans="1:26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</row>
    <row r="102" spans="1:26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</row>
    <row r="103" spans="1:26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</row>
    <row r="104" spans="1:26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</row>
    <row r="105" spans="1:26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</row>
    <row r="106" spans="1:26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</row>
    <row r="107" spans="1:26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</row>
    <row r="108" spans="1:26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</row>
    <row r="109" spans="1:26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</row>
    <row r="110" spans="1:26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</row>
    <row r="111" spans="1:26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</row>
    <row r="112" spans="1:26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</row>
    <row r="113" spans="1:26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</row>
    <row r="114" spans="1:26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</row>
    <row r="115" spans="1:26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</row>
    <row r="116" spans="1:26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</row>
    <row r="117" spans="1:26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</row>
    <row r="118" spans="1:26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</row>
    <row r="119" spans="1:26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</row>
    <row r="120" spans="1:26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</row>
    <row r="121" spans="1:26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</row>
    <row r="122" spans="1:26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</row>
    <row r="123" spans="1:26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</row>
    <row r="124" spans="1:26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</row>
    <row r="125" spans="1:26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</row>
    <row r="126" spans="1:26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</row>
    <row r="127" spans="1:26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</row>
    <row r="128" spans="1:26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</row>
    <row r="129" spans="1:26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</row>
    <row r="130" spans="1:26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</row>
    <row r="131" spans="1:26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</row>
    <row r="132" spans="1:26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</row>
    <row r="133" spans="1:26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</row>
    <row r="134" spans="1:26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</row>
    <row r="135" spans="1:26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</row>
    <row r="136" spans="1:26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</row>
    <row r="137" spans="1:26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</row>
    <row r="138" spans="1:26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</row>
    <row r="139" spans="1:26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</row>
    <row r="140" spans="1:26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</row>
    <row r="141" spans="1:26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</row>
    <row r="142" spans="1:26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</row>
    <row r="143" spans="1:26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</row>
    <row r="144" spans="1:26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</row>
    <row r="145" spans="1:26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</row>
    <row r="146" spans="1:26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</row>
    <row r="147" spans="1:26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</row>
    <row r="148" spans="1:26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</row>
    <row r="149" spans="1:26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</row>
    <row r="150" spans="1:26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</row>
    <row r="151" spans="1:26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</row>
    <row r="152" spans="1:26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</row>
    <row r="153" spans="1:26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</row>
    <row r="154" spans="1:26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</row>
    <row r="155" spans="1:26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</row>
    <row r="156" spans="1:26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</row>
    <row r="157" spans="1:26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</row>
    <row r="158" spans="1:26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  <row r="159" spans="1:26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</row>
    <row r="160" spans="1:26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</row>
    <row r="161" spans="1:26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</row>
    <row r="162" spans="1:26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</row>
    <row r="163" spans="1:26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</row>
    <row r="164" spans="1:26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</row>
    <row r="165" spans="1:26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</row>
    <row r="166" spans="1:26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</row>
    <row r="167" spans="1:26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</row>
    <row r="168" spans="1:26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</row>
    <row r="169" spans="1:26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</row>
    <row r="170" spans="1:26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</row>
    <row r="171" spans="1:26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</row>
    <row r="172" spans="1:26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</row>
    <row r="173" spans="1:26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</row>
    <row r="174" spans="1:26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</row>
    <row r="175" spans="1:26" x14ac:dyDescent="0.25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</row>
    <row r="176" spans="1:26" x14ac:dyDescent="0.25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</row>
    <row r="177" spans="1:26" x14ac:dyDescent="0.25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</row>
    <row r="178" spans="1:26" x14ac:dyDescent="0.25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</row>
    <row r="179" spans="1:26" x14ac:dyDescent="0.25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</row>
    <row r="180" spans="1:26" x14ac:dyDescent="0.25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</row>
    <row r="181" spans="1:26" x14ac:dyDescent="0.25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</row>
    <row r="182" spans="1:26" x14ac:dyDescent="0.25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</row>
    <row r="183" spans="1:26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</row>
    <row r="184" spans="1:26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</row>
    <row r="185" spans="1:26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</row>
    <row r="186" spans="1:26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</row>
    <row r="187" spans="1:26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</row>
    <row r="188" spans="1:26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</row>
    <row r="189" spans="1:26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</row>
    <row r="190" spans="1:26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</row>
    <row r="191" spans="1:26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</row>
    <row r="192" spans="1:26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</row>
    <row r="193" spans="1:26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</row>
    <row r="194" spans="1:26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</row>
    <row r="195" spans="1:26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</row>
    <row r="196" spans="1:26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</row>
    <row r="197" spans="1:26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</row>
    <row r="198" spans="1:26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</row>
    <row r="199" spans="1:26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</row>
    <row r="200" spans="1:26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</row>
    <row r="201" spans="1:26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</row>
    <row r="202" spans="1:26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</row>
    <row r="203" spans="1:26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</row>
    <row r="204" spans="1:26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</row>
    <row r="205" spans="1:26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</row>
    <row r="206" spans="1:26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</row>
    <row r="207" spans="1:26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</row>
    <row r="208" spans="1:26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</row>
    <row r="209" spans="1:26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</row>
    <row r="210" spans="1:26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</row>
    <row r="211" spans="1:26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</row>
    <row r="212" spans="1:26" x14ac:dyDescent="0.25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</row>
    <row r="213" spans="1:26" x14ac:dyDescent="0.25">
      <c r="A213" s="81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</row>
    <row r="214" spans="1:26" x14ac:dyDescent="0.25">
      <c r="A214" s="81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</row>
    <row r="215" spans="1:26" x14ac:dyDescent="0.25">
      <c r="A215" s="81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</row>
    <row r="216" spans="1:26" x14ac:dyDescent="0.25">
      <c r="A216" s="81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</row>
    <row r="217" spans="1:26" x14ac:dyDescent="0.25">
      <c r="A217" s="81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</row>
    <row r="218" spans="1:26" x14ac:dyDescent="0.25">
      <c r="A218" s="81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</row>
    <row r="219" spans="1:26" x14ac:dyDescent="0.25">
      <c r="A219" s="81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</row>
    <row r="220" spans="1:26" x14ac:dyDescent="0.25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</row>
    <row r="221" spans="1:26" x14ac:dyDescent="0.25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</row>
    <row r="222" spans="1:26" x14ac:dyDescent="0.25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</row>
    <row r="223" spans="1:26" x14ac:dyDescent="0.25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</row>
    <row r="224" spans="1:26" x14ac:dyDescent="0.25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</row>
    <row r="225" spans="1:26" x14ac:dyDescent="0.25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</row>
    <row r="226" spans="1:26" x14ac:dyDescent="0.25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</row>
    <row r="227" spans="1:26" x14ac:dyDescent="0.25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</row>
    <row r="228" spans="1:26" x14ac:dyDescent="0.25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</row>
    <row r="229" spans="1:26" x14ac:dyDescent="0.25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</row>
    <row r="230" spans="1:26" x14ac:dyDescent="0.25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</row>
    <row r="231" spans="1:26" x14ac:dyDescent="0.25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</row>
    <row r="232" spans="1:26" x14ac:dyDescent="0.25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</row>
    <row r="233" spans="1:26" x14ac:dyDescent="0.25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</row>
    <row r="234" spans="1:26" x14ac:dyDescent="0.25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</row>
    <row r="235" spans="1:26" x14ac:dyDescent="0.25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</row>
    <row r="236" spans="1:26" x14ac:dyDescent="0.25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</row>
    <row r="237" spans="1:26" x14ac:dyDescent="0.25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</row>
    <row r="238" spans="1:26" x14ac:dyDescent="0.25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</row>
    <row r="239" spans="1:26" x14ac:dyDescent="0.25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</row>
    <row r="240" spans="1:26" x14ac:dyDescent="0.25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</row>
    <row r="241" spans="1:26" x14ac:dyDescent="0.25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</row>
    <row r="242" spans="1:26" x14ac:dyDescent="0.25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</row>
    <row r="243" spans="1:26" x14ac:dyDescent="0.25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</row>
    <row r="244" spans="1:26" x14ac:dyDescent="0.25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</row>
    <row r="245" spans="1:26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</row>
    <row r="246" spans="1:26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</row>
    <row r="247" spans="1:26" x14ac:dyDescent="0.25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</row>
    <row r="248" spans="1:26" x14ac:dyDescent="0.25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</row>
    <row r="249" spans="1:26" x14ac:dyDescent="0.25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</row>
    <row r="250" spans="1:26" x14ac:dyDescent="0.25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</row>
    <row r="251" spans="1:26" x14ac:dyDescent="0.25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</row>
    <row r="252" spans="1:26" x14ac:dyDescent="0.25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</row>
    <row r="253" spans="1:26" x14ac:dyDescent="0.25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</row>
    <row r="254" spans="1:26" x14ac:dyDescent="0.25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</row>
    <row r="255" spans="1:26" x14ac:dyDescent="0.25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</row>
    <row r="256" spans="1:26" x14ac:dyDescent="0.25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</row>
    <row r="257" spans="1:26" x14ac:dyDescent="0.25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</row>
    <row r="258" spans="1:26" x14ac:dyDescent="0.25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</row>
    <row r="259" spans="1:26" x14ac:dyDescent="0.25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</row>
    <row r="260" spans="1:26" x14ac:dyDescent="0.25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</row>
    <row r="261" spans="1:26" x14ac:dyDescent="0.25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</row>
    <row r="262" spans="1:26" x14ac:dyDescent="0.25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</row>
    <row r="263" spans="1:26" x14ac:dyDescent="0.25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</row>
    <row r="264" spans="1:26" x14ac:dyDescent="0.25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</row>
    <row r="265" spans="1:26" x14ac:dyDescent="0.25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</row>
    <row r="266" spans="1:26" x14ac:dyDescent="0.25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</row>
    <row r="267" spans="1:26" x14ac:dyDescent="0.25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</row>
    <row r="268" spans="1:26" x14ac:dyDescent="0.25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</row>
    <row r="269" spans="1:26" x14ac:dyDescent="0.25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</row>
    <row r="270" spans="1:26" x14ac:dyDescent="0.25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</row>
    <row r="271" spans="1:26" x14ac:dyDescent="0.25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</row>
    <row r="272" spans="1:26" x14ac:dyDescent="0.25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</row>
    <row r="273" spans="1:26" x14ac:dyDescent="0.25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</row>
    <row r="274" spans="1:26" x14ac:dyDescent="0.25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</row>
    <row r="275" spans="1:26" x14ac:dyDescent="0.25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</row>
    <row r="276" spans="1:26" x14ac:dyDescent="0.25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</row>
    <row r="277" spans="1:26" x14ac:dyDescent="0.25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</row>
    <row r="278" spans="1:26" x14ac:dyDescent="0.25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</row>
    <row r="279" spans="1:26" x14ac:dyDescent="0.25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</row>
    <row r="280" spans="1:26" x14ac:dyDescent="0.25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</row>
    <row r="281" spans="1:26" x14ac:dyDescent="0.25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</row>
    <row r="282" spans="1:26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</row>
    <row r="283" spans="1:26" x14ac:dyDescent="0.25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</row>
    <row r="284" spans="1:26" x14ac:dyDescent="0.25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</row>
    <row r="285" spans="1:26" x14ac:dyDescent="0.25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</row>
    <row r="286" spans="1:26" x14ac:dyDescent="0.25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</row>
    <row r="287" spans="1:26" x14ac:dyDescent="0.25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</row>
    <row r="288" spans="1:26" x14ac:dyDescent="0.25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</row>
    <row r="289" spans="1:26" x14ac:dyDescent="0.25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</row>
    <row r="290" spans="1:26" x14ac:dyDescent="0.25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</row>
    <row r="291" spans="1:26" x14ac:dyDescent="0.25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</row>
    <row r="292" spans="1:26" x14ac:dyDescent="0.25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</row>
    <row r="293" spans="1:26" x14ac:dyDescent="0.25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</row>
    <row r="294" spans="1:26" x14ac:dyDescent="0.25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</row>
    <row r="295" spans="1:26" x14ac:dyDescent="0.25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</row>
    <row r="296" spans="1:26" x14ac:dyDescent="0.25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</row>
    <row r="297" spans="1:26" x14ac:dyDescent="0.25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</row>
    <row r="298" spans="1:26" x14ac:dyDescent="0.25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</row>
    <row r="299" spans="1:26" x14ac:dyDescent="0.25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</row>
    <row r="300" spans="1:26" x14ac:dyDescent="0.25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</row>
    <row r="301" spans="1:26" x14ac:dyDescent="0.25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</row>
    <row r="302" spans="1:26" x14ac:dyDescent="0.25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</row>
    <row r="303" spans="1:26" x14ac:dyDescent="0.25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</row>
    <row r="304" spans="1:26" x14ac:dyDescent="0.25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</row>
    <row r="305" spans="1:26" x14ac:dyDescent="0.25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</row>
    <row r="306" spans="1:26" x14ac:dyDescent="0.25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</row>
    <row r="307" spans="1:26" x14ac:dyDescent="0.25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</row>
    <row r="308" spans="1:26" x14ac:dyDescent="0.25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</row>
    <row r="309" spans="1:26" x14ac:dyDescent="0.25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</row>
    <row r="310" spans="1:26" x14ac:dyDescent="0.25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</row>
    <row r="311" spans="1:26" x14ac:dyDescent="0.25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</row>
    <row r="312" spans="1:26" x14ac:dyDescent="0.25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</row>
    <row r="313" spans="1:26" x14ac:dyDescent="0.25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</row>
    <row r="314" spans="1:26" x14ac:dyDescent="0.25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</row>
    <row r="315" spans="1:26" x14ac:dyDescent="0.25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</row>
    <row r="316" spans="1:26" x14ac:dyDescent="0.25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</row>
    <row r="317" spans="1:26" x14ac:dyDescent="0.25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</row>
    <row r="318" spans="1:26" x14ac:dyDescent="0.25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</row>
    <row r="319" spans="1:26" x14ac:dyDescent="0.25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</row>
    <row r="320" spans="1:26" x14ac:dyDescent="0.25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</row>
    <row r="321" spans="1:26" x14ac:dyDescent="0.25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</row>
    <row r="322" spans="1:26" x14ac:dyDescent="0.25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</row>
    <row r="323" spans="1:26" x14ac:dyDescent="0.25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</row>
    <row r="324" spans="1:26" x14ac:dyDescent="0.25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</row>
    <row r="325" spans="1:26" x14ac:dyDescent="0.25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</row>
    <row r="326" spans="1:26" x14ac:dyDescent="0.25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</row>
    <row r="327" spans="1:26" x14ac:dyDescent="0.25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</row>
    <row r="328" spans="1:26" x14ac:dyDescent="0.25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</row>
    <row r="329" spans="1:26" x14ac:dyDescent="0.25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</row>
    <row r="330" spans="1:26" x14ac:dyDescent="0.25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</row>
    <row r="331" spans="1:26" x14ac:dyDescent="0.25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</row>
    <row r="332" spans="1:26" x14ac:dyDescent="0.25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</row>
    <row r="333" spans="1:26" x14ac:dyDescent="0.25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</row>
    <row r="334" spans="1:26" x14ac:dyDescent="0.25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</row>
    <row r="335" spans="1:26" x14ac:dyDescent="0.25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</row>
    <row r="336" spans="1:26" x14ac:dyDescent="0.25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</row>
    <row r="337" spans="1:26" x14ac:dyDescent="0.25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</row>
    <row r="338" spans="1:26" x14ac:dyDescent="0.25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</row>
    <row r="339" spans="1:26" x14ac:dyDescent="0.25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</row>
    <row r="340" spans="1:26" x14ac:dyDescent="0.25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</row>
    <row r="341" spans="1:26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</row>
    <row r="342" spans="1:26" x14ac:dyDescent="0.25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</row>
    <row r="343" spans="1:26" x14ac:dyDescent="0.25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</row>
    <row r="344" spans="1:26" x14ac:dyDescent="0.25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</row>
    <row r="345" spans="1:26" x14ac:dyDescent="0.25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</row>
    <row r="346" spans="1:26" x14ac:dyDescent="0.25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</row>
    <row r="347" spans="1:26" x14ac:dyDescent="0.25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</row>
    <row r="348" spans="1:26" x14ac:dyDescent="0.25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</row>
    <row r="349" spans="1:26" x14ac:dyDescent="0.25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</row>
    <row r="350" spans="1:26" x14ac:dyDescent="0.25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</row>
    <row r="351" spans="1:26" x14ac:dyDescent="0.25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</row>
    <row r="352" spans="1:26" x14ac:dyDescent="0.25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</row>
    <row r="353" spans="1:26" x14ac:dyDescent="0.25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</row>
    <row r="354" spans="1:26" x14ac:dyDescent="0.25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</row>
    <row r="355" spans="1:26" x14ac:dyDescent="0.25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</row>
    <row r="356" spans="1:26" x14ac:dyDescent="0.25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</row>
    <row r="357" spans="1:26" x14ac:dyDescent="0.25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</row>
    <row r="358" spans="1:26" x14ac:dyDescent="0.25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</row>
    <row r="359" spans="1:26" x14ac:dyDescent="0.25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</row>
    <row r="360" spans="1:26" x14ac:dyDescent="0.25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</row>
    <row r="361" spans="1:26" x14ac:dyDescent="0.25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</row>
    <row r="362" spans="1:26" x14ac:dyDescent="0.25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</row>
    <row r="363" spans="1:26" x14ac:dyDescent="0.25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</row>
    <row r="364" spans="1:26" x14ac:dyDescent="0.25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</row>
    <row r="365" spans="1:26" x14ac:dyDescent="0.25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</row>
    <row r="366" spans="1:26" x14ac:dyDescent="0.25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</row>
    <row r="367" spans="1:26" x14ac:dyDescent="0.25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</row>
    <row r="368" spans="1:26" x14ac:dyDescent="0.25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</row>
    <row r="369" spans="1:26" x14ac:dyDescent="0.25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</row>
    <row r="370" spans="1:26" x14ac:dyDescent="0.25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</row>
    <row r="371" spans="1:26" x14ac:dyDescent="0.25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</row>
    <row r="372" spans="1:26" x14ac:dyDescent="0.25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</row>
    <row r="373" spans="1:26" x14ac:dyDescent="0.25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</row>
    <row r="374" spans="1:26" x14ac:dyDescent="0.25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</row>
    <row r="375" spans="1:26" x14ac:dyDescent="0.25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</row>
    <row r="376" spans="1:26" x14ac:dyDescent="0.25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</row>
    <row r="377" spans="1:26" x14ac:dyDescent="0.25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</row>
    <row r="378" spans="1:26" x14ac:dyDescent="0.25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</row>
    <row r="379" spans="1:26" x14ac:dyDescent="0.25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</row>
    <row r="380" spans="1:26" x14ac:dyDescent="0.25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</row>
    <row r="381" spans="1:26" x14ac:dyDescent="0.25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</row>
    <row r="382" spans="1:26" x14ac:dyDescent="0.25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</row>
    <row r="383" spans="1:26" x14ac:dyDescent="0.25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</row>
    <row r="384" spans="1:26" x14ac:dyDescent="0.25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</row>
    <row r="385" spans="1:26" x14ac:dyDescent="0.25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</row>
    <row r="386" spans="1:26" x14ac:dyDescent="0.25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</row>
    <row r="387" spans="1:26" x14ac:dyDescent="0.25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</row>
    <row r="388" spans="1:26" x14ac:dyDescent="0.25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</row>
    <row r="389" spans="1:26" x14ac:dyDescent="0.25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</row>
    <row r="390" spans="1:26" x14ac:dyDescent="0.25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</row>
    <row r="391" spans="1:26" x14ac:dyDescent="0.25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</row>
    <row r="392" spans="1:26" x14ac:dyDescent="0.25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</row>
    <row r="393" spans="1:26" x14ac:dyDescent="0.25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</row>
    <row r="394" spans="1:26" x14ac:dyDescent="0.25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</row>
    <row r="395" spans="1:26" x14ac:dyDescent="0.25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</row>
    <row r="396" spans="1:26" x14ac:dyDescent="0.25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</row>
    <row r="397" spans="1:26" x14ac:dyDescent="0.25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</row>
    <row r="398" spans="1:26" x14ac:dyDescent="0.25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</row>
    <row r="399" spans="1:26" x14ac:dyDescent="0.25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</row>
    <row r="400" spans="1:26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</row>
    <row r="401" spans="1:26" x14ac:dyDescent="0.25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</row>
    <row r="402" spans="1:26" x14ac:dyDescent="0.25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</row>
    <row r="403" spans="1:26" x14ac:dyDescent="0.25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</row>
    <row r="404" spans="1:26" x14ac:dyDescent="0.25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</row>
    <row r="405" spans="1:26" x14ac:dyDescent="0.25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</row>
    <row r="406" spans="1:26" x14ac:dyDescent="0.25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</row>
    <row r="407" spans="1:26" x14ac:dyDescent="0.25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</row>
    <row r="408" spans="1:26" x14ac:dyDescent="0.25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</row>
    <row r="409" spans="1:26" x14ac:dyDescent="0.25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</row>
    <row r="410" spans="1:26" x14ac:dyDescent="0.25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</row>
    <row r="411" spans="1:26" x14ac:dyDescent="0.25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</row>
    <row r="412" spans="1:26" x14ac:dyDescent="0.25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</row>
    <row r="413" spans="1:26" x14ac:dyDescent="0.25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</row>
    <row r="414" spans="1:26" x14ac:dyDescent="0.25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</row>
    <row r="415" spans="1:26" x14ac:dyDescent="0.25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</row>
    <row r="416" spans="1:26" x14ac:dyDescent="0.25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</row>
    <row r="417" spans="1:26" x14ac:dyDescent="0.25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</row>
    <row r="418" spans="1:26" x14ac:dyDescent="0.25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</row>
    <row r="419" spans="1:26" x14ac:dyDescent="0.25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</row>
    <row r="420" spans="1:26" x14ac:dyDescent="0.25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</row>
    <row r="421" spans="1:26" x14ac:dyDescent="0.25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</row>
    <row r="422" spans="1:26" x14ac:dyDescent="0.25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</row>
    <row r="423" spans="1:26" x14ac:dyDescent="0.25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</row>
    <row r="424" spans="1:26" x14ac:dyDescent="0.25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</row>
    <row r="425" spans="1:26" x14ac:dyDescent="0.25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</row>
    <row r="426" spans="1:26" x14ac:dyDescent="0.25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</row>
    <row r="427" spans="1:26" x14ac:dyDescent="0.25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</row>
    <row r="428" spans="1:26" x14ac:dyDescent="0.25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</row>
    <row r="429" spans="1:26" x14ac:dyDescent="0.25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</row>
    <row r="430" spans="1:26" x14ac:dyDescent="0.25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</row>
    <row r="431" spans="1:26" x14ac:dyDescent="0.25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</row>
    <row r="432" spans="1:26" x14ac:dyDescent="0.25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</row>
    <row r="433" spans="1:26" x14ac:dyDescent="0.25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</row>
    <row r="434" spans="1:26" x14ac:dyDescent="0.25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</row>
    <row r="435" spans="1:26" x14ac:dyDescent="0.25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</row>
    <row r="436" spans="1:26" x14ac:dyDescent="0.25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</row>
    <row r="437" spans="1:26" x14ac:dyDescent="0.25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</row>
    <row r="438" spans="1:26" x14ac:dyDescent="0.25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</row>
    <row r="439" spans="1:26" x14ac:dyDescent="0.25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</row>
    <row r="440" spans="1:26" x14ac:dyDescent="0.25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</row>
    <row r="441" spans="1:26" x14ac:dyDescent="0.25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</row>
    <row r="442" spans="1:26" x14ac:dyDescent="0.25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</row>
    <row r="443" spans="1:26" x14ac:dyDescent="0.25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</row>
    <row r="444" spans="1:26" x14ac:dyDescent="0.25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</row>
    <row r="445" spans="1:26" x14ac:dyDescent="0.25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</row>
    <row r="446" spans="1:26" x14ac:dyDescent="0.25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</row>
    <row r="447" spans="1:26" x14ac:dyDescent="0.25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</row>
    <row r="448" spans="1:26" x14ac:dyDescent="0.25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</row>
    <row r="449" spans="1:26" x14ac:dyDescent="0.25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</row>
    <row r="450" spans="1:26" x14ac:dyDescent="0.25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</row>
    <row r="451" spans="1:26" x14ac:dyDescent="0.25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</row>
    <row r="452" spans="1:26" x14ac:dyDescent="0.25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</row>
    <row r="453" spans="1:26" x14ac:dyDescent="0.25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</row>
    <row r="454" spans="1:26" x14ac:dyDescent="0.25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</row>
    <row r="455" spans="1:26" x14ac:dyDescent="0.25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</row>
    <row r="456" spans="1:26" x14ac:dyDescent="0.25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</row>
    <row r="457" spans="1:26" x14ac:dyDescent="0.25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</row>
    <row r="458" spans="1:26" x14ac:dyDescent="0.25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</row>
    <row r="459" spans="1:26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</row>
    <row r="460" spans="1:26" x14ac:dyDescent="0.25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</row>
    <row r="461" spans="1:26" x14ac:dyDescent="0.25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</row>
    <row r="462" spans="1:26" x14ac:dyDescent="0.25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</row>
    <row r="463" spans="1:26" x14ac:dyDescent="0.25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</row>
    <row r="464" spans="1:26" x14ac:dyDescent="0.25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</row>
    <row r="465" spans="1:26" x14ac:dyDescent="0.25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</row>
    <row r="466" spans="1:26" x14ac:dyDescent="0.25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</row>
    <row r="467" spans="1:26" x14ac:dyDescent="0.25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</row>
    <row r="468" spans="1:26" x14ac:dyDescent="0.25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</row>
    <row r="469" spans="1:26" x14ac:dyDescent="0.25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</row>
    <row r="470" spans="1:26" x14ac:dyDescent="0.25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</row>
    <row r="471" spans="1:26" x14ac:dyDescent="0.25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</row>
    <row r="472" spans="1:26" x14ac:dyDescent="0.25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</row>
    <row r="473" spans="1:26" x14ac:dyDescent="0.25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</row>
    <row r="474" spans="1:26" x14ac:dyDescent="0.25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</row>
    <row r="475" spans="1:26" x14ac:dyDescent="0.25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</row>
    <row r="476" spans="1:26" x14ac:dyDescent="0.25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</row>
    <row r="477" spans="1:26" x14ac:dyDescent="0.25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</row>
    <row r="478" spans="1:26" x14ac:dyDescent="0.25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</row>
    <row r="479" spans="1:26" x14ac:dyDescent="0.25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</row>
    <row r="480" spans="1:26" x14ac:dyDescent="0.25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</row>
    <row r="481" spans="1:26" x14ac:dyDescent="0.25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</row>
    <row r="482" spans="1:26" x14ac:dyDescent="0.25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</row>
    <row r="483" spans="1:26" x14ac:dyDescent="0.25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</row>
    <row r="484" spans="1:26" x14ac:dyDescent="0.25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</row>
    <row r="485" spans="1:26" x14ac:dyDescent="0.25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</row>
    <row r="486" spans="1:26" x14ac:dyDescent="0.25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</row>
    <row r="487" spans="1:26" x14ac:dyDescent="0.25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</row>
    <row r="488" spans="1:26" x14ac:dyDescent="0.25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</row>
    <row r="489" spans="1:26" x14ac:dyDescent="0.25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</row>
    <row r="490" spans="1:26" x14ac:dyDescent="0.25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</row>
    <row r="491" spans="1:26" x14ac:dyDescent="0.25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</row>
    <row r="492" spans="1:26" x14ac:dyDescent="0.25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</row>
    <row r="493" spans="1:26" x14ac:dyDescent="0.25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</row>
    <row r="494" spans="1:26" x14ac:dyDescent="0.25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</row>
    <row r="495" spans="1:26" x14ac:dyDescent="0.25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</row>
    <row r="496" spans="1:26" x14ac:dyDescent="0.25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</row>
    <row r="497" spans="1:26" x14ac:dyDescent="0.25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</row>
    <row r="498" spans="1:26" x14ac:dyDescent="0.25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</row>
    <row r="499" spans="1:26" x14ac:dyDescent="0.25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</row>
    <row r="500" spans="1:26" x14ac:dyDescent="0.25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</row>
    <row r="501" spans="1:26" x14ac:dyDescent="0.25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</row>
    <row r="502" spans="1:26" x14ac:dyDescent="0.25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</row>
    <row r="503" spans="1:26" x14ac:dyDescent="0.25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</row>
    <row r="504" spans="1:26" x14ac:dyDescent="0.25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</row>
    <row r="505" spans="1:26" x14ac:dyDescent="0.25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</row>
    <row r="506" spans="1:26" x14ac:dyDescent="0.25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</row>
    <row r="507" spans="1:26" x14ac:dyDescent="0.25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</row>
    <row r="508" spans="1:26" x14ac:dyDescent="0.25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</row>
    <row r="509" spans="1:26" x14ac:dyDescent="0.25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</row>
    <row r="510" spans="1:26" x14ac:dyDescent="0.25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</row>
    <row r="511" spans="1:26" x14ac:dyDescent="0.25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</row>
    <row r="512" spans="1:26" x14ac:dyDescent="0.25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</row>
    <row r="513" spans="1:26" x14ac:dyDescent="0.25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</row>
    <row r="514" spans="1:26" x14ac:dyDescent="0.25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</row>
    <row r="515" spans="1:26" x14ac:dyDescent="0.25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</row>
    <row r="516" spans="1:26" x14ac:dyDescent="0.25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</row>
    <row r="517" spans="1:26" x14ac:dyDescent="0.25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</row>
    <row r="518" spans="1:26" x14ac:dyDescent="0.25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</row>
    <row r="519" spans="1:26" x14ac:dyDescent="0.25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</row>
    <row r="520" spans="1:26" x14ac:dyDescent="0.25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</row>
    <row r="521" spans="1:26" x14ac:dyDescent="0.25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</row>
    <row r="522" spans="1:26" x14ac:dyDescent="0.25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</row>
    <row r="523" spans="1:26" x14ac:dyDescent="0.25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</row>
    <row r="524" spans="1:26" x14ac:dyDescent="0.25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</row>
    <row r="525" spans="1:26" x14ac:dyDescent="0.25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</row>
    <row r="526" spans="1:26" x14ac:dyDescent="0.25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</row>
    <row r="527" spans="1:26" x14ac:dyDescent="0.25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</row>
    <row r="528" spans="1:26" x14ac:dyDescent="0.25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</row>
    <row r="529" spans="1:26" x14ac:dyDescent="0.25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</row>
    <row r="530" spans="1:26" x14ac:dyDescent="0.25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</row>
    <row r="531" spans="1:26" x14ac:dyDescent="0.25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</row>
    <row r="532" spans="1:26" x14ac:dyDescent="0.25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</row>
    <row r="533" spans="1:26" x14ac:dyDescent="0.25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</row>
    <row r="534" spans="1:26" x14ac:dyDescent="0.25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</row>
    <row r="535" spans="1:26" x14ac:dyDescent="0.25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</row>
    <row r="536" spans="1:26" x14ac:dyDescent="0.25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</row>
    <row r="537" spans="1:26" x14ac:dyDescent="0.25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</row>
    <row r="538" spans="1:26" x14ac:dyDescent="0.25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</row>
    <row r="539" spans="1:26" x14ac:dyDescent="0.25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</row>
    <row r="540" spans="1:26" x14ac:dyDescent="0.25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</row>
    <row r="541" spans="1:26" x14ac:dyDescent="0.25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</row>
    <row r="542" spans="1:26" x14ac:dyDescent="0.25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</row>
    <row r="543" spans="1:26" x14ac:dyDescent="0.25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</row>
    <row r="544" spans="1:26" x14ac:dyDescent="0.25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</row>
    <row r="545" spans="1:26" x14ac:dyDescent="0.25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</row>
    <row r="546" spans="1:26" x14ac:dyDescent="0.25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</row>
    <row r="547" spans="1:26" x14ac:dyDescent="0.25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</row>
    <row r="548" spans="1:26" x14ac:dyDescent="0.25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</row>
    <row r="549" spans="1:26" x14ac:dyDescent="0.25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</row>
    <row r="550" spans="1:26" x14ac:dyDescent="0.25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</row>
    <row r="551" spans="1:26" x14ac:dyDescent="0.25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</row>
    <row r="552" spans="1:26" x14ac:dyDescent="0.25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</row>
    <row r="553" spans="1:26" x14ac:dyDescent="0.25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</row>
    <row r="554" spans="1:26" x14ac:dyDescent="0.25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</row>
    <row r="555" spans="1:26" x14ac:dyDescent="0.25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</row>
    <row r="556" spans="1:26" x14ac:dyDescent="0.25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</row>
    <row r="557" spans="1:26" x14ac:dyDescent="0.25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</row>
    <row r="558" spans="1:26" x14ac:dyDescent="0.25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</row>
    <row r="559" spans="1:26" x14ac:dyDescent="0.25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</row>
    <row r="560" spans="1:26" x14ac:dyDescent="0.25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</row>
    <row r="561" spans="1:26" x14ac:dyDescent="0.25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</row>
    <row r="562" spans="1:26" x14ac:dyDescent="0.25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</row>
    <row r="563" spans="1:26" x14ac:dyDescent="0.25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</row>
    <row r="564" spans="1:26" x14ac:dyDescent="0.25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</row>
    <row r="565" spans="1:26" x14ac:dyDescent="0.25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</row>
    <row r="566" spans="1:26" x14ac:dyDescent="0.25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</row>
    <row r="567" spans="1:26" x14ac:dyDescent="0.25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</row>
    <row r="568" spans="1:26" x14ac:dyDescent="0.25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</row>
    <row r="569" spans="1:26" x14ac:dyDescent="0.25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</row>
    <row r="570" spans="1:26" x14ac:dyDescent="0.25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</row>
    <row r="571" spans="1:26" x14ac:dyDescent="0.25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</row>
    <row r="572" spans="1:26" x14ac:dyDescent="0.25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</row>
    <row r="573" spans="1:26" x14ac:dyDescent="0.25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</row>
    <row r="574" spans="1:26" x14ac:dyDescent="0.25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</row>
    <row r="575" spans="1:26" x14ac:dyDescent="0.25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</row>
    <row r="576" spans="1:26" x14ac:dyDescent="0.25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</row>
    <row r="577" spans="1:26" x14ac:dyDescent="0.25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</row>
    <row r="578" spans="1:26" x14ac:dyDescent="0.25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</row>
    <row r="579" spans="1:26" x14ac:dyDescent="0.25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</row>
    <row r="580" spans="1:26" x14ac:dyDescent="0.25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</row>
    <row r="581" spans="1:26" x14ac:dyDescent="0.25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</row>
    <row r="582" spans="1:26" x14ac:dyDescent="0.25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</row>
    <row r="583" spans="1:26" x14ac:dyDescent="0.25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</row>
    <row r="584" spans="1:26" x14ac:dyDescent="0.25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</row>
    <row r="585" spans="1:26" x14ac:dyDescent="0.25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</row>
    <row r="586" spans="1:26" x14ac:dyDescent="0.25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</row>
    <row r="587" spans="1:26" x14ac:dyDescent="0.25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</row>
    <row r="588" spans="1:26" x14ac:dyDescent="0.25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</row>
    <row r="589" spans="1:26" x14ac:dyDescent="0.25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</row>
    <row r="590" spans="1:26" x14ac:dyDescent="0.25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</row>
    <row r="591" spans="1:26" x14ac:dyDescent="0.25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</row>
    <row r="592" spans="1:26" x14ac:dyDescent="0.25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</row>
    <row r="593" spans="1:26" x14ac:dyDescent="0.25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</row>
    <row r="594" spans="1:26" x14ac:dyDescent="0.25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</row>
    <row r="595" spans="1:26" x14ac:dyDescent="0.25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</row>
    <row r="596" spans="1:26" x14ac:dyDescent="0.25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</row>
    <row r="597" spans="1:26" x14ac:dyDescent="0.25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</row>
    <row r="598" spans="1:26" x14ac:dyDescent="0.25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</row>
    <row r="599" spans="1:26" x14ac:dyDescent="0.25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</row>
    <row r="600" spans="1:26" x14ac:dyDescent="0.25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80"/>
    <col min="4" max="4" width="18.28515625" style="80" customWidth="1"/>
    <col min="5" max="6" width="9.140625" style="80"/>
    <col min="7" max="7" width="18.28515625" style="80" customWidth="1"/>
    <col min="8" max="16384" width="9.140625" style="80"/>
  </cols>
  <sheetData>
    <row r="1" spans="1:26" ht="26.25" x14ac:dyDescent="0.4">
      <c r="B1" s="87" t="s">
        <v>174</v>
      </c>
      <c r="C1" s="87"/>
      <c r="D1" s="87"/>
      <c r="E1" s="87" t="s">
        <v>128</v>
      </c>
      <c r="F1" s="87"/>
      <c r="G1" s="87"/>
      <c r="H1" s="87" t="s">
        <v>171</v>
      </c>
    </row>
    <row r="3" spans="1:26" ht="20.25" x14ac:dyDescent="0.3">
      <c r="F3" s="92" t="str">
        <f>Season</f>
        <v>2022/2023</v>
      </c>
    </row>
    <row r="4" spans="1:26" x14ac:dyDescent="0.25">
      <c r="C4" s="80" t="s">
        <v>160</v>
      </c>
    </row>
    <row r="5" spans="1:26" x14ac:dyDescent="0.25">
      <c r="A5" s="81" t="s">
        <v>169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</row>
    <row r="6" spans="1:26" x14ac:dyDescent="0.25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</row>
    <row r="7" spans="1:26" ht="16.5" thickBot="1" x14ac:dyDescent="0.3">
      <c r="A7" s="81"/>
      <c r="B7" s="81" t="s">
        <v>113</v>
      </c>
      <c r="C7" s="81" t="s">
        <v>91</v>
      </c>
      <c r="D7" s="82"/>
      <c r="E7" s="82"/>
      <c r="F7" s="82"/>
      <c r="G7" s="82"/>
      <c r="H7" s="82"/>
      <c r="I7" s="82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</row>
    <row r="8" spans="1:26" x14ac:dyDescent="0.25">
      <c r="A8" s="81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</row>
    <row r="9" spans="1:26" ht="16.5" thickBot="1" x14ac:dyDescent="0.3">
      <c r="A9" s="81"/>
      <c r="B9" s="81" t="s">
        <v>114</v>
      </c>
      <c r="C9" s="81" t="s">
        <v>91</v>
      </c>
      <c r="D9" s="82"/>
      <c r="E9" s="82"/>
      <c r="F9" s="82"/>
      <c r="G9" s="82"/>
      <c r="H9" s="82"/>
      <c r="I9" s="82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x14ac:dyDescent="0.25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</row>
    <row r="11" spans="1:26" ht="16.5" thickBot="1" x14ac:dyDescent="0.3">
      <c r="A11" s="81"/>
      <c r="B11" s="81" t="s">
        <v>115</v>
      </c>
      <c r="C11" s="81" t="s">
        <v>91</v>
      </c>
      <c r="D11" s="82"/>
      <c r="E11" s="82"/>
      <c r="F11" s="82"/>
      <c r="G11" s="82"/>
      <c r="H11" s="82"/>
      <c r="I11" s="82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</row>
    <row r="12" spans="1:26" x14ac:dyDescent="0.25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</row>
    <row r="13" spans="1:26" ht="16.5" thickBot="1" x14ac:dyDescent="0.3">
      <c r="A13" s="81"/>
      <c r="B13" s="81" t="s">
        <v>124</v>
      </c>
      <c r="C13" s="81" t="s">
        <v>91</v>
      </c>
      <c r="D13" s="82"/>
      <c r="E13" s="82"/>
      <c r="F13" s="82"/>
      <c r="G13" s="82"/>
      <c r="H13" s="82"/>
      <c r="I13" s="82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</row>
    <row r="14" spans="1:26" x14ac:dyDescent="0.25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</row>
    <row r="15" spans="1:26" ht="16.5" thickBot="1" x14ac:dyDescent="0.3">
      <c r="A15" s="81"/>
      <c r="B15" s="81" t="s">
        <v>148</v>
      </c>
      <c r="C15" s="81" t="s">
        <v>91</v>
      </c>
      <c r="D15" s="82"/>
      <c r="E15" s="82"/>
      <c r="F15" s="82"/>
      <c r="G15" s="82"/>
      <c r="H15" s="82"/>
      <c r="I15" s="82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</row>
    <row r="16" spans="1:26" x14ac:dyDescent="0.25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x14ac:dyDescent="0.25">
      <c r="A17" s="81" t="s">
        <v>170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ht="16.5" thickBot="1" x14ac:dyDescent="0.3">
      <c r="A19" s="81"/>
      <c r="B19" s="81" t="s">
        <v>106</v>
      </c>
      <c r="C19" s="81" t="s">
        <v>91</v>
      </c>
      <c r="D19" s="82"/>
      <c r="E19" s="82"/>
      <c r="F19" s="82"/>
      <c r="G19" s="82"/>
      <c r="H19" s="82"/>
      <c r="I19" s="82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</row>
    <row r="21" spans="1:26" ht="16.5" thickBot="1" x14ac:dyDescent="0.3">
      <c r="A21" s="81"/>
      <c r="B21" s="81" t="s">
        <v>107</v>
      </c>
      <c r="C21" s="81" t="s">
        <v>91</v>
      </c>
      <c r="D21" s="82"/>
      <c r="E21" s="82"/>
      <c r="F21" s="82"/>
      <c r="G21" s="82"/>
      <c r="H21" s="82"/>
      <c r="I21" s="82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</row>
    <row r="22" spans="1:26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</row>
    <row r="23" spans="1:26" ht="16.5" thickBot="1" x14ac:dyDescent="0.3">
      <c r="A23" s="81"/>
      <c r="B23" s="81" t="s">
        <v>108</v>
      </c>
      <c r="C23" s="81" t="s">
        <v>91</v>
      </c>
      <c r="D23" s="82"/>
      <c r="E23" s="82"/>
      <c r="F23" s="82"/>
      <c r="G23" s="82"/>
      <c r="H23" s="82"/>
      <c r="I23" s="82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</row>
    <row r="24" spans="1:26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</row>
    <row r="25" spans="1:26" ht="16.5" thickBot="1" x14ac:dyDescent="0.3">
      <c r="A25" s="81"/>
      <c r="B25" s="81" t="s">
        <v>109</v>
      </c>
      <c r="C25" s="81" t="s">
        <v>91</v>
      </c>
      <c r="D25" s="82"/>
      <c r="E25" s="82"/>
      <c r="F25" s="82"/>
      <c r="G25" s="82"/>
      <c r="H25" s="82"/>
      <c r="I25" s="82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x14ac:dyDescent="0.25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ht="16.5" thickBot="1" x14ac:dyDescent="0.3">
      <c r="A27" s="81"/>
      <c r="B27" s="81" t="s">
        <v>110</v>
      </c>
      <c r="C27" s="81" t="s">
        <v>91</v>
      </c>
      <c r="D27" s="82"/>
      <c r="E27" s="82"/>
      <c r="F27" s="82"/>
      <c r="G27" s="82"/>
      <c r="H27" s="82"/>
      <c r="I27" s="82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ht="16.5" thickBot="1" x14ac:dyDescent="0.3">
      <c r="A29" s="81"/>
      <c r="B29" s="81" t="s">
        <v>111</v>
      </c>
      <c r="C29" s="81" t="s">
        <v>91</v>
      </c>
      <c r="D29" s="82"/>
      <c r="E29" s="82"/>
      <c r="F29" s="82"/>
      <c r="G29" s="82"/>
      <c r="H29" s="82"/>
      <c r="I29" s="82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ht="16.5" thickBot="1" x14ac:dyDescent="0.3">
      <c r="A31" s="81"/>
      <c r="B31" s="81" t="s">
        <v>112</v>
      </c>
      <c r="C31" s="81" t="s">
        <v>95</v>
      </c>
      <c r="D31" s="82"/>
      <c r="E31" s="82"/>
      <c r="F31" s="82"/>
      <c r="G31" s="82"/>
      <c r="H31" s="82"/>
      <c r="I31" s="82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ht="16.5" thickBot="1" x14ac:dyDescent="0.3">
      <c r="A33" s="81"/>
      <c r="B33" s="81" t="s">
        <v>113</v>
      </c>
      <c r="C33" s="81" t="s">
        <v>91</v>
      </c>
      <c r="D33" s="82"/>
      <c r="E33" s="82"/>
      <c r="F33" s="82"/>
      <c r="G33" s="82"/>
      <c r="H33" s="82"/>
      <c r="I33" s="82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x14ac:dyDescent="0.25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ht="16.5" thickBot="1" x14ac:dyDescent="0.3">
      <c r="A35" s="81"/>
      <c r="B35" s="81" t="s">
        <v>114</v>
      </c>
      <c r="C35" s="81" t="s">
        <v>91</v>
      </c>
      <c r="D35" s="82"/>
      <c r="E35" s="82"/>
      <c r="F35" s="82"/>
      <c r="G35" s="82"/>
      <c r="H35" s="82"/>
      <c r="I35" s="82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x14ac:dyDescent="0.25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ht="16.5" thickBot="1" x14ac:dyDescent="0.3">
      <c r="A37" s="81"/>
      <c r="B37" s="81" t="s">
        <v>115</v>
      </c>
      <c r="C37" s="81" t="s">
        <v>91</v>
      </c>
      <c r="D37" s="82"/>
      <c r="E37" s="82"/>
      <c r="F37" s="82"/>
      <c r="G37" s="82"/>
      <c r="H37" s="82"/>
      <c r="I37" s="82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x14ac:dyDescent="0.25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x14ac:dyDescent="0.25">
      <c r="A39" s="81" t="s">
        <v>172</v>
      </c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x14ac:dyDescent="0.25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1" spans="1:26" ht="16.5" thickBot="1" x14ac:dyDescent="0.3">
      <c r="A41" s="81"/>
      <c r="B41" s="81" t="s">
        <v>108</v>
      </c>
      <c r="C41" s="81" t="s">
        <v>7</v>
      </c>
      <c r="D41" s="82"/>
      <c r="E41" s="82"/>
      <c r="F41" s="82"/>
      <c r="G41" s="82"/>
      <c r="H41" s="82"/>
      <c r="I41" s="82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</row>
    <row r="42" spans="1:2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</row>
    <row r="43" spans="1:26" ht="16.5" thickBot="1" x14ac:dyDescent="0.3">
      <c r="A43" s="81"/>
      <c r="B43" s="81" t="s">
        <v>109</v>
      </c>
      <c r="C43" s="81" t="s">
        <v>85</v>
      </c>
      <c r="D43" s="82"/>
      <c r="E43" s="82"/>
      <c r="F43" s="82"/>
      <c r="G43" s="82"/>
      <c r="H43" s="82"/>
      <c r="I43" s="82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</row>
    <row r="44" spans="1:26" x14ac:dyDescent="0.25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</row>
    <row r="45" spans="1:26" ht="16.5" thickBot="1" x14ac:dyDescent="0.3">
      <c r="A45" s="81"/>
      <c r="B45" s="81" t="s">
        <v>110</v>
      </c>
      <c r="C45" s="81" t="s">
        <v>41</v>
      </c>
      <c r="D45" s="82"/>
      <c r="E45" s="82"/>
      <c r="F45" s="82"/>
      <c r="G45" s="82"/>
      <c r="H45" s="82"/>
      <c r="I45" s="82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</row>
    <row r="46" spans="1:26" x14ac:dyDescent="0.25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</row>
    <row r="47" spans="1:26" ht="16.5" thickBot="1" x14ac:dyDescent="0.3">
      <c r="A47" s="81"/>
      <c r="B47" s="81" t="s">
        <v>111</v>
      </c>
      <c r="C47" s="81" t="s">
        <v>41</v>
      </c>
      <c r="D47" s="82"/>
      <c r="E47" s="82"/>
      <c r="F47" s="82"/>
      <c r="G47" s="82"/>
      <c r="H47" s="82"/>
      <c r="I47" s="82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</row>
    <row r="48" spans="1:26" x14ac:dyDescent="0.25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</row>
    <row r="49" spans="1:26" ht="16.5" thickBot="1" x14ac:dyDescent="0.3">
      <c r="A49" s="81"/>
      <c r="B49" s="81" t="s">
        <v>112</v>
      </c>
      <c r="C49" s="81" t="s">
        <v>12</v>
      </c>
      <c r="D49" s="82"/>
      <c r="E49" s="82"/>
      <c r="F49" s="82"/>
      <c r="G49" s="82"/>
      <c r="H49" s="82"/>
      <c r="I49" s="82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</row>
    <row r="50" spans="1:26" x14ac:dyDescent="0.25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</row>
    <row r="51" spans="1:26" ht="16.5" thickBot="1" x14ac:dyDescent="0.3">
      <c r="A51" s="81"/>
      <c r="B51" s="81" t="s">
        <v>113</v>
      </c>
      <c r="C51" s="81" t="s">
        <v>90</v>
      </c>
      <c r="D51" s="82"/>
      <c r="E51" s="82"/>
      <c r="F51" s="82"/>
      <c r="G51" s="82"/>
      <c r="H51" s="82"/>
      <c r="I51" s="82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</row>
    <row r="52" spans="1:26" x14ac:dyDescent="0.25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</row>
    <row r="53" spans="1:26" ht="16.5" thickBot="1" x14ac:dyDescent="0.3">
      <c r="A53" s="81"/>
      <c r="B53" s="81" t="s">
        <v>114</v>
      </c>
      <c r="C53" s="81" t="s">
        <v>44</v>
      </c>
      <c r="D53" s="82"/>
      <c r="E53" s="82"/>
      <c r="F53" s="82"/>
      <c r="G53" s="82"/>
      <c r="H53" s="82"/>
      <c r="I53" s="82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</row>
    <row r="54" spans="1:26" x14ac:dyDescent="0.25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</row>
    <row r="55" spans="1:26" x14ac:dyDescent="0.25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</row>
    <row r="56" spans="1:26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</row>
    <row r="57" spans="1:26" x14ac:dyDescent="0.25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</row>
    <row r="58" spans="1:26" x14ac:dyDescent="0.25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</row>
    <row r="59" spans="1:26" x14ac:dyDescent="0.25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</row>
    <row r="60" spans="1:26" x14ac:dyDescent="0.25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</row>
    <row r="61" spans="1:26" x14ac:dyDescent="0.25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</row>
    <row r="62" spans="1:26" x14ac:dyDescent="0.25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1:26" x14ac:dyDescent="0.25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</row>
    <row r="64" spans="1:26" x14ac:dyDescent="0.25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</row>
    <row r="65" spans="1:26" x14ac:dyDescent="0.25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</row>
    <row r="66" spans="1:26" x14ac:dyDescent="0.25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</row>
    <row r="67" spans="1:26" x14ac:dyDescent="0.25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</row>
    <row r="68" spans="1:26" x14ac:dyDescent="0.25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</row>
    <row r="69" spans="1:26" x14ac:dyDescent="0.25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</row>
    <row r="70" spans="1:26" x14ac:dyDescent="0.25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</row>
    <row r="71" spans="1:26" x14ac:dyDescent="0.25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</row>
    <row r="72" spans="1:26" x14ac:dyDescent="0.25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</row>
    <row r="73" spans="1:26" x14ac:dyDescent="0.25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</row>
    <row r="74" spans="1:26" x14ac:dyDescent="0.25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</row>
    <row r="75" spans="1:26" x14ac:dyDescent="0.25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</row>
    <row r="76" spans="1:26" x14ac:dyDescent="0.25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</row>
    <row r="77" spans="1:26" x14ac:dyDescent="0.25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</row>
    <row r="78" spans="1:26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</row>
    <row r="79" spans="1:26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</row>
    <row r="80" spans="1:26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</row>
    <row r="81" spans="1:26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</row>
    <row r="82" spans="1:26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</row>
    <row r="83" spans="1:26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</row>
    <row r="84" spans="1:26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</row>
    <row r="85" spans="1:26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</row>
    <row r="86" spans="1:26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</row>
    <row r="87" spans="1:26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</row>
    <row r="88" spans="1:26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</row>
    <row r="89" spans="1:26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</row>
    <row r="90" spans="1:26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</row>
    <row r="91" spans="1:26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</row>
    <row r="92" spans="1:26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</row>
    <row r="93" spans="1:26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</row>
    <row r="94" spans="1:26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</row>
    <row r="95" spans="1:26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</row>
    <row r="96" spans="1:26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</row>
    <row r="97" spans="1:26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</row>
    <row r="98" spans="1:26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</row>
    <row r="99" spans="1:26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</row>
    <row r="100" spans="1:26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</row>
    <row r="101" spans="1:26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</row>
    <row r="102" spans="1:26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</row>
    <row r="103" spans="1:26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</row>
    <row r="104" spans="1:26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</row>
    <row r="105" spans="1:26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</row>
    <row r="106" spans="1:26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</row>
    <row r="107" spans="1:26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</row>
    <row r="108" spans="1:26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</row>
    <row r="109" spans="1:26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</row>
    <row r="110" spans="1:26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</row>
    <row r="111" spans="1:26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</row>
    <row r="112" spans="1:26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</row>
    <row r="113" spans="1:26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</row>
    <row r="114" spans="1:26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</row>
    <row r="115" spans="1:26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</row>
    <row r="116" spans="1:26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</row>
    <row r="117" spans="1:26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</row>
    <row r="118" spans="1:26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</row>
    <row r="119" spans="1:26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</row>
    <row r="120" spans="1:26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</row>
    <row r="121" spans="1:26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</row>
    <row r="122" spans="1:26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</row>
    <row r="123" spans="1:26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</row>
    <row r="124" spans="1:26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</row>
    <row r="125" spans="1:26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</row>
    <row r="126" spans="1:26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</row>
    <row r="127" spans="1:26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</row>
    <row r="128" spans="1:26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</row>
    <row r="129" spans="1:26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</row>
    <row r="130" spans="1:26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</row>
    <row r="131" spans="1:26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</row>
    <row r="132" spans="1:26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</row>
    <row r="133" spans="1:26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</row>
    <row r="134" spans="1:26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</row>
    <row r="135" spans="1:26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</row>
    <row r="136" spans="1:26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</row>
    <row r="137" spans="1:26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</row>
    <row r="138" spans="1:26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</row>
    <row r="139" spans="1:26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</row>
    <row r="140" spans="1:26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</row>
    <row r="141" spans="1:26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</row>
    <row r="142" spans="1:26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</row>
    <row r="143" spans="1:26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</row>
    <row r="144" spans="1:26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</row>
    <row r="145" spans="1:26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</row>
    <row r="146" spans="1:26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</row>
    <row r="147" spans="1:26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</row>
    <row r="148" spans="1:26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</row>
    <row r="149" spans="1:26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</row>
    <row r="150" spans="1:26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</row>
    <row r="151" spans="1:26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</row>
    <row r="152" spans="1:26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</row>
    <row r="153" spans="1:26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</row>
    <row r="154" spans="1:26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</row>
    <row r="155" spans="1:26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</row>
    <row r="156" spans="1:26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</row>
    <row r="157" spans="1:26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</row>
    <row r="158" spans="1:26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  <row r="159" spans="1:26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</row>
    <row r="160" spans="1:26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</row>
    <row r="161" spans="1:26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</row>
    <row r="162" spans="1:26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</row>
    <row r="163" spans="1:26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</row>
    <row r="164" spans="1:26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</row>
    <row r="165" spans="1:26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</row>
    <row r="166" spans="1:26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</row>
    <row r="167" spans="1:26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</row>
    <row r="168" spans="1:26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</row>
    <row r="169" spans="1:26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</row>
    <row r="170" spans="1:26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</row>
    <row r="171" spans="1:26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</row>
    <row r="172" spans="1:26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</row>
    <row r="173" spans="1:26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</row>
    <row r="174" spans="1:26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</row>
    <row r="175" spans="1:26" x14ac:dyDescent="0.25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</row>
    <row r="176" spans="1:26" x14ac:dyDescent="0.25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</row>
    <row r="177" spans="1:26" x14ac:dyDescent="0.25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</row>
    <row r="178" spans="1:26" x14ac:dyDescent="0.25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</row>
    <row r="179" spans="1:26" x14ac:dyDescent="0.25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</row>
    <row r="180" spans="1:26" x14ac:dyDescent="0.25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</row>
    <row r="181" spans="1:26" x14ac:dyDescent="0.25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</row>
    <row r="182" spans="1:26" x14ac:dyDescent="0.25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</row>
    <row r="183" spans="1:26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</row>
    <row r="184" spans="1:26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</row>
    <row r="185" spans="1:26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</row>
    <row r="186" spans="1:26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</row>
    <row r="187" spans="1:26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</row>
    <row r="188" spans="1:26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</row>
    <row r="189" spans="1:26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</row>
    <row r="190" spans="1:26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</row>
    <row r="191" spans="1:26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</row>
    <row r="192" spans="1:26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</row>
    <row r="193" spans="1:26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</row>
    <row r="194" spans="1:26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</row>
    <row r="195" spans="1:26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</row>
    <row r="196" spans="1:26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</row>
    <row r="197" spans="1:26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</row>
    <row r="198" spans="1:26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</row>
    <row r="199" spans="1:26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</row>
    <row r="200" spans="1:26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</row>
    <row r="201" spans="1:26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</row>
    <row r="202" spans="1:26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</row>
    <row r="203" spans="1:26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</row>
    <row r="204" spans="1:26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</row>
    <row r="205" spans="1:26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</row>
    <row r="206" spans="1:26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</row>
    <row r="207" spans="1:26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</row>
    <row r="208" spans="1:26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</row>
    <row r="209" spans="1:26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</row>
    <row r="210" spans="1:26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</row>
    <row r="211" spans="1:26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</row>
    <row r="212" spans="1:26" x14ac:dyDescent="0.25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</row>
    <row r="213" spans="1:26" x14ac:dyDescent="0.25">
      <c r="A213" s="81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</row>
    <row r="214" spans="1:26" x14ac:dyDescent="0.25">
      <c r="A214" s="81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</row>
    <row r="215" spans="1:26" x14ac:dyDescent="0.25">
      <c r="A215" s="81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</row>
    <row r="216" spans="1:26" x14ac:dyDescent="0.25">
      <c r="A216" s="81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</row>
    <row r="217" spans="1:26" x14ac:dyDescent="0.25">
      <c r="A217" s="81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</row>
    <row r="218" spans="1:26" x14ac:dyDescent="0.25">
      <c r="A218" s="81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</row>
    <row r="219" spans="1:26" x14ac:dyDescent="0.25">
      <c r="A219" s="81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</row>
    <row r="220" spans="1:26" x14ac:dyDescent="0.25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</row>
    <row r="221" spans="1:26" x14ac:dyDescent="0.25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</row>
    <row r="222" spans="1:26" x14ac:dyDescent="0.25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</row>
    <row r="223" spans="1:26" x14ac:dyDescent="0.25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</row>
    <row r="224" spans="1:26" x14ac:dyDescent="0.25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</row>
    <row r="225" spans="1:26" x14ac:dyDescent="0.25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</row>
    <row r="226" spans="1:26" x14ac:dyDescent="0.25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</row>
    <row r="227" spans="1:26" x14ac:dyDescent="0.25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</row>
    <row r="228" spans="1:26" x14ac:dyDescent="0.25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</row>
    <row r="229" spans="1:26" x14ac:dyDescent="0.25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</row>
    <row r="230" spans="1:26" x14ac:dyDescent="0.25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</row>
    <row r="231" spans="1:26" x14ac:dyDescent="0.25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</row>
    <row r="232" spans="1:26" x14ac:dyDescent="0.25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</row>
    <row r="233" spans="1:26" x14ac:dyDescent="0.25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</row>
    <row r="234" spans="1:26" x14ac:dyDescent="0.25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</row>
    <row r="235" spans="1:26" x14ac:dyDescent="0.25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</row>
    <row r="236" spans="1:26" x14ac:dyDescent="0.25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</row>
    <row r="237" spans="1:26" x14ac:dyDescent="0.25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</row>
    <row r="238" spans="1:26" x14ac:dyDescent="0.25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</row>
    <row r="239" spans="1:26" x14ac:dyDescent="0.25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</row>
    <row r="240" spans="1:26" x14ac:dyDescent="0.25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</row>
    <row r="241" spans="1:26" x14ac:dyDescent="0.25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</row>
    <row r="242" spans="1:26" x14ac:dyDescent="0.25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</row>
    <row r="243" spans="1:26" x14ac:dyDescent="0.25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</row>
    <row r="244" spans="1:26" x14ac:dyDescent="0.25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</row>
    <row r="245" spans="1:26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</row>
    <row r="246" spans="1:26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</row>
    <row r="247" spans="1:26" x14ac:dyDescent="0.25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</row>
    <row r="248" spans="1:26" x14ac:dyDescent="0.25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</row>
    <row r="249" spans="1:26" x14ac:dyDescent="0.25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</row>
    <row r="250" spans="1:26" x14ac:dyDescent="0.25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</row>
    <row r="251" spans="1:26" x14ac:dyDescent="0.25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</row>
    <row r="252" spans="1:26" x14ac:dyDescent="0.25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</row>
    <row r="253" spans="1:26" x14ac:dyDescent="0.25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</row>
    <row r="254" spans="1:26" x14ac:dyDescent="0.25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</row>
    <row r="255" spans="1:26" x14ac:dyDescent="0.25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</row>
    <row r="256" spans="1:26" x14ac:dyDescent="0.25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</row>
    <row r="257" spans="1:26" x14ac:dyDescent="0.25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</row>
    <row r="258" spans="1:26" x14ac:dyDescent="0.25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</row>
    <row r="259" spans="1:26" x14ac:dyDescent="0.25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</row>
    <row r="260" spans="1:26" x14ac:dyDescent="0.25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</row>
    <row r="261" spans="1:26" x14ac:dyDescent="0.25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</row>
    <row r="262" spans="1:26" x14ac:dyDescent="0.25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</row>
    <row r="263" spans="1:26" x14ac:dyDescent="0.25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</row>
    <row r="264" spans="1:26" x14ac:dyDescent="0.25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</row>
    <row r="265" spans="1:26" x14ac:dyDescent="0.25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</row>
    <row r="266" spans="1:26" x14ac:dyDescent="0.25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</row>
    <row r="267" spans="1:26" x14ac:dyDescent="0.25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</row>
    <row r="268" spans="1:26" x14ac:dyDescent="0.25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</row>
    <row r="269" spans="1:26" x14ac:dyDescent="0.25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</row>
    <row r="270" spans="1:26" x14ac:dyDescent="0.25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</row>
    <row r="271" spans="1:26" x14ac:dyDescent="0.25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</row>
    <row r="272" spans="1:26" x14ac:dyDescent="0.25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</row>
    <row r="273" spans="1:26" x14ac:dyDescent="0.25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</row>
    <row r="274" spans="1:26" x14ac:dyDescent="0.25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</row>
    <row r="275" spans="1:26" x14ac:dyDescent="0.25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</row>
    <row r="276" spans="1:26" x14ac:dyDescent="0.25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</row>
    <row r="277" spans="1:26" x14ac:dyDescent="0.25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</row>
    <row r="278" spans="1:26" x14ac:dyDescent="0.25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</row>
    <row r="279" spans="1:26" x14ac:dyDescent="0.25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</row>
    <row r="280" spans="1:26" x14ac:dyDescent="0.25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</row>
    <row r="281" spans="1:26" x14ac:dyDescent="0.25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</row>
    <row r="282" spans="1:26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</row>
    <row r="283" spans="1:26" x14ac:dyDescent="0.25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</row>
    <row r="284" spans="1:26" x14ac:dyDescent="0.25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</row>
    <row r="285" spans="1:26" x14ac:dyDescent="0.25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</row>
    <row r="286" spans="1:26" x14ac:dyDescent="0.25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</row>
    <row r="287" spans="1:26" x14ac:dyDescent="0.25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</row>
    <row r="288" spans="1:26" x14ac:dyDescent="0.25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</row>
    <row r="289" spans="1:26" x14ac:dyDescent="0.25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</row>
    <row r="290" spans="1:26" x14ac:dyDescent="0.25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</row>
    <row r="291" spans="1:26" x14ac:dyDescent="0.25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</row>
    <row r="292" spans="1:26" x14ac:dyDescent="0.25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</row>
    <row r="293" spans="1:26" x14ac:dyDescent="0.25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</row>
    <row r="294" spans="1:26" x14ac:dyDescent="0.25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</row>
    <row r="295" spans="1:26" x14ac:dyDescent="0.25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</row>
    <row r="296" spans="1:26" x14ac:dyDescent="0.25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</row>
    <row r="297" spans="1:26" x14ac:dyDescent="0.25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</row>
    <row r="298" spans="1:26" x14ac:dyDescent="0.25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</row>
    <row r="299" spans="1:26" x14ac:dyDescent="0.25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</row>
    <row r="300" spans="1:26" x14ac:dyDescent="0.25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</row>
    <row r="301" spans="1:26" x14ac:dyDescent="0.25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</row>
    <row r="302" spans="1:26" x14ac:dyDescent="0.25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</row>
    <row r="303" spans="1:26" x14ac:dyDescent="0.25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</row>
    <row r="304" spans="1:26" x14ac:dyDescent="0.25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</row>
    <row r="305" spans="1:26" x14ac:dyDescent="0.25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</row>
    <row r="306" spans="1:26" x14ac:dyDescent="0.25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</row>
    <row r="307" spans="1:26" x14ac:dyDescent="0.25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</row>
    <row r="308" spans="1:26" x14ac:dyDescent="0.25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</row>
    <row r="309" spans="1:26" x14ac:dyDescent="0.25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</row>
    <row r="310" spans="1:26" x14ac:dyDescent="0.25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</row>
    <row r="311" spans="1:26" x14ac:dyDescent="0.25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</row>
    <row r="312" spans="1:26" x14ac:dyDescent="0.25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</row>
    <row r="313" spans="1:26" x14ac:dyDescent="0.25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</row>
    <row r="314" spans="1:26" x14ac:dyDescent="0.25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</row>
    <row r="315" spans="1:26" x14ac:dyDescent="0.25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</row>
    <row r="316" spans="1:26" x14ac:dyDescent="0.25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</row>
    <row r="317" spans="1:26" x14ac:dyDescent="0.25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</row>
    <row r="318" spans="1:26" x14ac:dyDescent="0.25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</row>
    <row r="319" spans="1:26" x14ac:dyDescent="0.25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</row>
    <row r="320" spans="1:26" x14ac:dyDescent="0.25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</row>
    <row r="321" spans="1:26" x14ac:dyDescent="0.25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</row>
    <row r="322" spans="1:26" x14ac:dyDescent="0.25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</row>
    <row r="323" spans="1:26" x14ac:dyDescent="0.25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</row>
    <row r="324" spans="1:26" x14ac:dyDescent="0.25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</row>
    <row r="325" spans="1:26" x14ac:dyDescent="0.25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</row>
    <row r="326" spans="1:26" x14ac:dyDescent="0.25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</row>
    <row r="327" spans="1:26" x14ac:dyDescent="0.25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</row>
    <row r="328" spans="1:26" x14ac:dyDescent="0.25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</row>
    <row r="329" spans="1:26" x14ac:dyDescent="0.25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</row>
    <row r="330" spans="1:26" x14ac:dyDescent="0.25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</row>
    <row r="331" spans="1:26" x14ac:dyDescent="0.25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</row>
    <row r="332" spans="1:26" x14ac:dyDescent="0.25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</row>
    <row r="333" spans="1:26" x14ac:dyDescent="0.25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</row>
    <row r="334" spans="1:26" x14ac:dyDescent="0.25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</row>
    <row r="335" spans="1:26" x14ac:dyDescent="0.25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</row>
    <row r="336" spans="1:26" x14ac:dyDescent="0.25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</row>
    <row r="337" spans="1:26" x14ac:dyDescent="0.25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</row>
    <row r="338" spans="1:26" x14ac:dyDescent="0.25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</row>
    <row r="339" spans="1:26" x14ac:dyDescent="0.25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</row>
    <row r="340" spans="1:26" x14ac:dyDescent="0.25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</row>
    <row r="341" spans="1:26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</row>
    <row r="342" spans="1:26" x14ac:dyDescent="0.25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</row>
    <row r="343" spans="1:26" x14ac:dyDescent="0.25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</row>
    <row r="344" spans="1:26" x14ac:dyDescent="0.25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</row>
    <row r="345" spans="1:26" x14ac:dyDescent="0.25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</row>
    <row r="346" spans="1:26" x14ac:dyDescent="0.25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</row>
    <row r="347" spans="1:26" x14ac:dyDescent="0.25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</row>
    <row r="348" spans="1:26" x14ac:dyDescent="0.25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</row>
    <row r="349" spans="1:26" x14ac:dyDescent="0.25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</row>
    <row r="350" spans="1:26" x14ac:dyDescent="0.25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</row>
    <row r="351" spans="1:26" x14ac:dyDescent="0.25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</row>
    <row r="352" spans="1:26" x14ac:dyDescent="0.25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</row>
    <row r="353" spans="1:26" x14ac:dyDescent="0.25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</row>
    <row r="354" spans="1:26" x14ac:dyDescent="0.25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</row>
    <row r="355" spans="1:26" x14ac:dyDescent="0.25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</row>
    <row r="356" spans="1:26" x14ac:dyDescent="0.25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</row>
    <row r="357" spans="1:26" x14ac:dyDescent="0.25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</row>
    <row r="358" spans="1:26" x14ac:dyDescent="0.25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</row>
    <row r="359" spans="1:26" x14ac:dyDescent="0.25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</row>
    <row r="360" spans="1:26" x14ac:dyDescent="0.25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</row>
    <row r="361" spans="1:26" x14ac:dyDescent="0.25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</row>
    <row r="362" spans="1:26" x14ac:dyDescent="0.25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</row>
    <row r="363" spans="1:26" x14ac:dyDescent="0.25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</row>
    <row r="364" spans="1:26" x14ac:dyDescent="0.25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</row>
    <row r="365" spans="1:26" x14ac:dyDescent="0.25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</row>
    <row r="366" spans="1:26" x14ac:dyDescent="0.25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</row>
    <row r="367" spans="1:26" x14ac:dyDescent="0.25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</row>
    <row r="368" spans="1:26" x14ac:dyDescent="0.25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</row>
    <row r="369" spans="1:26" x14ac:dyDescent="0.25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</row>
    <row r="370" spans="1:26" x14ac:dyDescent="0.25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</row>
    <row r="371" spans="1:26" x14ac:dyDescent="0.25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</row>
    <row r="372" spans="1:26" x14ac:dyDescent="0.25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</row>
    <row r="373" spans="1:26" x14ac:dyDescent="0.25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</row>
    <row r="374" spans="1:26" x14ac:dyDescent="0.25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</row>
    <row r="375" spans="1:26" x14ac:dyDescent="0.25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</row>
    <row r="376" spans="1:26" x14ac:dyDescent="0.25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</row>
    <row r="377" spans="1:26" x14ac:dyDescent="0.25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</row>
    <row r="378" spans="1:26" x14ac:dyDescent="0.25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</row>
    <row r="379" spans="1:26" x14ac:dyDescent="0.25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</row>
    <row r="380" spans="1:26" x14ac:dyDescent="0.25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</row>
    <row r="381" spans="1:26" x14ac:dyDescent="0.25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</row>
    <row r="382" spans="1:26" x14ac:dyDescent="0.25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</row>
    <row r="383" spans="1:26" x14ac:dyDescent="0.25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</row>
    <row r="384" spans="1:26" x14ac:dyDescent="0.25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</row>
    <row r="385" spans="1:26" x14ac:dyDescent="0.25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</row>
    <row r="386" spans="1:26" x14ac:dyDescent="0.25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</row>
    <row r="387" spans="1:26" x14ac:dyDescent="0.25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</row>
    <row r="388" spans="1:26" x14ac:dyDescent="0.25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</row>
    <row r="389" spans="1:26" x14ac:dyDescent="0.25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</row>
    <row r="390" spans="1:26" x14ac:dyDescent="0.25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</row>
    <row r="391" spans="1:26" x14ac:dyDescent="0.25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</row>
    <row r="392" spans="1:26" x14ac:dyDescent="0.25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</row>
    <row r="393" spans="1:26" x14ac:dyDescent="0.25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</row>
    <row r="394" spans="1:26" x14ac:dyDescent="0.25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</row>
    <row r="395" spans="1:26" x14ac:dyDescent="0.25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</row>
    <row r="396" spans="1:26" x14ac:dyDescent="0.25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</row>
    <row r="397" spans="1:26" x14ac:dyDescent="0.25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</row>
    <row r="398" spans="1:26" x14ac:dyDescent="0.25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</row>
    <row r="399" spans="1:26" x14ac:dyDescent="0.25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</row>
    <row r="400" spans="1:26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</row>
    <row r="401" spans="1:26" x14ac:dyDescent="0.25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</row>
    <row r="402" spans="1:26" x14ac:dyDescent="0.25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</row>
    <row r="403" spans="1:26" x14ac:dyDescent="0.25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</row>
    <row r="404" spans="1:26" x14ac:dyDescent="0.25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</row>
    <row r="405" spans="1:26" x14ac:dyDescent="0.25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</row>
    <row r="406" spans="1:26" x14ac:dyDescent="0.25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</row>
    <row r="407" spans="1:26" x14ac:dyDescent="0.25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</row>
    <row r="408" spans="1:26" x14ac:dyDescent="0.25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</row>
    <row r="409" spans="1:26" x14ac:dyDescent="0.25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</row>
    <row r="410" spans="1:26" x14ac:dyDescent="0.25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</row>
    <row r="411" spans="1:26" x14ac:dyDescent="0.25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</row>
    <row r="412" spans="1:26" x14ac:dyDescent="0.25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</row>
    <row r="413" spans="1:26" x14ac:dyDescent="0.25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</row>
    <row r="414" spans="1:26" x14ac:dyDescent="0.25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</row>
    <row r="415" spans="1:26" x14ac:dyDescent="0.25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</row>
    <row r="416" spans="1:26" x14ac:dyDescent="0.25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</row>
    <row r="417" spans="1:26" x14ac:dyDescent="0.25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</row>
    <row r="418" spans="1:26" x14ac:dyDescent="0.25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</row>
    <row r="419" spans="1:26" x14ac:dyDescent="0.25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</row>
    <row r="420" spans="1:26" x14ac:dyDescent="0.25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</row>
    <row r="421" spans="1:26" x14ac:dyDescent="0.25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</row>
    <row r="422" spans="1:26" x14ac:dyDescent="0.25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</row>
    <row r="423" spans="1:26" x14ac:dyDescent="0.25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</row>
    <row r="424" spans="1:26" x14ac:dyDescent="0.25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</row>
    <row r="425" spans="1:26" x14ac:dyDescent="0.25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</row>
    <row r="426" spans="1:26" x14ac:dyDescent="0.25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</row>
    <row r="427" spans="1:26" x14ac:dyDescent="0.25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</row>
    <row r="428" spans="1:26" x14ac:dyDescent="0.25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</row>
    <row r="429" spans="1:26" x14ac:dyDescent="0.25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</row>
    <row r="430" spans="1:26" x14ac:dyDescent="0.25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</row>
    <row r="431" spans="1:26" x14ac:dyDescent="0.25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</row>
    <row r="432" spans="1:26" x14ac:dyDescent="0.25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</row>
    <row r="433" spans="1:26" x14ac:dyDescent="0.25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</row>
    <row r="434" spans="1:26" x14ac:dyDescent="0.25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</row>
    <row r="435" spans="1:26" x14ac:dyDescent="0.25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</row>
    <row r="436" spans="1:26" x14ac:dyDescent="0.25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</row>
    <row r="437" spans="1:26" x14ac:dyDescent="0.25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</row>
    <row r="438" spans="1:26" x14ac:dyDescent="0.25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</row>
    <row r="439" spans="1:26" x14ac:dyDescent="0.25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</row>
    <row r="440" spans="1:26" x14ac:dyDescent="0.25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</row>
    <row r="441" spans="1:26" x14ac:dyDescent="0.25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</row>
    <row r="442" spans="1:26" x14ac:dyDescent="0.25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</row>
    <row r="443" spans="1:26" x14ac:dyDescent="0.25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</row>
    <row r="444" spans="1:26" x14ac:dyDescent="0.25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</row>
    <row r="445" spans="1:26" x14ac:dyDescent="0.25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</row>
    <row r="446" spans="1:26" x14ac:dyDescent="0.25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</row>
    <row r="447" spans="1:26" x14ac:dyDescent="0.25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</row>
    <row r="448" spans="1:26" x14ac:dyDescent="0.25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</row>
    <row r="449" spans="1:26" x14ac:dyDescent="0.25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</row>
    <row r="450" spans="1:26" x14ac:dyDescent="0.25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</row>
    <row r="451" spans="1:26" x14ac:dyDescent="0.25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</row>
    <row r="452" spans="1:26" x14ac:dyDescent="0.25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</row>
    <row r="453" spans="1:26" x14ac:dyDescent="0.25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</row>
    <row r="454" spans="1:26" x14ac:dyDescent="0.25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</row>
    <row r="455" spans="1:26" x14ac:dyDescent="0.25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</row>
    <row r="456" spans="1:26" x14ac:dyDescent="0.25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</row>
    <row r="457" spans="1:26" x14ac:dyDescent="0.25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</row>
    <row r="458" spans="1:26" x14ac:dyDescent="0.25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</row>
    <row r="459" spans="1:26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</row>
    <row r="460" spans="1:26" x14ac:dyDescent="0.25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</row>
    <row r="461" spans="1:26" x14ac:dyDescent="0.25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</row>
    <row r="462" spans="1:26" x14ac:dyDescent="0.25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</row>
    <row r="463" spans="1:26" x14ac:dyDescent="0.25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</row>
    <row r="464" spans="1:26" x14ac:dyDescent="0.25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</row>
    <row r="465" spans="1:26" x14ac:dyDescent="0.25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</row>
    <row r="466" spans="1:26" x14ac:dyDescent="0.25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</row>
    <row r="467" spans="1:26" x14ac:dyDescent="0.25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</row>
    <row r="468" spans="1:26" x14ac:dyDescent="0.25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</row>
    <row r="469" spans="1:26" x14ac:dyDescent="0.25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</row>
    <row r="470" spans="1:26" x14ac:dyDescent="0.25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</row>
    <row r="471" spans="1:26" x14ac:dyDescent="0.25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</row>
    <row r="472" spans="1:26" x14ac:dyDescent="0.25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</row>
    <row r="473" spans="1:26" x14ac:dyDescent="0.25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</row>
    <row r="474" spans="1:26" x14ac:dyDescent="0.25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</row>
    <row r="475" spans="1:26" x14ac:dyDescent="0.25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</row>
    <row r="476" spans="1:26" x14ac:dyDescent="0.25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</row>
    <row r="477" spans="1:26" x14ac:dyDescent="0.25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</row>
    <row r="478" spans="1:26" x14ac:dyDescent="0.25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</row>
    <row r="479" spans="1:26" x14ac:dyDescent="0.25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</row>
    <row r="480" spans="1:26" x14ac:dyDescent="0.25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</row>
    <row r="481" spans="1:26" x14ac:dyDescent="0.25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</row>
    <row r="482" spans="1:26" x14ac:dyDescent="0.25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</row>
    <row r="483" spans="1:26" x14ac:dyDescent="0.25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</row>
    <row r="484" spans="1:26" x14ac:dyDescent="0.25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</row>
    <row r="485" spans="1:26" x14ac:dyDescent="0.25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</row>
    <row r="486" spans="1:26" x14ac:dyDescent="0.25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</row>
    <row r="487" spans="1:26" x14ac:dyDescent="0.25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</row>
    <row r="488" spans="1:26" x14ac:dyDescent="0.25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</row>
    <row r="489" spans="1:26" x14ac:dyDescent="0.25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</row>
    <row r="490" spans="1:26" x14ac:dyDescent="0.25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</row>
    <row r="491" spans="1:26" x14ac:dyDescent="0.25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</row>
    <row r="492" spans="1:26" x14ac:dyDescent="0.25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</row>
    <row r="493" spans="1:26" x14ac:dyDescent="0.25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</row>
    <row r="494" spans="1:26" x14ac:dyDescent="0.25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</row>
    <row r="495" spans="1:26" x14ac:dyDescent="0.25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</row>
    <row r="496" spans="1:26" x14ac:dyDescent="0.25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</row>
    <row r="497" spans="1:26" x14ac:dyDescent="0.25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</row>
    <row r="498" spans="1:26" x14ac:dyDescent="0.25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</row>
    <row r="499" spans="1:26" x14ac:dyDescent="0.25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</row>
    <row r="500" spans="1:26" x14ac:dyDescent="0.25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</row>
    <row r="501" spans="1:26" x14ac:dyDescent="0.25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</row>
    <row r="502" spans="1:26" x14ac:dyDescent="0.25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</row>
    <row r="503" spans="1:26" x14ac:dyDescent="0.25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</row>
    <row r="504" spans="1:26" x14ac:dyDescent="0.25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</row>
    <row r="505" spans="1:26" x14ac:dyDescent="0.25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</row>
    <row r="506" spans="1:26" x14ac:dyDescent="0.25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</row>
    <row r="507" spans="1:26" x14ac:dyDescent="0.25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</row>
    <row r="508" spans="1:26" x14ac:dyDescent="0.25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</row>
    <row r="509" spans="1:26" x14ac:dyDescent="0.25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</row>
    <row r="510" spans="1:26" x14ac:dyDescent="0.25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</row>
    <row r="511" spans="1:26" x14ac:dyDescent="0.25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</row>
    <row r="512" spans="1:26" x14ac:dyDescent="0.25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</row>
    <row r="513" spans="1:26" x14ac:dyDescent="0.25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</row>
    <row r="514" spans="1:26" x14ac:dyDescent="0.25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</row>
    <row r="515" spans="1:26" x14ac:dyDescent="0.25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</row>
    <row r="516" spans="1:26" x14ac:dyDescent="0.25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</row>
    <row r="517" spans="1:26" x14ac:dyDescent="0.25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</row>
    <row r="518" spans="1:26" x14ac:dyDescent="0.25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</row>
    <row r="519" spans="1:26" x14ac:dyDescent="0.25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</row>
    <row r="520" spans="1:26" x14ac:dyDescent="0.25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</row>
    <row r="521" spans="1:26" x14ac:dyDescent="0.25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</row>
    <row r="522" spans="1:26" x14ac:dyDescent="0.25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</row>
    <row r="523" spans="1:26" x14ac:dyDescent="0.25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</row>
    <row r="524" spans="1:26" x14ac:dyDescent="0.25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</row>
    <row r="525" spans="1:26" x14ac:dyDescent="0.25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</row>
    <row r="526" spans="1:26" x14ac:dyDescent="0.25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</row>
    <row r="527" spans="1:26" x14ac:dyDescent="0.25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</row>
    <row r="528" spans="1:26" x14ac:dyDescent="0.25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</row>
    <row r="529" spans="1:26" x14ac:dyDescent="0.25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</row>
    <row r="530" spans="1:26" x14ac:dyDescent="0.25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</row>
    <row r="531" spans="1:26" x14ac:dyDescent="0.25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</row>
    <row r="532" spans="1:26" x14ac:dyDescent="0.25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</row>
    <row r="533" spans="1:26" x14ac:dyDescent="0.25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</row>
    <row r="534" spans="1:26" x14ac:dyDescent="0.25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</row>
    <row r="535" spans="1:26" x14ac:dyDescent="0.25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</row>
    <row r="536" spans="1:26" x14ac:dyDescent="0.25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</row>
    <row r="537" spans="1:26" x14ac:dyDescent="0.25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</row>
    <row r="538" spans="1:26" x14ac:dyDescent="0.25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</row>
    <row r="539" spans="1:26" x14ac:dyDescent="0.25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</row>
    <row r="540" spans="1:26" x14ac:dyDescent="0.25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</row>
    <row r="541" spans="1:26" x14ac:dyDescent="0.25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</row>
    <row r="542" spans="1:26" x14ac:dyDescent="0.25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</row>
    <row r="543" spans="1:26" x14ac:dyDescent="0.25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</row>
    <row r="544" spans="1:26" x14ac:dyDescent="0.25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</row>
    <row r="545" spans="1:26" x14ac:dyDescent="0.25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</row>
    <row r="546" spans="1:26" x14ac:dyDescent="0.25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</row>
    <row r="547" spans="1:26" x14ac:dyDescent="0.25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</row>
    <row r="548" spans="1:26" x14ac:dyDescent="0.25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</row>
    <row r="549" spans="1:26" x14ac:dyDescent="0.25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</row>
    <row r="550" spans="1:26" x14ac:dyDescent="0.25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</row>
    <row r="551" spans="1:26" x14ac:dyDescent="0.25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</row>
    <row r="552" spans="1:26" x14ac:dyDescent="0.25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</row>
    <row r="553" spans="1:26" x14ac:dyDescent="0.25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</row>
    <row r="554" spans="1:26" x14ac:dyDescent="0.25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</row>
    <row r="555" spans="1:26" x14ac:dyDescent="0.25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</row>
    <row r="556" spans="1:26" x14ac:dyDescent="0.25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</row>
    <row r="557" spans="1:26" x14ac:dyDescent="0.25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</row>
    <row r="558" spans="1:26" x14ac:dyDescent="0.25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</row>
    <row r="559" spans="1:26" x14ac:dyDescent="0.25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</row>
    <row r="560" spans="1:26" x14ac:dyDescent="0.25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</row>
    <row r="561" spans="1:26" x14ac:dyDescent="0.25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</row>
    <row r="562" spans="1:26" x14ac:dyDescent="0.25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</row>
    <row r="563" spans="1:26" x14ac:dyDescent="0.25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</row>
    <row r="564" spans="1:26" x14ac:dyDescent="0.25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</row>
    <row r="565" spans="1:26" x14ac:dyDescent="0.25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</row>
    <row r="566" spans="1:26" x14ac:dyDescent="0.25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</row>
    <row r="567" spans="1:26" x14ac:dyDescent="0.25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</row>
    <row r="568" spans="1:26" x14ac:dyDescent="0.25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</row>
    <row r="569" spans="1:26" x14ac:dyDescent="0.25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</row>
    <row r="570" spans="1:26" x14ac:dyDescent="0.25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</row>
    <row r="571" spans="1:26" x14ac:dyDescent="0.25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</row>
    <row r="572" spans="1:26" x14ac:dyDescent="0.25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</row>
    <row r="573" spans="1:26" x14ac:dyDescent="0.25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</row>
    <row r="574" spans="1:26" x14ac:dyDescent="0.25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</row>
    <row r="575" spans="1:26" x14ac:dyDescent="0.25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</row>
    <row r="576" spans="1:26" x14ac:dyDescent="0.25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</row>
    <row r="577" spans="1:26" x14ac:dyDescent="0.25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</row>
    <row r="578" spans="1:26" x14ac:dyDescent="0.25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</row>
    <row r="579" spans="1:26" x14ac:dyDescent="0.25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</row>
    <row r="580" spans="1:26" x14ac:dyDescent="0.25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</row>
    <row r="581" spans="1:26" x14ac:dyDescent="0.25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</row>
    <row r="582" spans="1:26" x14ac:dyDescent="0.25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</row>
    <row r="583" spans="1:26" x14ac:dyDescent="0.25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</row>
    <row r="584" spans="1:26" x14ac:dyDescent="0.25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</row>
    <row r="585" spans="1:26" x14ac:dyDescent="0.25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</row>
    <row r="586" spans="1:26" x14ac:dyDescent="0.25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</row>
    <row r="587" spans="1:26" x14ac:dyDescent="0.25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</row>
    <row r="588" spans="1:26" x14ac:dyDescent="0.25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</row>
    <row r="589" spans="1:26" x14ac:dyDescent="0.25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</row>
    <row r="590" spans="1:26" x14ac:dyDescent="0.25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</row>
    <row r="591" spans="1:26" x14ac:dyDescent="0.25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</row>
    <row r="592" spans="1:26" x14ac:dyDescent="0.25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</row>
    <row r="593" spans="1:26" x14ac:dyDescent="0.25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</row>
    <row r="594" spans="1:26" x14ac:dyDescent="0.25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</row>
    <row r="595" spans="1:26" x14ac:dyDescent="0.25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</row>
    <row r="596" spans="1:26" x14ac:dyDescent="0.25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</row>
    <row r="597" spans="1:26" x14ac:dyDescent="0.25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</row>
    <row r="598" spans="1:26" x14ac:dyDescent="0.25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</row>
    <row r="599" spans="1:26" x14ac:dyDescent="0.25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</row>
    <row r="600" spans="1:26" x14ac:dyDescent="0.25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80"/>
    <col min="4" max="4" width="16" style="80" customWidth="1"/>
    <col min="5" max="5" width="13.7109375" style="80" customWidth="1"/>
    <col min="6" max="6" width="9.140625" style="80"/>
    <col min="7" max="7" width="27.42578125" style="80" customWidth="1"/>
    <col min="8" max="16384" width="9.140625" style="80"/>
  </cols>
  <sheetData>
    <row r="1" spans="1:26" ht="26.25" x14ac:dyDescent="0.4">
      <c r="B1" s="87" t="s">
        <v>174</v>
      </c>
      <c r="C1" s="87"/>
      <c r="D1" s="87"/>
      <c r="E1" s="87" t="s">
        <v>173</v>
      </c>
      <c r="F1" s="87"/>
      <c r="G1" s="87"/>
      <c r="H1" s="87" t="s">
        <v>171</v>
      </c>
    </row>
    <row r="3" spans="1:26" ht="20.25" x14ac:dyDescent="0.3">
      <c r="F3" s="92" t="str">
        <f>Season</f>
        <v>2022/2023</v>
      </c>
    </row>
    <row r="4" spans="1:26" x14ac:dyDescent="0.25">
      <c r="C4" s="80" t="s">
        <v>160</v>
      </c>
    </row>
    <row r="5" spans="1:26" x14ac:dyDescent="0.25">
      <c r="A5" s="81" t="s">
        <v>169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</row>
    <row r="6" spans="1:26" x14ac:dyDescent="0.25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</row>
    <row r="7" spans="1:26" ht="16.5" thickBot="1" x14ac:dyDescent="0.3">
      <c r="A7" s="81"/>
      <c r="B7" s="81" t="s">
        <v>113</v>
      </c>
      <c r="C7" s="81" t="s">
        <v>44</v>
      </c>
      <c r="D7" s="82"/>
      <c r="E7" s="82"/>
      <c r="F7" s="82"/>
      <c r="G7" s="82"/>
      <c r="H7" s="82"/>
      <c r="I7" s="82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</row>
    <row r="8" spans="1:26" x14ac:dyDescent="0.25">
      <c r="A8" s="81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</row>
    <row r="9" spans="1:26" ht="16.5" thickBot="1" x14ac:dyDescent="0.3">
      <c r="A9" s="81"/>
      <c r="B9" s="81" t="s">
        <v>114</v>
      </c>
      <c r="C9" s="81" t="s">
        <v>44</v>
      </c>
      <c r="D9" s="82"/>
      <c r="E9" s="82"/>
      <c r="F9" s="82"/>
      <c r="G9" s="82"/>
      <c r="H9" s="82"/>
      <c r="I9" s="82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</row>
    <row r="10" spans="1:26" x14ac:dyDescent="0.25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</row>
    <row r="11" spans="1:26" ht="16.5" thickBot="1" x14ac:dyDescent="0.3">
      <c r="A11" s="81"/>
      <c r="B11" s="81" t="s">
        <v>115</v>
      </c>
      <c r="C11" s="81" t="s">
        <v>48</v>
      </c>
      <c r="D11" s="82"/>
      <c r="E11" s="82"/>
      <c r="F11" s="82"/>
      <c r="G11" s="82"/>
      <c r="H11" s="82"/>
      <c r="I11" s="82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</row>
    <row r="12" spans="1:26" x14ac:dyDescent="0.25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</row>
    <row r="13" spans="1:26" ht="16.5" thickBot="1" x14ac:dyDescent="0.3">
      <c r="A13" s="81"/>
      <c r="B13" s="81" t="s">
        <v>124</v>
      </c>
      <c r="C13" s="81" t="s">
        <v>48</v>
      </c>
      <c r="D13" s="82"/>
      <c r="E13" s="82"/>
      <c r="F13" s="82"/>
      <c r="G13" s="82"/>
      <c r="H13" s="82"/>
      <c r="I13" s="82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</row>
    <row r="14" spans="1:26" x14ac:dyDescent="0.25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</row>
    <row r="15" spans="1:26" ht="16.5" thickBot="1" x14ac:dyDescent="0.3">
      <c r="A15" s="81"/>
      <c r="B15" s="81" t="s">
        <v>148</v>
      </c>
      <c r="C15" s="81" t="s">
        <v>48</v>
      </c>
      <c r="D15" s="82"/>
      <c r="E15" s="82"/>
      <c r="F15" s="82"/>
      <c r="G15" s="82"/>
      <c r="H15" s="82"/>
      <c r="I15" s="82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</row>
    <row r="16" spans="1:26" x14ac:dyDescent="0.25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</row>
    <row r="17" spans="1:26" x14ac:dyDescent="0.25">
      <c r="A17" s="81" t="s">
        <v>170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</row>
    <row r="18" spans="1:26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</row>
    <row r="19" spans="1:26" ht="16.5" thickBot="1" x14ac:dyDescent="0.3">
      <c r="A19" s="81"/>
      <c r="B19" s="81" t="s">
        <v>106</v>
      </c>
      <c r="C19" s="81" t="s">
        <v>248</v>
      </c>
      <c r="D19" s="82"/>
      <c r="E19" s="82"/>
      <c r="F19" s="82"/>
      <c r="G19" s="82"/>
      <c r="H19" s="82"/>
      <c r="I19" s="82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</row>
    <row r="20" spans="1:26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</row>
    <row r="21" spans="1:26" ht="16.5" thickBot="1" x14ac:dyDescent="0.3">
      <c r="A21" s="81"/>
      <c r="B21" s="81" t="s">
        <v>107</v>
      </c>
      <c r="C21" s="81" t="s">
        <v>248</v>
      </c>
      <c r="D21" s="82"/>
      <c r="E21" s="82"/>
      <c r="F21" s="82"/>
      <c r="G21" s="82"/>
      <c r="H21" s="82"/>
      <c r="I21" s="82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</row>
    <row r="22" spans="1:26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</row>
    <row r="23" spans="1:26" ht="16.5" thickBot="1" x14ac:dyDescent="0.3">
      <c r="A23" s="81"/>
      <c r="B23" s="81" t="s">
        <v>108</v>
      </c>
      <c r="C23" s="81" t="s">
        <v>90</v>
      </c>
      <c r="D23" s="82"/>
      <c r="E23" s="82"/>
      <c r="F23" s="82"/>
      <c r="G23" s="82"/>
      <c r="H23" s="82"/>
      <c r="I23" s="82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</row>
    <row r="24" spans="1:26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</row>
    <row r="25" spans="1:26" ht="16.5" thickBot="1" x14ac:dyDescent="0.3">
      <c r="A25" s="81"/>
      <c r="B25" s="81" t="s">
        <v>109</v>
      </c>
      <c r="C25" s="81" t="s">
        <v>90</v>
      </c>
      <c r="D25" s="82"/>
      <c r="E25" s="82"/>
      <c r="F25" s="82"/>
      <c r="G25" s="82"/>
      <c r="H25" s="82"/>
      <c r="I25" s="82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x14ac:dyDescent="0.25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ht="16.5" thickBot="1" x14ac:dyDescent="0.3">
      <c r="A27" s="81"/>
      <c r="B27" s="81" t="s">
        <v>110</v>
      </c>
      <c r="C27" s="81" t="s">
        <v>96</v>
      </c>
      <c r="D27" s="82"/>
      <c r="E27" s="82"/>
      <c r="F27" s="82"/>
      <c r="G27" s="82"/>
      <c r="H27" s="82"/>
      <c r="I27" s="82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ht="16.5" thickBot="1" x14ac:dyDescent="0.3">
      <c r="A29" s="81"/>
      <c r="B29" s="81" t="s">
        <v>111</v>
      </c>
      <c r="C29" s="81" t="s">
        <v>303</v>
      </c>
      <c r="D29" s="82"/>
      <c r="E29" s="82"/>
      <c r="F29" s="82"/>
      <c r="G29" s="82"/>
      <c r="H29" s="82"/>
      <c r="I29" s="82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ht="16.5" thickBot="1" x14ac:dyDescent="0.3">
      <c r="A31" s="81"/>
      <c r="B31" s="81" t="s">
        <v>112</v>
      </c>
      <c r="C31" s="81" t="s">
        <v>90</v>
      </c>
      <c r="D31" s="82"/>
      <c r="E31" s="82"/>
      <c r="F31" s="82"/>
      <c r="G31" s="82"/>
      <c r="H31" s="82"/>
      <c r="I31" s="82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ht="16.5" thickBot="1" x14ac:dyDescent="0.3">
      <c r="A33" s="81"/>
      <c r="B33" s="81" t="s">
        <v>113</v>
      </c>
      <c r="C33" s="81" t="s">
        <v>303</v>
      </c>
      <c r="D33" s="82"/>
      <c r="E33" s="82"/>
      <c r="F33" s="82"/>
      <c r="G33" s="82"/>
      <c r="H33" s="82"/>
      <c r="I33" s="82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x14ac:dyDescent="0.25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ht="16.5" thickBot="1" x14ac:dyDescent="0.3">
      <c r="A35" s="81"/>
      <c r="B35" s="81" t="s">
        <v>114</v>
      </c>
      <c r="C35" s="81" t="s">
        <v>44</v>
      </c>
      <c r="D35" s="82"/>
      <c r="E35" s="82"/>
      <c r="F35" s="82"/>
      <c r="G35" s="82"/>
      <c r="H35" s="82"/>
      <c r="I35" s="82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x14ac:dyDescent="0.25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ht="16.5" thickBot="1" x14ac:dyDescent="0.3">
      <c r="A37" s="81"/>
      <c r="B37" s="81" t="s">
        <v>115</v>
      </c>
      <c r="C37" s="81" t="s">
        <v>44</v>
      </c>
      <c r="D37" s="82"/>
      <c r="E37" s="82"/>
      <c r="F37" s="82"/>
      <c r="G37" s="82"/>
      <c r="H37" s="82"/>
      <c r="I37" s="82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x14ac:dyDescent="0.25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x14ac:dyDescent="0.25">
      <c r="A39" s="81" t="s">
        <v>172</v>
      </c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x14ac:dyDescent="0.25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1" spans="1:26" ht="16.5" thickBot="1" x14ac:dyDescent="0.3">
      <c r="A41" s="81"/>
      <c r="B41" s="81" t="s">
        <v>108</v>
      </c>
      <c r="C41" s="81" t="s">
        <v>255</v>
      </c>
      <c r="D41" s="82"/>
      <c r="E41" s="82"/>
      <c r="F41" s="82"/>
      <c r="G41" s="82"/>
      <c r="H41" s="82"/>
      <c r="I41" s="82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</row>
    <row r="42" spans="1:2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</row>
    <row r="43" spans="1:26" ht="16.5" thickBot="1" x14ac:dyDescent="0.3">
      <c r="A43" s="81"/>
      <c r="B43" s="81" t="s">
        <v>109</v>
      </c>
      <c r="C43" s="81" t="s">
        <v>96</v>
      </c>
      <c r="D43" s="82"/>
      <c r="E43" s="82"/>
      <c r="F43" s="82"/>
      <c r="G43" s="82"/>
      <c r="H43" s="82"/>
      <c r="I43" s="82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</row>
    <row r="44" spans="1:26" x14ac:dyDescent="0.25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</row>
    <row r="45" spans="1:26" ht="16.5" thickBot="1" x14ac:dyDescent="0.3">
      <c r="A45" s="81"/>
      <c r="B45" s="81" t="s">
        <v>110</v>
      </c>
      <c r="C45" s="81" t="s">
        <v>94</v>
      </c>
      <c r="D45" s="82"/>
      <c r="E45" s="82"/>
      <c r="F45" s="82"/>
      <c r="G45" s="82"/>
      <c r="H45" s="82"/>
      <c r="I45" s="82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</row>
    <row r="46" spans="1:26" x14ac:dyDescent="0.25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</row>
    <row r="47" spans="1:26" ht="16.5" thickBot="1" x14ac:dyDescent="0.3">
      <c r="A47" s="81"/>
      <c r="B47" s="81" t="s">
        <v>111</v>
      </c>
      <c r="C47" s="81" t="s">
        <v>23</v>
      </c>
      <c r="D47" s="82"/>
      <c r="E47" s="82"/>
      <c r="F47" s="82"/>
      <c r="G47" s="82"/>
      <c r="H47" s="82"/>
      <c r="I47" s="82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</row>
    <row r="48" spans="1:26" x14ac:dyDescent="0.25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</row>
    <row r="49" spans="1:26" ht="16.5" thickBot="1" x14ac:dyDescent="0.3">
      <c r="A49" s="81"/>
      <c r="B49" s="81" t="s">
        <v>112</v>
      </c>
      <c r="C49" s="81" t="s">
        <v>90</v>
      </c>
      <c r="D49" s="82"/>
      <c r="E49" s="82"/>
      <c r="F49" s="82"/>
      <c r="G49" s="82"/>
      <c r="H49" s="82"/>
      <c r="I49" s="82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</row>
    <row r="50" spans="1:26" x14ac:dyDescent="0.25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</row>
    <row r="51" spans="1:26" ht="16.5" thickBot="1" x14ac:dyDescent="0.3">
      <c r="A51" s="81"/>
      <c r="B51" s="81" t="s">
        <v>113</v>
      </c>
      <c r="C51" s="81" t="s">
        <v>44</v>
      </c>
      <c r="D51" s="82"/>
      <c r="E51" s="82"/>
      <c r="F51" s="82"/>
      <c r="G51" s="82"/>
      <c r="H51" s="82"/>
      <c r="I51" s="82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</row>
    <row r="52" spans="1:26" x14ac:dyDescent="0.25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</row>
    <row r="53" spans="1:26" ht="16.5" thickBot="1" x14ac:dyDescent="0.3">
      <c r="A53" s="81"/>
      <c r="B53" s="81" t="s">
        <v>114</v>
      </c>
      <c r="C53" s="81" t="s">
        <v>101</v>
      </c>
      <c r="D53" s="82"/>
      <c r="E53" s="82"/>
      <c r="F53" s="82"/>
      <c r="G53" s="82"/>
      <c r="H53" s="82"/>
      <c r="I53" s="82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</row>
    <row r="54" spans="1:26" x14ac:dyDescent="0.25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</row>
    <row r="55" spans="1:26" x14ac:dyDescent="0.25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</row>
    <row r="56" spans="1:26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</row>
    <row r="57" spans="1:26" x14ac:dyDescent="0.25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</row>
    <row r="58" spans="1:26" x14ac:dyDescent="0.25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</row>
    <row r="59" spans="1:26" x14ac:dyDescent="0.25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</row>
    <row r="60" spans="1:26" x14ac:dyDescent="0.25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</row>
    <row r="61" spans="1:26" x14ac:dyDescent="0.25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</row>
    <row r="62" spans="1:26" x14ac:dyDescent="0.25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</row>
    <row r="63" spans="1:26" x14ac:dyDescent="0.25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</row>
    <row r="64" spans="1:26" x14ac:dyDescent="0.25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</row>
    <row r="65" spans="1:26" x14ac:dyDescent="0.25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</row>
    <row r="66" spans="1:26" x14ac:dyDescent="0.25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</row>
    <row r="67" spans="1:26" x14ac:dyDescent="0.25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</row>
    <row r="68" spans="1:26" x14ac:dyDescent="0.25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</row>
    <row r="69" spans="1:26" x14ac:dyDescent="0.25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</row>
    <row r="70" spans="1:26" x14ac:dyDescent="0.25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</row>
    <row r="71" spans="1:26" x14ac:dyDescent="0.25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</row>
    <row r="72" spans="1:26" x14ac:dyDescent="0.25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</row>
    <row r="73" spans="1:26" x14ac:dyDescent="0.25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</row>
    <row r="74" spans="1:26" x14ac:dyDescent="0.25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</row>
    <row r="75" spans="1:26" x14ac:dyDescent="0.25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</row>
    <row r="76" spans="1:26" x14ac:dyDescent="0.25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</row>
    <row r="77" spans="1:26" x14ac:dyDescent="0.25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</row>
    <row r="78" spans="1:26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</row>
    <row r="79" spans="1:26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</row>
    <row r="80" spans="1:26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</row>
    <row r="81" spans="1:26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</row>
    <row r="82" spans="1:26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</row>
    <row r="83" spans="1:26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</row>
    <row r="84" spans="1:26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</row>
    <row r="85" spans="1:26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</row>
    <row r="86" spans="1:26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</row>
    <row r="87" spans="1:26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</row>
    <row r="88" spans="1:26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</row>
    <row r="89" spans="1:26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</row>
    <row r="90" spans="1:26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</row>
    <row r="91" spans="1:26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</row>
    <row r="92" spans="1:26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</row>
    <row r="93" spans="1:26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</row>
    <row r="94" spans="1:26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</row>
    <row r="95" spans="1:26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</row>
    <row r="96" spans="1:26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</row>
    <row r="97" spans="1:26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</row>
    <row r="98" spans="1:26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</row>
    <row r="99" spans="1:26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</row>
    <row r="100" spans="1:26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</row>
    <row r="101" spans="1:26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1"/>
      <c r="W101" s="81"/>
      <c r="X101" s="81"/>
      <c r="Y101" s="81"/>
      <c r="Z101" s="81"/>
    </row>
    <row r="102" spans="1:26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1"/>
      <c r="W102" s="81"/>
      <c r="X102" s="81"/>
      <c r="Y102" s="81"/>
      <c r="Z102" s="81"/>
    </row>
    <row r="103" spans="1:26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</row>
    <row r="104" spans="1:26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1"/>
      <c r="W104" s="81"/>
      <c r="X104" s="81"/>
      <c r="Y104" s="81"/>
      <c r="Z104" s="81"/>
    </row>
    <row r="105" spans="1:26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1"/>
      <c r="W105" s="81"/>
      <c r="X105" s="81"/>
      <c r="Y105" s="81"/>
      <c r="Z105" s="81"/>
    </row>
    <row r="106" spans="1:26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</row>
    <row r="107" spans="1:26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</row>
    <row r="108" spans="1:26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1"/>
      <c r="W108" s="81"/>
      <c r="X108" s="81"/>
      <c r="Y108" s="81"/>
      <c r="Z108" s="81"/>
    </row>
    <row r="109" spans="1:26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</row>
    <row r="110" spans="1:26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1"/>
      <c r="W110" s="81"/>
      <c r="X110" s="81"/>
      <c r="Y110" s="81"/>
      <c r="Z110" s="81"/>
    </row>
    <row r="111" spans="1:26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1"/>
      <c r="W111" s="81"/>
      <c r="X111" s="81"/>
      <c r="Y111" s="81"/>
      <c r="Z111" s="81"/>
    </row>
    <row r="112" spans="1:26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</row>
    <row r="113" spans="1:26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1"/>
      <c r="W113" s="81"/>
      <c r="X113" s="81"/>
      <c r="Y113" s="81"/>
      <c r="Z113" s="81"/>
    </row>
    <row r="114" spans="1:26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</row>
    <row r="115" spans="1:26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</row>
    <row r="116" spans="1:26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  <c r="Y116" s="81"/>
      <c r="Z116" s="81"/>
    </row>
    <row r="117" spans="1:26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</row>
    <row r="118" spans="1:26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</row>
    <row r="119" spans="1:26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</row>
    <row r="120" spans="1:26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</row>
    <row r="121" spans="1:26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</row>
    <row r="122" spans="1:26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</row>
    <row r="123" spans="1:26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</row>
    <row r="124" spans="1:26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</row>
    <row r="125" spans="1:26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</row>
    <row r="126" spans="1:26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</row>
    <row r="127" spans="1:26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</row>
    <row r="128" spans="1:26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</row>
    <row r="129" spans="1:26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</row>
    <row r="130" spans="1:26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</row>
    <row r="131" spans="1:26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</row>
    <row r="132" spans="1:26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</row>
    <row r="133" spans="1:26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</row>
    <row r="134" spans="1:26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</row>
    <row r="135" spans="1:26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</row>
    <row r="136" spans="1:26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</row>
    <row r="137" spans="1:26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</row>
    <row r="138" spans="1:26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</row>
    <row r="139" spans="1:26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</row>
    <row r="140" spans="1:26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</row>
    <row r="141" spans="1:26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1"/>
      <c r="W141" s="81"/>
      <c r="X141" s="81"/>
      <c r="Y141" s="81"/>
      <c r="Z141" s="81"/>
    </row>
    <row r="142" spans="1:26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1"/>
      <c r="W142" s="81"/>
      <c r="X142" s="81"/>
      <c r="Y142" s="81"/>
      <c r="Z142" s="81"/>
    </row>
    <row r="143" spans="1:26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1"/>
      <c r="W143" s="81"/>
      <c r="X143" s="81"/>
      <c r="Y143" s="81"/>
      <c r="Z143" s="81"/>
    </row>
    <row r="144" spans="1:26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1"/>
      <c r="W144" s="81"/>
      <c r="X144" s="81"/>
      <c r="Y144" s="81"/>
      <c r="Z144" s="81"/>
    </row>
    <row r="145" spans="1:26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1"/>
      <c r="W145" s="81"/>
      <c r="X145" s="81"/>
      <c r="Y145" s="81"/>
      <c r="Z145" s="81"/>
    </row>
    <row r="146" spans="1:26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81"/>
      <c r="X146" s="81"/>
      <c r="Y146" s="81"/>
      <c r="Z146" s="81"/>
    </row>
    <row r="147" spans="1:26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</row>
    <row r="148" spans="1:26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</row>
    <row r="149" spans="1:26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81"/>
      <c r="X149" s="81"/>
      <c r="Y149" s="81"/>
      <c r="Z149" s="81"/>
    </row>
    <row r="150" spans="1:26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</row>
    <row r="151" spans="1:26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1"/>
      <c r="W151" s="81"/>
      <c r="X151" s="81"/>
      <c r="Y151" s="81"/>
      <c r="Z151" s="81"/>
    </row>
    <row r="152" spans="1:26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1"/>
      <c r="W152" s="81"/>
      <c r="X152" s="81"/>
      <c r="Y152" s="81"/>
      <c r="Z152" s="81"/>
    </row>
    <row r="153" spans="1:26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</row>
    <row r="154" spans="1:26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</row>
    <row r="155" spans="1:26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</row>
    <row r="156" spans="1:26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</row>
    <row r="157" spans="1:26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</row>
    <row r="158" spans="1:26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</row>
    <row r="159" spans="1:26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</row>
    <row r="160" spans="1:26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</row>
    <row r="161" spans="1:26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</row>
    <row r="162" spans="1:26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</row>
    <row r="163" spans="1:26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</row>
    <row r="164" spans="1:26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</row>
    <row r="165" spans="1:26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</row>
    <row r="166" spans="1:26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</row>
    <row r="167" spans="1:26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</row>
    <row r="168" spans="1:26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</row>
    <row r="169" spans="1:26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</row>
    <row r="170" spans="1:26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</row>
    <row r="171" spans="1:26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</row>
    <row r="172" spans="1:26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</row>
    <row r="173" spans="1:26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</row>
    <row r="174" spans="1:26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</row>
    <row r="175" spans="1:26" x14ac:dyDescent="0.25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</row>
    <row r="176" spans="1:26" x14ac:dyDescent="0.25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</row>
    <row r="177" spans="1:26" x14ac:dyDescent="0.25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</row>
    <row r="178" spans="1:26" x14ac:dyDescent="0.25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</row>
    <row r="179" spans="1:26" x14ac:dyDescent="0.25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</row>
    <row r="180" spans="1:26" x14ac:dyDescent="0.25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</row>
    <row r="181" spans="1:26" x14ac:dyDescent="0.25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</row>
    <row r="182" spans="1:26" x14ac:dyDescent="0.25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</row>
    <row r="183" spans="1:26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</row>
    <row r="184" spans="1:26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</row>
    <row r="185" spans="1:26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</row>
    <row r="186" spans="1:26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</row>
    <row r="187" spans="1:26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1"/>
      <c r="W187" s="81"/>
      <c r="X187" s="81"/>
      <c r="Y187" s="81"/>
      <c r="Z187" s="81"/>
    </row>
    <row r="188" spans="1:26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1"/>
      <c r="W188" s="81"/>
      <c r="X188" s="81"/>
      <c r="Y188" s="81"/>
      <c r="Z188" s="81"/>
    </row>
    <row r="189" spans="1:26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1"/>
      <c r="W189" s="81"/>
      <c r="X189" s="81"/>
      <c r="Y189" s="81"/>
      <c r="Z189" s="81"/>
    </row>
    <row r="190" spans="1:26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1"/>
      <c r="W190" s="81"/>
      <c r="X190" s="81"/>
      <c r="Y190" s="81"/>
      <c r="Z190" s="81"/>
    </row>
    <row r="191" spans="1:26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1"/>
      <c r="W191" s="81"/>
      <c r="X191" s="81"/>
      <c r="Y191" s="81"/>
      <c r="Z191" s="81"/>
    </row>
    <row r="192" spans="1:26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1"/>
      <c r="W192" s="81"/>
      <c r="X192" s="81"/>
      <c r="Y192" s="81"/>
      <c r="Z192" s="81"/>
    </row>
    <row r="193" spans="1:26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1"/>
      <c r="W193" s="81"/>
      <c r="X193" s="81"/>
      <c r="Y193" s="81"/>
      <c r="Z193" s="81"/>
    </row>
    <row r="194" spans="1:26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1"/>
      <c r="W194" s="81"/>
      <c r="X194" s="81"/>
      <c r="Y194" s="81"/>
      <c r="Z194" s="81"/>
    </row>
    <row r="195" spans="1:26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1"/>
      <c r="W195" s="81"/>
      <c r="X195" s="81"/>
      <c r="Y195" s="81"/>
      <c r="Z195" s="81"/>
    </row>
    <row r="196" spans="1:26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1"/>
      <c r="W196" s="81"/>
      <c r="X196" s="81"/>
      <c r="Y196" s="81"/>
      <c r="Z196" s="81"/>
    </row>
    <row r="197" spans="1:26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1"/>
      <c r="W197" s="81"/>
      <c r="X197" s="81"/>
      <c r="Y197" s="81"/>
      <c r="Z197" s="81"/>
    </row>
    <row r="198" spans="1:26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1"/>
      <c r="W198" s="81"/>
      <c r="X198" s="81"/>
      <c r="Y198" s="81"/>
      <c r="Z198" s="81"/>
    </row>
    <row r="199" spans="1:26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</row>
    <row r="200" spans="1:26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1"/>
      <c r="W200" s="81"/>
      <c r="X200" s="81"/>
      <c r="Y200" s="81"/>
      <c r="Z200" s="81"/>
    </row>
    <row r="201" spans="1:26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1"/>
      <c r="W201" s="81"/>
      <c r="X201" s="81"/>
      <c r="Y201" s="81"/>
      <c r="Z201" s="81"/>
    </row>
    <row r="202" spans="1:26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</row>
    <row r="203" spans="1:26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</row>
    <row r="204" spans="1:26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</row>
    <row r="205" spans="1:26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1"/>
      <c r="W205" s="81"/>
      <c r="X205" s="81"/>
      <c r="Y205" s="81"/>
      <c r="Z205" s="81"/>
    </row>
    <row r="206" spans="1:26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1"/>
      <c r="W206" s="81"/>
      <c r="X206" s="81"/>
      <c r="Y206" s="81"/>
      <c r="Z206" s="81"/>
    </row>
    <row r="207" spans="1:26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</row>
    <row r="208" spans="1:26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</row>
    <row r="209" spans="1:26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</row>
    <row r="210" spans="1:26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</row>
    <row r="211" spans="1:26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</row>
    <row r="212" spans="1:26" x14ac:dyDescent="0.25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</row>
    <row r="213" spans="1:26" x14ac:dyDescent="0.25">
      <c r="A213" s="81"/>
      <c r="B213" s="81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</row>
    <row r="214" spans="1:26" x14ac:dyDescent="0.25">
      <c r="A214" s="81"/>
      <c r="B214" s="81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</row>
    <row r="215" spans="1:26" x14ac:dyDescent="0.25">
      <c r="A215" s="81"/>
      <c r="B215" s="81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</row>
    <row r="216" spans="1:26" x14ac:dyDescent="0.25">
      <c r="A216" s="81"/>
      <c r="B216" s="81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</row>
    <row r="217" spans="1:26" x14ac:dyDescent="0.25">
      <c r="A217" s="81"/>
      <c r="B217" s="81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</row>
    <row r="218" spans="1:26" x14ac:dyDescent="0.25">
      <c r="A218" s="81"/>
      <c r="B218" s="81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</row>
    <row r="219" spans="1:26" x14ac:dyDescent="0.25">
      <c r="A219" s="81"/>
      <c r="B219" s="81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</row>
    <row r="220" spans="1:26" x14ac:dyDescent="0.25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</row>
    <row r="221" spans="1:26" x14ac:dyDescent="0.25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</row>
    <row r="222" spans="1:26" x14ac:dyDescent="0.25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</row>
    <row r="223" spans="1:26" x14ac:dyDescent="0.25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</row>
    <row r="224" spans="1:26" x14ac:dyDescent="0.25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</row>
    <row r="225" spans="1:26" x14ac:dyDescent="0.25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</row>
    <row r="226" spans="1:26" x14ac:dyDescent="0.25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</row>
    <row r="227" spans="1:26" x14ac:dyDescent="0.25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</row>
    <row r="228" spans="1:26" x14ac:dyDescent="0.25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</row>
    <row r="229" spans="1:26" x14ac:dyDescent="0.25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</row>
    <row r="230" spans="1:26" x14ac:dyDescent="0.25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</row>
    <row r="231" spans="1:26" x14ac:dyDescent="0.25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</row>
    <row r="232" spans="1:26" x14ac:dyDescent="0.25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</row>
    <row r="233" spans="1:26" x14ac:dyDescent="0.25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</row>
    <row r="234" spans="1:26" x14ac:dyDescent="0.25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</row>
    <row r="235" spans="1:26" x14ac:dyDescent="0.25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</row>
    <row r="236" spans="1:26" x14ac:dyDescent="0.25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</row>
    <row r="237" spans="1:26" x14ac:dyDescent="0.25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</row>
    <row r="238" spans="1:26" x14ac:dyDescent="0.25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</row>
    <row r="239" spans="1:26" x14ac:dyDescent="0.25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</row>
    <row r="240" spans="1:26" x14ac:dyDescent="0.25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</row>
    <row r="241" spans="1:26" x14ac:dyDescent="0.25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</row>
    <row r="242" spans="1:26" x14ac:dyDescent="0.25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</row>
    <row r="243" spans="1:26" x14ac:dyDescent="0.25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</row>
    <row r="244" spans="1:26" x14ac:dyDescent="0.25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</row>
    <row r="245" spans="1:26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</row>
    <row r="246" spans="1:26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</row>
    <row r="247" spans="1:26" x14ac:dyDescent="0.25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</row>
    <row r="248" spans="1:26" x14ac:dyDescent="0.25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</row>
    <row r="249" spans="1:26" x14ac:dyDescent="0.25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</row>
    <row r="250" spans="1:26" x14ac:dyDescent="0.25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</row>
    <row r="251" spans="1:26" x14ac:dyDescent="0.25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</row>
    <row r="252" spans="1:26" x14ac:dyDescent="0.25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</row>
    <row r="253" spans="1:26" x14ac:dyDescent="0.25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</row>
    <row r="254" spans="1:26" x14ac:dyDescent="0.25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</row>
    <row r="255" spans="1:26" x14ac:dyDescent="0.25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</row>
    <row r="256" spans="1:26" x14ac:dyDescent="0.25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</row>
    <row r="257" spans="1:26" x14ac:dyDescent="0.25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</row>
    <row r="258" spans="1:26" x14ac:dyDescent="0.25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</row>
    <row r="259" spans="1:26" x14ac:dyDescent="0.25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</row>
    <row r="260" spans="1:26" x14ac:dyDescent="0.25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</row>
    <row r="261" spans="1:26" x14ac:dyDescent="0.25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</row>
    <row r="262" spans="1:26" x14ac:dyDescent="0.25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</row>
    <row r="263" spans="1:26" x14ac:dyDescent="0.25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</row>
    <row r="264" spans="1:26" x14ac:dyDescent="0.25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</row>
    <row r="265" spans="1:26" x14ac:dyDescent="0.25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</row>
    <row r="266" spans="1:26" x14ac:dyDescent="0.25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</row>
    <row r="267" spans="1:26" x14ac:dyDescent="0.25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</row>
    <row r="268" spans="1:26" x14ac:dyDescent="0.25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</row>
    <row r="269" spans="1:26" x14ac:dyDescent="0.25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</row>
    <row r="270" spans="1:26" x14ac:dyDescent="0.25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</row>
    <row r="271" spans="1:26" x14ac:dyDescent="0.25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</row>
    <row r="272" spans="1:26" x14ac:dyDescent="0.25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</row>
    <row r="273" spans="1:26" x14ac:dyDescent="0.25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</row>
    <row r="274" spans="1:26" x14ac:dyDescent="0.25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</row>
    <row r="275" spans="1:26" x14ac:dyDescent="0.25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</row>
    <row r="276" spans="1:26" x14ac:dyDescent="0.25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</row>
    <row r="277" spans="1:26" x14ac:dyDescent="0.25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</row>
    <row r="278" spans="1:26" x14ac:dyDescent="0.25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</row>
    <row r="279" spans="1:26" x14ac:dyDescent="0.25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</row>
    <row r="280" spans="1:26" x14ac:dyDescent="0.25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</row>
    <row r="281" spans="1:26" x14ac:dyDescent="0.25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</row>
    <row r="282" spans="1:26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</row>
    <row r="283" spans="1:26" x14ac:dyDescent="0.25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</row>
    <row r="284" spans="1:26" x14ac:dyDescent="0.25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</row>
    <row r="285" spans="1:26" x14ac:dyDescent="0.25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</row>
    <row r="286" spans="1:26" x14ac:dyDescent="0.25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</row>
    <row r="287" spans="1:26" x14ac:dyDescent="0.25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</row>
    <row r="288" spans="1:26" x14ac:dyDescent="0.25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</row>
    <row r="289" spans="1:26" x14ac:dyDescent="0.25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</row>
    <row r="290" spans="1:26" x14ac:dyDescent="0.25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</row>
    <row r="291" spans="1:26" x14ac:dyDescent="0.25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</row>
    <row r="292" spans="1:26" x14ac:dyDescent="0.25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</row>
    <row r="293" spans="1:26" x14ac:dyDescent="0.25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</row>
    <row r="294" spans="1:26" x14ac:dyDescent="0.25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</row>
    <row r="295" spans="1:26" x14ac:dyDescent="0.25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</row>
    <row r="296" spans="1:26" x14ac:dyDescent="0.25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</row>
    <row r="297" spans="1:26" x14ac:dyDescent="0.25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</row>
    <row r="298" spans="1:26" x14ac:dyDescent="0.25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</row>
    <row r="299" spans="1:26" x14ac:dyDescent="0.25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</row>
    <row r="300" spans="1:26" x14ac:dyDescent="0.25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</row>
    <row r="301" spans="1:26" x14ac:dyDescent="0.25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</row>
    <row r="302" spans="1:26" x14ac:dyDescent="0.25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</row>
    <row r="303" spans="1:26" x14ac:dyDescent="0.25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</row>
    <row r="304" spans="1:26" x14ac:dyDescent="0.25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</row>
    <row r="305" spans="1:26" x14ac:dyDescent="0.25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</row>
    <row r="306" spans="1:26" x14ac:dyDescent="0.25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</row>
    <row r="307" spans="1:26" x14ac:dyDescent="0.25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</row>
    <row r="308" spans="1:26" x14ac:dyDescent="0.25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</row>
    <row r="309" spans="1:26" x14ac:dyDescent="0.25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</row>
    <row r="310" spans="1:26" x14ac:dyDescent="0.25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</row>
    <row r="311" spans="1:26" x14ac:dyDescent="0.25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</row>
    <row r="312" spans="1:26" x14ac:dyDescent="0.25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</row>
    <row r="313" spans="1:26" x14ac:dyDescent="0.25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</row>
    <row r="314" spans="1:26" x14ac:dyDescent="0.25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</row>
    <row r="315" spans="1:26" x14ac:dyDescent="0.25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</row>
    <row r="316" spans="1:26" x14ac:dyDescent="0.25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</row>
    <row r="317" spans="1:26" x14ac:dyDescent="0.25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</row>
    <row r="318" spans="1:26" x14ac:dyDescent="0.25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</row>
    <row r="319" spans="1:26" x14ac:dyDescent="0.25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</row>
    <row r="320" spans="1:26" x14ac:dyDescent="0.25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</row>
    <row r="321" spans="1:26" x14ac:dyDescent="0.25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</row>
    <row r="322" spans="1:26" x14ac:dyDescent="0.25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</row>
    <row r="323" spans="1:26" x14ac:dyDescent="0.25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</row>
    <row r="324" spans="1:26" x14ac:dyDescent="0.25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</row>
    <row r="325" spans="1:26" x14ac:dyDescent="0.25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</row>
    <row r="326" spans="1:26" x14ac:dyDescent="0.25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</row>
    <row r="327" spans="1:26" x14ac:dyDescent="0.25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</row>
    <row r="328" spans="1:26" x14ac:dyDescent="0.25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</row>
    <row r="329" spans="1:26" x14ac:dyDescent="0.25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</row>
    <row r="330" spans="1:26" x14ac:dyDescent="0.25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</row>
    <row r="331" spans="1:26" x14ac:dyDescent="0.25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</row>
    <row r="332" spans="1:26" x14ac:dyDescent="0.25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</row>
    <row r="333" spans="1:26" x14ac:dyDescent="0.25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</row>
    <row r="334" spans="1:26" x14ac:dyDescent="0.25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</row>
    <row r="335" spans="1:26" x14ac:dyDescent="0.25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</row>
    <row r="336" spans="1:26" x14ac:dyDescent="0.25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</row>
    <row r="337" spans="1:26" x14ac:dyDescent="0.25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</row>
    <row r="338" spans="1:26" x14ac:dyDescent="0.25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</row>
    <row r="339" spans="1:26" x14ac:dyDescent="0.25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</row>
    <row r="340" spans="1:26" x14ac:dyDescent="0.25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</row>
    <row r="341" spans="1:26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</row>
    <row r="342" spans="1:26" x14ac:dyDescent="0.25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</row>
    <row r="343" spans="1:26" x14ac:dyDescent="0.25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</row>
    <row r="344" spans="1:26" x14ac:dyDescent="0.25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</row>
    <row r="345" spans="1:26" x14ac:dyDescent="0.25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</row>
    <row r="346" spans="1:26" x14ac:dyDescent="0.25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</row>
    <row r="347" spans="1:26" x14ac:dyDescent="0.25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</row>
    <row r="348" spans="1:26" x14ac:dyDescent="0.25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</row>
    <row r="349" spans="1:26" x14ac:dyDescent="0.25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</row>
    <row r="350" spans="1:26" x14ac:dyDescent="0.25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</row>
    <row r="351" spans="1:26" x14ac:dyDescent="0.25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</row>
    <row r="352" spans="1:26" x14ac:dyDescent="0.25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</row>
    <row r="353" spans="1:26" x14ac:dyDescent="0.25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</row>
    <row r="354" spans="1:26" x14ac:dyDescent="0.25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</row>
    <row r="355" spans="1:26" x14ac:dyDescent="0.25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</row>
    <row r="356" spans="1:26" x14ac:dyDescent="0.25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</row>
    <row r="357" spans="1:26" x14ac:dyDescent="0.25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</row>
    <row r="358" spans="1:26" x14ac:dyDescent="0.25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</row>
    <row r="359" spans="1:26" x14ac:dyDescent="0.25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</row>
    <row r="360" spans="1:26" x14ac:dyDescent="0.25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</row>
    <row r="361" spans="1:26" x14ac:dyDescent="0.25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</row>
    <row r="362" spans="1:26" x14ac:dyDescent="0.25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</row>
    <row r="363" spans="1:26" x14ac:dyDescent="0.25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</row>
    <row r="364" spans="1:26" x14ac:dyDescent="0.25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</row>
    <row r="365" spans="1:26" x14ac:dyDescent="0.25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</row>
    <row r="366" spans="1:26" x14ac:dyDescent="0.25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</row>
    <row r="367" spans="1:26" x14ac:dyDescent="0.25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</row>
    <row r="368" spans="1:26" x14ac:dyDescent="0.25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</row>
    <row r="369" spans="1:26" x14ac:dyDescent="0.25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</row>
    <row r="370" spans="1:26" x14ac:dyDescent="0.25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</row>
    <row r="371" spans="1:26" x14ac:dyDescent="0.25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</row>
    <row r="372" spans="1:26" x14ac:dyDescent="0.25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</row>
    <row r="373" spans="1:26" x14ac:dyDescent="0.25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</row>
    <row r="374" spans="1:26" x14ac:dyDescent="0.25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</row>
    <row r="375" spans="1:26" x14ac:dyDescent="0.25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</row>
    <row r="376" spans="1:26" x14ac:dyDescent="0.25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</row>
    <row r="377" spans="1:26" x14ac:dyDescent="0.25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</row>
    <row r="378" spans="1:26" x14ac:dyDescent="0.25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</row>
    <row r="379" spans="1:26" x14ac:dyDescent="0.25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</row>
    <row r="380" spans="1:26" x14ac:dyDescent="0.25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</row>
    <row r="381" spans="1:26" x14ac:dyDescent="0.25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</row>
    <row r="382" spans="1:26" x14ac:dyDescent="0.25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</row>
    <row r="383" spans="1:26" x14ac:dyDescent="0.25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</row>
    <row r="384" spans="1:26" x14ac:dyDescent="0.25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</row>
    <row r="385" spans="1:26" x14ac:dyDescent="0.25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</row>
    <row r="386" spans="1:26" x14ac:dyDescent="0.25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</row>
    <row r="387" spans="1:26" x14ac:dyDescent="0.25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</row>
    <row r="388" spans="1:26" x14ac:dyDescent="0.25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</row>
    <row r="389" spans="1:26" x14ac:dyDescent="0.25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</row>
    <row r="390" spans="1:26" x14ac:dyDescent="0.25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</row>
    <row r="391" spans="1:26" x14ac:dyDescent="0.25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</row>
    <row r="392" spans="1:26" x14ac:dyDescent="0.25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</row>
    <row r="393" spans="1:26" x14ac:dyDescent="0.25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</row>
    <row r="394" spans="1:26" x14ac:dyDescent="0.25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</row>
    <row r="395" spans="1:26" x14ac:dyDescent="0.25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</row>
    <row r="396" spans="1:26" x14ac:dyDescent="0.25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</row>
    <row r="397" spans="1:26" x14ac:dyDescent="0.25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</row>
    <row r="398" spans="1:26" x14ac:dyDescent="0.25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</row>
    <row r="399" spans="1:26" x14ac:dyDescent="0.25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</row>
    <row r="400" spans="1:26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</row>
    <row r="401" spans="1:26" x14ac:dyDescent="0.25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</row>
    <row r="402" spans="1:26" x14ac:dyDescent="0.25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</row>
    <row r="403" spans="1:26" x14ac:dyDescent="0.25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</row>
    <row r="404" spans="1:26" x14ac:dyDescent="0.25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</row>
    <row r="405" spans="1:26" x14ac:dyDescent="0.25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</row>
    <row r="406" spans="1:26" x14ac:dyDescent="0.25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</row>
    <row r="407" spans="1:26" x14ac:dyDescent="0.25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</row>
    <row r="408" spans="1:26" x14ac:dyDescent="0.25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</row>
    <row r="409" spans="1:26" x14ac:dyDescent="0.25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</row>
    <row r="410" spans="1:26" x14ac:dyDescent="0.25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</row>
    <row r="411" spans="1:26" x14ac:dyDescent="0.25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</row>
    <row r="412" spans="1:26" x14ac:dyDescent="0.25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</row>
    <row r="413" spans="1:26" x14ac:dyDescent="0.25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</row>
    <row r="414" spans="1:26" x14ac:dyDescent="0.25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</row>
    <row r="415" spans="1:26" x14ac:dyDescent="0.25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</row>
    <row r="416" spans="1:26" x14ac:dyDescent="0.25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</row>
    <row r="417" spans="1:26" x14ac:dyDescent="0.25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</row>
    <row r="418" spans="1:26" x14ac:dyDescent="0.25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</row>
    <row r="419" spans="1:26" x14ac:dyDescent="0.25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</row>
    <row r="420" spans="1:26" x14ac:dyDescent="0.25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</row>
    <row r="421" spans="1:26" x14ac:dyDescent="0.25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</row>
    <row r="422" spans="1:26" x14ac:dyDescent="0.25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</row>
    <row r="423" spans="1:26" x14ac:dyDescent="0.25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</row>
    <row r="424" spans="1:26" x14ac:dyDescent="0.25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</row>
    <row r="425" spans="1:26" x14ac:dyDescent="0.25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</row>
    <row r="426" spans="1:26" x14ac:dyDescent="0.25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</row>
    <row r="427" spans="1:26" x14ac:dyDescent="0.25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</row>
    <row r="428" spans="1:26" x14ac:dyDescent="0.25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</row>
    <row r="429" spans="1:26" x14ac:dyDescent="0.25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</row>
    <row r="430" spans="1:26" x14ac:dyDescent="0.25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</row>
    <row r="431" spans="1:26" x14ac:dyDescent="0.25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</row>
    <row r="432" spans="1:26" x14ac:dyDescent="0.25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</row>
    <row r="433" spans="1:26" x14ac:dyDescent="0.25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</row>
    <row r="434" spans="1:26" x14ac:dyDescent="0.25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</row>
    <row r="435" spans="1:26" x14ac:dyDescent="0.25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</row>
    <row r="436" spans="1:26" x14ac:dyDescent="0.25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</row>
    <row r="437" spans="1:26" x14ac:dyDescent="0.25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</row>
    <row r="438" spans="1:26" x14ac:dyDescent="0.25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</row>
    <row r="439" spans="1:26" x14ac:dyDescent="0.25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</row>
    <row r="440" spans="1:26" x14ac:dyDescent="0.25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</row>
    <row r="441" spans="1:26" x14ac:dyDescent="0.25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</row>
    <row r="442" spans="1:26" x14ac:dyDescent="0.25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</row>
    <row r="443" spans="1:26" x14ac:dyDescent="0.25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</row>
    <row r="444" spans="1:26" x14ac:dyDescent="0.25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</row>
    <row r="445" spans="1:26" x14ac:dyDescent="0.25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</row>
    <row r="446" spans="1:26" x14ac:dyDescent="0.25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</row>
    <row r="447" spans="1:26" x14ac:dyDescent="0.25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</row>
    <row r="448" spans="1:26" x14ac:dyDescent="0.25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</row>
    <row r="449" spans="1:26" x14ac:dyDescent="0.25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</row>
    <row r="450" spans="1:26" x14ac:dyDescent="0.25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</row>
    <row r="451" spans="1:26" x14ac:dyDescent="0.25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</row>
    <row r="452" spans="1:26" x14ac:dyDescent="0.25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</row>
    <row r="453" spans="1:26" x14ac:dyDescent="0.25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</row>
    <row r="454" spans="1:26" x14ac:dyDescent="0.25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</row>
    <row r="455" spans="1:26" x14ac:dyDescent="0.25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</row>
    <row r="456" spans="1:26" x14ac:dyDescent="0.25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</row>
    <row r="457" spans="1:26" x14ac:dyDescent="0.25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</row>
    <row r="458" spans="1:26" x14ac:dyDescent="0.25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</row>
    <row r="459" spans="1:26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</row>
    <row r="460" spans="1:26" x14ac:dyDescent="0.25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</row>
    <row r="461" spans="1:26" x14ac:dyDescent="0.25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</row>
    <row r="462" spans="1:26" x14ac:dyDescent="0.25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</row>
    <row r="463" spans="1:26" x14ac:dyDescent="0.25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</row>
    <row r="464" spans="1:26" x14ac:dyDescent="0.25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</row>
    <row r="465" spans="1:26" x14ac:dyDescent="0.25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</row>
    <row r="466" spans="1:26" x14ac:dyDescent="0.25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</row>
    <row r="467" spans="1:26" x14ac:dyDescent="0.25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</row>
    <row r="468" spans="1:26" x14ac:dyDescent="0.25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</row>
    <row r="469" spans="1:26" x14ac:dyDescent="0.25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</row>
    <row r="470" spans="1:26" x14ac:dyDescent="0.25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</row>
    <row r="471" spans="1:26" x14ac:dyDescent="0.25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</row>
    <row r="472" spans="1:26" x14ac:dyDescent="0.25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</row>
    <row r="473" spans="1:26" x14ac:dyDescent="0.25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</row>
    <row r="474" spans="1:26" x14ac:dyDescent="0.25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</row>
    <row r="475" spans="1:26" x14ac:dyDescent="0.25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</row>
    <row r="476" spans="1:26" x14ac:dyDescent="0.25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</row>
    <row r="477" spans="1:26" x14ac:dyDescent="0.25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</row>
    <row r="478" spans="1:26" x14ac:dyDescent="0.25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</row>
    <row r="479" spans="1:26" x14ac:dyDescent="0.25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</row>
    <row r="480" spans="1:26" x14ac:dyDescent="0.25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</row>
    <row r="481" spans="1:26" x14ac:dyDescent="0.25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</row>
    <row r="482" spans="1:26" x14ac:dyDescent="0.25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</row>
    <row r="483" spans="1:26" x14ac:dyDescent="0.25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</row>
    <row r="484" spans="1:26" x14ac:dyDescent="0.25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</row>
    <row r="485" spans="1:26" x14ac:dyDescent="0.25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</row>
    <row r="486" spans="1:26" x14ac:dyDescent="0.25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</row>
    <row r="487" spans="1:26" x14ac:dyDescent="0.25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</row>
    <row r="488" spans="1:26" x14ac:dyDescent="0.25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</row>
    <row r="489" spans="1:26" x14ac:dyDescent="0.25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</row>
    <row r="490" spans="1:26" x14ac:dyDescent="0.25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</row>
    <row r="491" spans="1:26" x14ac:dyDescent="0.25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</row>
    <row r="492" spans="1:26" x14ac:dyDescent="0.25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</row>
    <row r="493" spans="1:26" x14ac:dyDescent="0.25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</row>
    <row r="494" spans="1:26" x14ac:dyDescent="0.25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</row>
    <row r="495" spans="1:26" x14ac:dyDescent="0.25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</row>
    <row r="496" spans="1:26" x14ac:dyDescent="0.25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</row>
    <row r="497" spans="1:26" x14ac:dyDescent="0.25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</row>
    <row r="498" spans="1:26" x14ac:dyDescent="0.25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</row>
    <row r="499" spans="1:26" x14ac:dyDescent="0.25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</row>
    <row r="500" spans="1:26" x14ac:dyDescent="0.25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</row>
    <row r="501" spans="1:26" x14ac:dyDescent="0.25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</row>
    <row r="502" spans="1:26" x14ac:dyDescent="0.25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</row>
    <row r="503" spans="1:26" x14ac:dyDescent="0.25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</row>
    <row r="504" spans="1:26" x14ac:dyDescent="0.25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</row>
    <row r="505" spans="1:26" x14ac:dyDescent="0.25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</row>
    <row r="506" spans="1:26" x14ac:dyDescent="0.25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</row>
    <row r="507" spans="1:26" x14ac:dyDescent="0.25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</row>
    <row r="508" spans="1:26" x14ac:dyDescent="0.25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</row>
    <row r="509" spans="1:26" x14ac:dyDescent="0.25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</row>
    <row r="510" spans="1:26" x14ac:dyDescent="0.25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</row>
    <row r="511" spans="1:26" x14ac:dyDescent="0.25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</row>
    <row r="512" spans="1:26" x14ac:dyDescent="0.25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</row>
    <row r="513" spans="1:26" x14ac:dyDescent="0.25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</row>
    <row r="514" spans="1:26" x14ac:dyDescent="0.25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</row>
    <row r="515" spans="1:26" x14ac:dyDescent="0.25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</row>
    <row r="516" spans="1:26" x14ac:dyDescent="0.25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</row>
    <row r="517" spans="1:26" x14ac:dyDescent="0.25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</row>
    <row r="518" spans="1:26" x14ac:dyDescent="0.25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</row>
    <row r="519" spans="1:26" x14ac:dyDescent="0.25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</row>
    <row r="520" spans="1:26" x14ac:dyDescent="0.25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</row>
    <row r="521" spans="1:26" x14ac:dyDescent="0.25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</row>
    <row r="522" spans="1:26" x14ac:dyDescent="0.25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</row>
    <row r="523" spans="1:26" x14ac:dyDescent="0.25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</row>
    <row r="524" spans="1:26" x14ac:dyDescent="0.25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</row>
    <row r="525" spans="1:26" x14ac:dyDescent="0.25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</row>
    <row r="526" spans="1:26" x14ac:dyDescent="0.25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</row>
    <row r="527" spans="1:26" x14ac:dyDescent="0.25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</row>
    <row r="528" spans="1:26" x14ac:dyDescent="0.25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</row>
    <row r="529" spans="1:26" x14ac:dyDescent="0.25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</row>
    <row r="530" spans="1:26" x14ac:dyDescent="0.25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</row>
    <row r="531" spans="1:26" x14ac:dyDescent="0.25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</row>
    <row r="532" spans="1:26" x14ac:dyDescent="0.25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</row>
    <row r="533" spans="1:26" x14ac:dyDescent="0.25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</row>
    <row r="534" spans="1:26" x14ac:dyDescent="0.25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</row>
    <row r="535" spans="1:26" x14ac:dyDescent="0.25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</row>
    <row r="536" spans="1:26" x14ac:dyDescent="0.25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</row>
    <row r="537" spans="1:26" x14ac:dyDescent="0.25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</row>
    <row r="538" spans="1:26" x14ac:dyDescent="0.25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</row>
    <row r="539" spans="1:26" x14ac:dyDescent="0.25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</row>
    <row r="540" spans="1:26" x14ac:dyDescent="0.25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</row>
    <row r="541" spans="1:26" x14ac:dyDescent="0.25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</row>
    <row r="542" spans="1:26" x14ac:dyDescent="0.25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</row>
    <row r="543" spans="1:26" x14ac:dyDescent="0.25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</row>
    <row r="544" spans="1:26" x14ac:dyDescent="0.25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</row>
    <row r="545" spans="1:26" x14ac:dyDescent="0.25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</row>
    <row r="546" spans="1:26" x14ac:dyDescent="0.25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</row>
    <row r="547" spans="1:26" x14ac:dyDescent="0.25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</row>
    <row r="548" spans="1:26" x14ac:dyDescent="0.25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</row>
    <row r="549" spans="1:26" x14ac:dyDescent="0.25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</row>
    <row r="550" spans="1:26" x14ac:dyDescent="0.25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</row>
    <row r="551" spans="1:26" x14ac:dyDescent="0.25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</row>
    <row r="552" spans="1:26" x14ac:dyDescent="0.25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</row>
    <row r="553" spans="1:26" x14ac:dyDescent="0.25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</row>
    <row r="554" spans="1:26" x14ac:dyDescent="0.25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</row>
    <row r="555" spans="1:26" x14ac:dyDescent="0.25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</row>
    <row r="556" spans="1:26" x14ac:dyDescent="0.25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</row>
    <row r="557" spans="1:26" x14ac:dyDescent="0.25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</row>
    <row r="558" spans="1:26" x14ac:dyDescent="0.25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</row>
    <row r="559" spans="1:26" x14ac:dyDescent="0.25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</row>
    <row r="560" spans="1:26" x14ac:dyDescent="0.25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</row>
    <row r="561" spans="1:26" x14ac:dyDescent="0.25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</row>
    <row r="562" spans="1:26" x14ac:dyDescent="0.25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</row>
    <row r="563" spans="1:26" x14ac:dyDescent="0.25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</row>
    <row r="564" spans="1:26" x14ac:dyDescent="0.25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</row>
    <row r="565" spans="1:26" x14ac:dyDescent="0.25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</row>
    <row r="566" spans="1:26" x14ac:dyDescent="0.25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</row>
    <row r="567" spans="1:26" x14ac:dyDescent="0.25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</row>
    <row r="568" spans="1:26" x14ac:dyDescent="0.25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</row>
    <row r="569" spans="1:26" x14ac:dyDescent="0.25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</row>
    <row r="570" spans="1:26" x14ac:dyDescent="0.25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</row>
    <row r="571" spans="1:26" x14ac:dyDescent="0.25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</row>
    <row r="572" spans="1:26" x14ac:dyDescent="0.25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</row>
    <row r="573" spans="1:26" x14ac:dyDescent="0.25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</row>
    <row r="574" spans="1:26" x14ac:dyDescent="0.25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</row>
    <row r="575" spans="1:26" x14ac:dyDescent="0.25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</row>
    <row r="576" spans="1:26" x14ac:dyDescent="0.25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</row>
    <row r="577" spans="1:26" x14ac:dyDescent="0.25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</row>
    <row r="578" spans="1:26" x14ac:dyDescent="0.25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</row>
    <row r="579" spans="1:26" x14ac:dyDescent="0.25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</row>
    <row r="580" spans="1:26" x14ac:dyDescent="0.25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</row>
    <row r="581" spans="1:26" x14ac:dyDescent="0.25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</row>
    <row r="582" spans="1:26" x14ac:dyDescent="0.25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</row>
    <row r="583" spans="1:26" x14ac:dyDescent="0.25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</row>
    <row r="584" spans="1:26" x14ac:dyDescent="0.25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</row>
    <row r="585" spans="1:26" x14ac:dyDescent="0.25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</row>
    <row r="586" spans="1:26" x14ac:dyDescent="0.25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</row>
    <row r="587" spans="1:26" x14ac:dyDescent="0.25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</row>
    <row r="588" spans="1:26" x14ac:dyDescent="0.25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</row>
    <row r="589" spans="1:26" x14ac:dyDescent="0.25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</row>
    <row r="590" spans="1:26" x14ac:dyDescent="0.25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</row>
    <row r="591" spans="1:26" x14ac:dyDescent="0.25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</row>
    <row r="592" spans="1:26" x14ac:dyDescent="0.25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</row>
    <row r="593" spans="1:26" x14ac:dyDescent="0.25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</row>
    <row r="594" spans="1:26" x14ac:dyDescent="0.25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</row>
    <row r="595" spans="1:26" x14ac:dyDescent="0.25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</row>
    <row r="596" spans="1:26" x14ac:dyDescent="0.25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</row>
    <row r="597" spans="1:26" x14ac:dyDescent="0.25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</row>
    <row r="598" spans="1:26" x14ac:dyDescent="0.25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</row>
    <row r="599" spans="1:26" x14ac:dyDescent="0.25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</row>
    <row r="600" spans="1:26" x14ac:dyDescent="0.25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workbookViewId="0"/>
  </sheetViews>
  <sheetFormatPr defaultRowHeight="12.75" x14ac:dyDescent="0.2"/>
  <cols>
    <col min="1" max="1" width="11.42578125" style="5" customWidth="1"/>
    <col min="2" max="2" width="42.85546875" style="132" customWidth="1"/>
    <col min="3" max="3" width="5.140625" style="132" customWidth="1"/>
    <col min="4" max="26" width="5.140625" customWidth="1"/>
    <col min="27" max="27" width="5.140625" style="132" customWidth="1"/>
    <col min="28" max="28" width="5.140625" customWidth="1"/>
    <col min="29" max="31" width="5.140625" style="132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216</v>
      </c>
    </row>
    <row r="3" spans="1:28" x14ac:dyDescent="0.2">
      <c r="A3"/>
      <c r="B3"/>
      <c r="C3"/>
    </row>
    <row r="4" spans="1:28" ht="18.75" thickBot="1" x14ac:dyDescent="0.3">
      <c r="B4" s="133" t="s">
        <v>323</v>
      </c>
    </row>
    <row r="5" spans="1:28" ht="65.25" x14ac:dyDescent="0.25">
      <c r="A5" s="134"/>
      <c r="B5" s="135" t="s">
        <v>294</v>
      </c>
      <c r="C5" s="136" t="s">
        <v>4</v>
      </c>
      <c r="D5" s="137" t="s">
        <v>94</v>
      </c>
      <c r="E5" s="137" t="s">
        <v>253</v>
      </c>
      <c r="F5" s="137" t="s">
        <v>18</v>
      </c>
      <c r="G5" s="137" t="s">
        <v>85</v>
      </c>
      <c r="H5" s="137" t="s">
        <v>12</v>
      </c>
      <c r="I5" s="137" t="s">
        <v>39</v>
      </c>
      <c r="J5" s="137" t="s">
        <v>90</v>
      </c>
      <c r="K5" s="137" t="s">
        <v>30</v>
      </c>
      <c r="L5" s="137" t="s">
        <v>92</v>
      </c>
      <c r="M5" s="137" t="s">
        <v>91</v>
      </c>
      <c r="N5" s="137" t="s">
        <v>255</v>
      </c>
      <c r="O5" s="137" t="s">
        <v>162</v>
      </c>
      <c r="P5" s="137" t="s">
        <v>23</v>
      </c>
      <c r="Q5" s="137" t="s">
        <v>303</v>
      </c>
      <c r="R5" s="137" t="s">
        <v>101</v>
      </c>
      <c r="S5" s="137" t="s">
        <v>95</v>
      </c>
      <c r="T5" s="137" t="s">
        <v>41</v>
      </c>
      <c r="U5" s="137" t="s">
        <v>96</v>
      </c>
      <c r="V5" s="137" t="s">
        <v>48</v>
      </c>
      <c r="W5" s="137" t="s">
        <v>248</v>
      </c>
      <c r="X5" s="137" t="s">
        <v>44</v>
      </c>
      <c r="Y5" s="137" t="s">
        <v>7</v>
      </c>
      <c r="Z5" s="137" t="s">
        <v>20</v>
      </c>
      <c r="AA5" s="136" t="s">
        <v>117</v>
      </c>
      <c r="AB5" s="176" t="s">
        <v>207</v>
      </c>
    </row>
    <row r="6" spans="1:28" x14ac:dyDescent="0.2">
      <c r="A6" s="138" t="s">
        <v>6</v>
      </c>
      <c r="B6" s="139" t="s">
        <v>336</v>
      </c>
      <c r="C6" s="139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139">
        <v>4</v>
      </c>
      <c r="AB6" s="177">
        <v>0</v>
      </c>
    </row>
    <row r="7" spans="1:28" x14ac:dyDescent="0.2">
      <c r="A7" s="138" t="s">
        <v>8</v>
      </c>
      <c r="B7" s="139" t="s">
        <v>337</v>
      </c>
      <c r="C7" s="139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139">
        <v>2</v>
      </c>
      <c r="AB7" s="177">
        <v>0</v>
      </c>
    </row>
    <row r="8" spans="1:28" x14ac:dyDescent="0.2">
      <c r="A8" s="138"/>
      <c r="B8" s="139" t="s">
        <v>338</v>
      </c>
      <c r="C8" s="139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139">
        <v>2</v>
      </c>
      <c r="AB8" s="177">
        <v>0</v>
      </c>
    </row>
    <row r="9" spans="1:28" x14ac:dyDescent="0.2">
      <c r="A9" s="138" t="s">
        <v>9</v>
      </c>
      <c r="B9" s="139" t="s">
        <v>348</v>
      </c>
      <c r="C9" s="139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139">
        <v>9</v>
      </c>
      <c r="AB9" s="177">
        <v>0</v>
      </c>
    </row>
    <row r="10" spans="1:28" x14ac:dyDescent="0.2">
      <c r="A10" s="138" t="s">
        <v>10</v>
      </c>
      <c r="B10" s="139" t="s">
        <v>339</v>
      </c>
      <c r="C10" s="139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139">
        <v>2</v>
      </c>
      <c r="AB10" s="177">
        <v>0</v>
      </c>
    </row>
    <row r="11" spans="1:28" x14ac:dyDescent="0.2">
      <c r="A11" s="138"/>
      <c r="B11" s="139" t="s">
        <v>356</v>
      </c>
      <c r="C11" s="139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139"/>
      <c r="AB11" s="177">
        <v>0</v>
      </c>
    </row>
    <row r="12" spans="1:28" x14ac:dyDescent="0.2">
      <c r="A12" s="138" t="s">
        <v>11</v>
      </c>
      <c r="B12" s="139" t="s">
        <v>340</v>
      </c>
      <c r="C12" s="139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139"/>
      <c r="AB12" s="177">
        <v>0</v>
      </c>
    </row>
    <row r="13" spans="1:28" x14ac:dyDescent="0.2">
      <c r="A13" s="138" t="s">
        <v>13</v>
      </c>
      <c r="B13" s="139" t="s">
        <v>341</v>
      </c>
      <c r="C13" s="139">
        <v>6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139"/>
      <c r="AB13" s="177">
        <v>-6</v>
      </c>
    </row>
    <row r="14" spans="1:28" x14ac:dyDescent="0.2">
      <c r="A14" s="138" t="s">
        <v>14</v>
      </c>
      <c r="B14" s="139" t="s">
        <v>15</v>
      </c>
      <c r="C14" s="139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139"/>
      <c r="AB14" s="177">
        <v>0</v>
      </c>
    </row>
    <row r="15" spans="1:28" x14ac:dyDescent="0.2">
      <c r="A15" s="138" t="s">
        <v>16</v>
      </c>
      <c r="B15" s="139" t="s">
        <v>17</v>
      </c>
      <c r="C15" s="139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139"/>
      <c r="AB15" s="177">
        <v>0</v>
      </c>
    </row>
    <row r="16" spans="1:28" x14ac:dyDescent="0.2">
      <c r="A16" s="138" t="s">
        <v>244</v>
      </c>
      <c r="B16" s="139" t="s">
        <v>245</v>
      </c>
      <c r="C16" s="139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139">
        <v>8</v>
      </c>
      <c r="AB16" s="177">
        <v>0</v>
      </c>
    </row>
    <row r="17" spans="1:28" x14ac:dyDescent="0.2">
      <c r="A17" s="138" t="s">
        <v>19</v>
      </c>
      <c r="B17" s="139" t="s">
        <v>357</v>
      </c>
      <c r="C17" s="139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139">
        <v>10</v>
      </c>
      <c r="AB17" s="177">
        <v>0</v>
      </c>
    </row>
    <row r="18" spans="1:28" x14ac:dyDescent="0.2">
      <c r="A18" s="138" t="s">
        <v>21</v>
      </c>
      <c r="B18" s="139" t="s">
        <v>22</v>
      </c>
      <c r="C18" s="139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139"/>
      <c r="AB18" s="177">
        <v>0</v>
      </c>
    </row>
    <row r="19" spans="1:28" x14ac:dyDescent="0.2">
      <c r="A19" s="138" t="s">
        <v>24</v>
      </c>
      <c r="B19" s="139" t="s">
        <v>25</v>
      </c>
      <c r="C19" s="139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139"/>
      <c r="AB19" s="177">
        <v>0</v>
      </c>
    </row>
    <row r="20" spans="1:28" x14ac:dyDescent="0.2">
      <c r="A20" s="138" t="s">
        <v>26</v>
      </c>
      <c r="B20" s="139" t="s">
        <v>27</v>
      </c>
      <c r="C20" s="139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139">
        <v>12</v>
      </c>
      <c r="AB20" s="177">
        <v>0</v>
      </c>
    </row>
    <row r="21" spans="1:28" x14ac:dyDescent="0.2">
      <c r="A21" s="138" t="s">
        <v>28</v>
      </c>
      <c r="B21" s="139" t="s">
        <v>342</v>
      </c>
      <c r="C21" s="139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139">
        <v>4</v>
      </c>
      <c r="AB21" s="177">
        <v>0</v>
      </c>
    </row>
    <row r="22" spans="1:28" x14ac:dyDescent="0.2">
      <c r="A22" s="138" t="s">
        <v>31</v>
      </c>
      <c r="B22" s="139" t="s">
        <v>32</v>
      </c>
      <c r="C22" s="139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139">
        <v>12</v>
      </c>
      <c r="AB22" s="177">
        <v>0</v>
      </c>
    </row>
    <row r="23" spans="1:28" x14ac:dyDescent="0.2">
      <c r="A23" s="138" t="s">
        <v>33</v>
      </c>
      <c r="B23" s="139" t="s">
        <v>34</v>
      </c>
      <c r="C23" s="139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139"/>
      <c r="AB23" s="177">
        <v>0</v>
      </c>
    </row>
    <row r="24" spans="1:28" x14ac:dyDescent="0.2">
      <c r="A24" s="138" t="s">
        <v>35</v>
      </c>
      <c r="B24" s="139" t="s">
        <v>36</v>
      </c>
      <c r="C24" s="13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139"/>
      <c r="AB24" s="177">
        <v>0</v>
      </c>
    </row>
    <row r="25" spans="1:28" x14ac:dyDescent="0.2">
      <c r="A25" s="138" t="s">
        <v>37</v>
      </c>
      <c r="B25" s="139" t="s">
        <v>38</v>
      </c>
      <c r="C25" s="139">
        <v>21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21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139">
        <v>21</v>
      </c>
      <c r="AB25" s="177">
        <v>0</v>
      </c>
    </row>
    <row r="26" spans="1:28" x14ac:dyDescent="0.2">
      <c r="A26" s="138" t="s">
        <v>40</v>
      </c>
      <c r="B26" s="139" t="s">
        <v>343</v>
      </c>
      <c r="C26" s="139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139">
        <v>6</v>
      </c>
      <c r="AB26" s="177">
        <v>0</v>
      </c>
    </row>
    <row r="27" spans="1:28" x14ac:dyDescent="0.2">
      <c r="A27" s="138" t="s">
        <v>42</v>
      </c>
      <c r="B27" s="139" t="s">
        <v>43</v>
      </c>
      <c r="C27" s="139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139">
        <v>4</v>
      </c>
      <c r="AB27" s="177">
        <v>0</v>
      </c>
    </row>
    <row r="28" spans="1:28" x14ac:dyDescent="0.2">
      <c r="A28" s="138" t="s">
        <v>45</v>
      </c>
      <c r="B28" s="139" t="s">
        <v>243</v>
      </c>
      <c r="C28" s="139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139"/>
      <c r="AB28" s="177">
        <v>0</v>
      </c>
    </row>
    <row r="29" spans="1:28" x14ac:dyDescent="0.2">
      <c r="A29" s="138" t="s">
        <v>247</v>
      </c>
      <c r="B29" s="139" t="s">
        <v>358</v>
      </c>
      <c r="C29" s="139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139">
        <v>5</v>
      </c>
      <c r="AB29" s="177">
        <v>0</v>
      </c>
    </row>
    <row r="30" spans="1:28" x14ac:dyDescent="0.2">
      <c r="A30" s="138"/>
      <c r="B30" s="139" t="s">
        <v>359</v>
      </c>
      <c r="C30" s="139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139">
        <v>1</v>
      </c>
      <c r="AB30" s="177">
        <v>0</v>
      </c>
    </row>
    <row r="31" spans="1:28" x14ac:dyDescent="0.2">
      <c r="A31" s="138" t="s">
        <v>46</v>
      </c>
      <c r="B31" s="139" t="s">
        <v>47</v>
      </c>
      <c r="C31" s="139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139">
        <v>1</v>
      </c>
      <c r="AB31" s="177">
        <v>0</v>
      </c>
    </row>
    <row r="32" spans="1:28" x14ac:dyDescent="0.2">
      <c r="A32" s="138" t="s">
        <v>49</v>
      </c>
      <c r="B32" s="139" t="s">
        <v>50</v>
      </c>
      <c r="C32" s="139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139">
        <v>12</v>
      </c>
      <c r="AB32" s="177">
        <v>0</v>
      </c>
    </row>
    <row r="33" spans="1:28" x14ac:dyDescent="0.2">
      <c r="A33" s="138" t="s">
        <v>51</v>
      </c>
      <c r="B33" s="139" t="s">
        <v>344</v>
      </c>
      <c r="C33" s="139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139">
        <v>1</v>
      </c>
      <c r="AB33" s="177">
        <v>0</v>
      </c>
    </row>
    <row r="34" spans="1:28" x14ac:dyDescent="0.2">
      <c r="A34" s="138" t="s">
        <v>52</v>
      </c>
      <c r="B34" s="139" t="s">
        <v>53</v>
      </c>
      <c r="C34" s="139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139">
        <v>2</v>
      </c>
      <c r="AB34" s="177">
        <v>0</v>
      </c>
    </row>
    <row r="35" spans="1:28" x14ac:dyDescent="0.2">
      <c r="A35" s="138" t="s">
        <v>54</v>
      </c>
      <c r="B35" s="139" t="s">
        <v>345</v>
      </c>
      <c r="C35" s="139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139">
        <v>2</v>
      </c>
      <c r="AB35" s="177">
        <v>0</v>
      </c>
    </row>
    <row r="36" spans="1:28" x14ac:dyDescent="0.2">
      <c r="A36" s="138" t="s">
        <v>55</v>
      </c>
      <c r="B36" s="139" t="s">
        <v>355</v>
      </c>
      <c r="C36" s="139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139">
        <v>2</v>
      </c>
      <c r="AB36" s="177">
        <v>0</v>
      </c>
    </row>
    <row r="37" spans="1:28" x14ac:dyDescent="0.2">
      <c r="A37" s="138" t="s">
        <v>59</v>
      </c>
      <c r="B37" s="139" t="s">
        <v>346</v>
      </c>
      <c r="C37" s="139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139">
        <v>11</v>
      </c>
      <c r="AB37" s="177">
        <v>0</v>
      </c>
    </row>
    <row r="38" spans="1:28" x14ac:dyDescent="0.2">
      <c r="A38" s="138" t="s">
        <v>79</v>
      </c>
      <c r="B38" s="139" t="s">
        <v>204</v>
      </c>
      <c r="C38" s="139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139"/>
      <c r="AB38" s="177">
        <v>0</v>
      </c>
    </row>
    <row r="39" spans="1:28" x14ac:dyDescent="0.2">
      <c r="A39" s="138" t="s">
        <v>226</v>
      </c>
      <c r="B39" s="139" t="s">
        <v>227</v>
      </c>
      <c r="C39" s="139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139">
        <v>1</v>
      </c>
      <c r="AB39" s="177">
        <v>0</v>
      </c>
    </row>
    <row r="40" spans="1:28" x14ac:dyDescent="0.2">
      <c r="A40" s="138" t="s">
        <v>228</v>
      </c>
      <c r="B40" s="139" t="s">
        <v>229</v>
      </c>
      <c r="C40" s="139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139">
        <v>1</v>
      </c>
      <c r="AB40" s="177">
        <v>0</v>
      </c>
    </row>
    <row r="41" spans="1:28" x14ac:dyDescent="0.2">
      <c r="A41" s="138"/>
      <c r="B41" s="139"/>
      <c r="C41" s="139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139"/>
      <c r="AB41" s="177"/>
    </row>
    <row r="42" spans="1:28" ht="13.5" thickBot="1" x14ac:dyDescent="0.25">
      <c r="A42" s="140"/>
      <c r="B42" s="141" t="s">
        <v>324</v>
      </c>
      <c r="C42" s="142">
        <v>141</v>
      </c>
      <c r="D42" s="104">
        <v>0</v>
      </c>
      <c r="E42" s="104">
        <v>0</v>
      </c>
      <c r="F42" s="104">
        <v>8</v>
      </c>
      <c r="G42" s="104">
        <v>0</v>
      </c>
      <c r="H42" s="104">
        <v>0</v>
      </c>
      <c r="I42" s="104">
        <v>16</v>
      </c>
      <c r="J42" s="104">
        <v>0</v>
      </c>
      <c r="K42" s="104">
        <v>23</v>
      </c>
      <c r="L42" s="104">
        <v>16</v>
      </c>
      <c r="M42" s="104">
        <v>2</v>
      </c>
      <c r="N42" s="104">
        <v>22</v>
      </c>
      <c r="O42" s="104">
        <v>8</v>
      </c>
      <c r="P42" s="104">
        <v>0</v>
      </c>
      <c r="Q42" s="104">
        <v>9</v>
      </c>
      <c r="R42" s="104">
        <v>0</v>
      </c>
      <c r="S42" s="104">
        <v>1</v>
      </c>
      <c r="T42" s="104">
        <v>4</v>
      </c>
      <c r="U42" s="104">
        <v>2</v>
      </c>
      <c r="V42" s="104">
        <v>1</v>
      </c>
      <c r="W42" s="104">
        <v>4</v>
      </c>
      <c r="X42" s="104">
        <v>0</v>
      </c>
      <c r="Y42" s="104">
        <v>18</v>
      </c>
      <c r="Z42" s="104">
        <v>1</v>
      </c>
      <c r="AA42" s="142">
        <v>135</v>
      </c>
      <c r="AB42" s="178">
        <v>-6</v>
      </c>
    </row>
    <row r="46" spans="1:28" ht="18.75" thickBot="1" x14ac:dyDescent="0.3">
      <c r="B46" s="133" t="s">
        <v>325</v>
      </c>
    </row>
    <row r="47" spans="1:28" ht="65.25" x14ac:dyDescent="0.25">
      <c r="A47" s="134"/>
      <c r="B47" s="135" t="s">
        <v>294</v>
      </c>
      <c r="C47" s="136" t="s">
        <v>4</v>
      </c>
      <c r="D47" s="137" t="s">
        <v>94</v>
      </c>
      <c r="E47" s="137" t="s">
        <v>253</v>
      </c>
      <c r="F47" s="137" t="s">
        <v>18</v>
      </c>
      <c r="G47" s="137" t="s">
        <v>85</v>
      </c>
      <c r="H47" s="137" t="s">
        <v>12</v>
      </c>
      <c r="I47" s="137" t="s">
        <v>39</v>
      </c>
      <c r="J47" s="137" t="s">
        <v>90</v>
      </c>
      <c r="K47" s="137" t="s">
        <v>30</v>
      </c>
      <c r="L47" s="137" t="s">
        <v>92</v>
      </c>
      <c r="M47" s="137" t="s">
        <v>91</v>
      </c>
      <c r="N47" s="137" t="s">
        <v>255</v>
      </c>
      <c r="O47" s="137" t="s">
        <v>162</v>
      </c>
      <c r="P47" s="137" t="s">
        <v>23</v>
      </c>
      <c r="Q47" s="137" t="s">
        <v>303</v>
      </c>
      <c r="R47" s="137" t="s">
        <v>101</v>
      </c>
      <c r="S47" s="137" t="s">
        <v>95</v>
      </c>
      <c r="T47" s="137" t="s">
        <v>41</v>
      </c>
      <c r="U47" s="137" t="s">
        <v>96</v>
      </c>
      <c r="V47" s="137" t="s">
        <v>48</v>
      </c>
      <c r="W47" s="137" t="s">
        <v>248</v>
      </c>
      <c r="X47" s="137" t="s">
        <v>44</v>
      </c>
      <c r="Y47" s="137" t="s">
        <v>7</v>
      </c>
      <c r="Z47" s="137" t="s">
        <v>20</v>
      </c>
      <c r="AA47" s="136" t="s">
        <v>117</v>
      </c>
      <c r="AB47" s="176" t="s">
        <v>207</v>
      </c>
    </row>
    <row r="48" spans="1:28" x14ac:dyDescent="0.2">
      <c r="A48" s="138" t="s">
        <v>56</v>
      </c>
      <c r="B48" s="139" t="s">
        <v>105</v>
      </c>
      <c r="C48" s="139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139">
        <v>0</v>
      </c>
      <c r="AB48" s="177">
        <v>0</v>
      </c>
    </row>
    <row r="49" spans="1:28" x14ac:dyDescent="0.2">
      <c r="A49" s="138" t="s">
        <v>57</v>
      </c>
      <c r="B49" s="139" t="s">
        <v>183</v>
      </c>
      <c r="C49" s="139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139">
        <v>0</v>
      </c>
      <c r="AB49" s="177">
        <v>0</v>
      </c>
    </row>
    <row r="50" spans="1:28" x14ac:dyDescent="0.2">
      <c r="A50" s="138" t="s">
        <v>58</v>
      </c>
      <c r="B50" s="139" t="s">
        <v>176</v>
      </c>
      <c r="C50" s="139">
        <v>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10</v>
      </c>
      <c r="U50" s="21"/>
      <c r="V50" s="21"/>
      <c r="W50" s="21"/>
      <c r="X50" s="21"/>
      <c r="Y50" s="21"/>
      <c r="Z50" s="21"/>
      <c r="AA50" s="139">
        <v>10</v>
      </c>
      <c r="AB50" s="177">
        <v>5</v>
      </c>
    </row>
    <row r="51" spans="1:28" x14ac:dyDescent="0.2">
      <c r="A51" s="138" t="s">
        <v>61</v>
      </c>
      <c r="B51" s="139" t="s">
        <v>364</v>
      </c>
      <c r="C51" s="139">
        <v>24</v>
      </c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139">
        <v>0</v>
      </c>
      <c r="AB51" s="177">
        <v>-24</v>
      </c>
    </row>
    <row r="52" spans="1:28" x14ac:dyDescent="0.2">
      <c r="A52" s="138" t="s">
        <v>365</v>
      </c>
      <c r="B52" s="139" t="s">
        <v>363</v>
      </c>
      <c r="C52" s="139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139">
        <v>0</v>
      </c>
      <c r="AB52" s="177">
        <v>0</v>
      </c>
    </row>
    <row r="53" spans="1:28" x14ac:dyDescent="0.2">
      <c r="A53" s="138" t="s">
        <v>275</v>
      </c>
      <c r="B53" s="139" t="s">
        <v>362</v>
      </c>
      <c r="C53" s="139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139">
        <v>0</v>
      </c>
      <c r="AB53" s="177">
        <v>-2</v>
      </c>
    </row>
    <row r="54" spans="1:28" x14ac:dyDescent="0.2">
      <c r="A54" s="138" t="s">
        <v>119</v>
      </c>
      <c r="B54" s="139" t="s">
        <v>192</v>
      </c>
      <c r="C54" s="139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139">
        <v>3</v>
      </c>
      <c r="AB54" s="177">
        <v>0</v>
      </c>
    </row>
    <row r="55" spans="1:28" x14ac:dyDescent="0.2">
      <c r="A55" s="138" t="s">
        <v>118</v>
      </c>
      <c r="B55" s="139" t="s">
        <v>193</v>
      </c>
      <c r="C55" s="139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139">
        <v>1</v>
      </c>
      <c r="AB55" s="177">
        <v>0</v>
      </c>
    </row>
    <row r="56" spans="1:28" x14ac:dyDescent="0.2">
      <c r="A56" s="138" t="s">
        <v>120</v>
      </c>
      <c r="B56" s="139" t="s">
        <v>194</v>
      </c>
      <c r="C56" s="139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139">
        <v>3</v>
      </c>
      <c r="AB56" s="177">
        <v>0</v>
      </c>
    </row>
    <row r="57" spans="1:28" x14ac:dyDescent="0.2">
      <c r="A57" s="138" t="s">
        <v>121</v>
      </c>
      <c r="B57" s="139" t="s">
        <v>195</v>
      </c>
      <c r="C57" s="139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139">
        <v>1</v>
      </c>
      <c r="AB57" s="177">
        <v>0</v>
      </c>
    </row>
    <row r="58" spans="1:28" x14ac:dyDescent="0.2">
      <c r="A58" s="138" t="s">
        <v>146</v>
      </c>
      <c r="B58" s="139" t="s">
        <v>258</v>
      </c>
      <c r="C58" s="139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139">
        <v>7</v>
      </c>
      <c r="AB58" s="177">
        <v>0</v>
      </c>
    </row>
    <row r="59" spans="1:28" x14ac:dyDescent="0.2">
      <c r="A59" s="138" t="s">
        <v>147</v>
      </c>
      <c r="B59" s="139" t="s">
        <v>266</v>
      </c>
      <c r="C59" s="139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139">
        <v>6</v>
      </c>
      <c r="AB59" s="177">
        <v>0</v>
      </c>
    </row>
    <row r="60" spans="1:28" x14ac:dyDescent="0.2">
      <c r="A60" s="138" t="s">
        <v>62</v>
      </c>
      <c r="B60" s="139" t="s">
        <v>104</v>
      </c>
      <c r="C60" s="139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139">
        <v>7</v>
      </c>
      <c r="AB60" s="177">
        <v>0</v>
      </c>
    </row>
    <row r="61" spans="1:28" x14ac:dyDescent="0.2">
      <c r="A61" s="138" t="s">
        <v>63</v>
      </c>
      <c r="B61" s="139" t="s">
        <v>116</v>
      </c>
      <c r="C61" s="139">
        <v>10</v>
      </c>
      <c r="D61" s="21"/>
      <c r="E61" s="21"/>
      <c r="F61" s="21"/>
      <c r="G61" s="21">
        <v>1</v>
      </c>
      <c r="H61" s="21"/>
      <c r="I61" s="21"/>
      <c r="J61" s="21"/>
      <c r="K61" s="21"/>
      <c r="L61" s="21"/>
      <c r="M61" s="21">
        <v>3</v>
      </c>
      <c r="N61" s="21">
        <v>2</v>
      </c>
      <c r="O61" s="21">
        <v>1</v>
      </c>
      <c r="P61" s="21"/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139">
        <v>10</v>
      </c>
      <c r="AB61" s="177">
        <v>0</v>
      </c>
    </row>
    <row r="62" spans="1:28" x14ac:dyDescent="0.2">
      <c r="A62" s="138" t="s">
        <v>64</v>
      </c>
      <c r="B62" s="139" t="s">
        <v>125</v>
      </c>
      <c r="C62" s="139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139">
        <v>7</v>
      </c>
      <c r="AB62" s="177">
        <v>0</v>
      </c>
    </row>
    <row r="63" spans="1:28" x14ac:dyDescent="0.2">
      <c r="A63" s="138" t="s">
        <v>65</v>
      </c>
      <c r="B63" s="139" t="s">
        <v>182</v>
      </c>
      <c r="C63" s="139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139">
        <v>9</v>
      </c>
      <c r="AB63" s="177">
        <v>0</v>
      </c>
    </row>
    <row r="64" spans="1:28" x14ac:dyDescent="0.2">
      <c r="A64" s="138" t="s">
        <v>66</v>
      </c>
      <c r="B64" s="139" t="s">
        <v>184</v>
      </c>
      <c r="C64" s="139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139">
        <v>10</v>
      </c>
      <c r="AB64" s="177">
        <v>0</v>
      </c>
    </row>
    <row r="65" spans="1:28" x14ac:dyDescent="0.2">
      <c r="A65" s="138" t="s">
        <v>67</v>
      </c>
      <c r="B65" s="139" t="s">
        <v>185</v>
      </c>
      <c r="C65" s="139">
        <v>7</v>
      </c>
      <c r="D65" s="21">
        <v>1</v>
      </c>
      <c r="E65" s="21"/>
      <c r="F65" s="21"/>
      <c r="G65" s="21"/>
      <c r="H65" s="21"/>
      <c r="I65" s="21">
        <v>1</v>
      </c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139">
        <v>7</v>
      </c>
      <c r="AB65" s="177">
        <v>0</v>
      </c>
    </row>
    <row r="66" spans="1:28" x14ac:dyDescent="0.2">
      <c r="A66" s="138" t="s">
        <v>68</v>
      </c>
      <c r="B66" s="139" t="s">
        <v>259</v>
      </c>
      <c r="C66" s="139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>
        <v>1</v>
      </c>
      <c r="P66" s="21"/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139">
        <v>22</v>
      </c>
      <c r="AB66" s="177">
        <v>0</v>
      </c>
    </row>
    <row r="67" spans="1:28" x14ac:dyDescent="0.2">
      <c r="A67" s="138" t="s">
        <v>68</v>
      </c>
      <c r="B67" s="139" t="s">
        <v>260</v>
      </c>
      <c r="C67" s="139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139">
        <v>14</v>
      </c>
      <c r="AB67" s="177">
        <v>0</v>
      </c>
    </row>
    <row r="68" spans="1:28" x14ac:dyDescent="0.2">
      <c r="A68" s="138" t="s">
        <v>263</v>
      </c>
      <c r="B68" s="139" t="s">
        <v>261</v>
      </c>
      <c r="C68" s="139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139">
        <v>22</v>
      </c>
      <c r="AB68" s="177">
        <v>0</v>
      </c>
    </row>
    <row r="69" spans="1:28" x14ac:dyDescent="0.2">
      <c r="A69" s="138" t="s">
        <v>263</v>
      </c>
      <c r="B69" s="139" t="s">
        <v>262</v>
      </c>
      <c r="C69" s="139">
        <v>14</v>
      </c>
      <c r="D69" s="21">
        <v>2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>
        <v>1</v>
      </c>
      <c r="V69" s="21">
        <v>2</v>
      </c>
      <c r="W69" s="21">
        <v>1</v>
      </c>
      <c r="X69" s="21"/>
      <c r="Y69" s="21"/>
      <c r="Z69" s="21"/>
      <c r="AA69" s="139">
        <v>14</v>
      </c>
      <c r="AB69" s="177">
        <v>0</v>
      </c>
    </row>
    <row r="70" spans="1:28" x14ac:dyDescent="0.2">
      <c r="A70" s="138" t="s">
        <v>69</v>
      </c>
      <c r="B70" s="139" t="s">
        <v>186</v>
      </c>
      <c r="C70" s="139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139">
        <v>7</v>
      </c>
      <c r="AB70" s="177">
        <v>0</v>
      </c>
    </row>
    <row r="71" spans="1:28" x14ac:dyDescent="0.2">
      <c r="A71" s="138" t="s">
        <v>69</v>
      </c>
      <c r="B71" s="139" t="s">
        <v>187</v>
      </c>
      <c r="C71" s="139">
        <v>6</v>
      </c>
      <c r="D71" s="21">
        <v>1</v>
      </c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139">
        <v>6</v>
      </c>
      <c r="AB71" s="177">
        <v>0</v>
      </c>
    </row>
    <row r="72" spans="1:28" x14ac:dyDescent="0.2">
      <c r="A72" s="138" t="s">
        <v>203</v>
      </c>
      <c r="B72" s="139" t="s">
        <v>361</v>
      </c>
      <c r="C72" s="139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139">
        <v>7</v>
      </c>
      <c r="AB72" s="177">
        <v>0</v>
      </c>
    </row>
    <row r="73" spans="1:28" x14ac:dyDescent="0.2">
      <c r="A73" s="138" t="s">
        <v>136</v>
      </c>
      <c r="B73" s="139" t="s">
        <v>360</v>
      </c>
      <c r="C73" s="139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139">
        <v>5</v>
      </c>
      <c r="AB73" s="177">
        <v>0</v>
      </c>
    </row>
    <row r="74" spans="1:28" x14ac:dyDescent="0.2">
      <c r="A74" s="138" t="s">
        <v>70</v>
      </c>
      <c r="B74" s="139" t="s">
        <v>191</v>
      </c>
      <c r="C74" s="139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139">
        <v>7</v>
      </c>
      <c r="AB74" s="177">
        <v>0</v>
      </c>
    </row>
    <row r="75" spans="1:28" x14ac:dyDescent="0.2">
      <c r="A75" s="138" t="s">
        <v>70</v>
      </c>
      <c r="B75" s="139" t="s">
        <v>190</v>
      </c>
      <c r="C75" s="139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>
        <v>1</v>
      </c>
      <c r="P75" s="21"/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139">
        <v>6</v>
      </c>
      <c r="AB75" s="177">
        <v>0</v>
      </c>
    </row>
    <row r="76" spans="1:28" x14ac:dyDescent="0.2">
      <c r="A76" s="138" t="s">
        <v>290</v>
      </c>
      <c r="B76" s="139" t="s">
        <v>292</v>
      </c>
      <c r="C76" s="139">
        <v>7</v>
      </c>
      <c r="D76" s="21"/>
      <c r="E76" s="21"/>
      <c r="F76" s="21"/>
      <c r="G76" s="21"/>
      <c r="H76" s="21"/>
      <c r="I76" s="21">
        <v>1</v>
      </c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139">
        <v>7</v>
      </c>
      <c r="AB76" s="177">
        <v>0</v>
      </c>
    </row>
    <row r="77" spans="1:28" x14ac:dyDescent="0.2">
      <c r="A77" s="138" t="s">
        <v>291</v>
      </c>
      <c r="B77" s="139" t="s">
        <v>293</v>
      </c>
      <c r="C77" s="139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139">
        <v>6</v>
      </c>
      <c r="AB77" s="177">
        <v>0</v>
      </c>
    </row>
    <row r="78" spans="1:28" x14ac:dyDescent="0.2">
      <c r="A78" s="138" t="s">
        <v>122</v>
      </c>
      <c r="B78" s="139" t="s">
        <v>188</v>
      </c>
      <c r="C78" s="139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139">
        <v>3</v>
      </c>
      <c r="AB78" s="177">
        <v>0</v>
      </c>
    </row>
    <row r="79" spans="1:28" x14ac:dyDescent="0.2">
      <c r="A79" s="138" t="s">
        <v>123</v>
      </c>
      <c r="B79" s="139" t="s">
        <v>189</v>
      </c>
      <c r="C79" s="139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139">
        <v>1</v>
      </c>
      <c r="AB79" s="177">
        <v>0</v>
      </c>
    </row>
    <row r="80" spans="1:28" x14ac:dyDescent="0.2">
      <c r="A80" s="138" t="s">
        <v>277</v>
      </c>
      <c r="B80" s="139" t="s">
        <v>278</v>
      </c>
      <c r="C80" s="139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139">
        <v>9</v>
      </c>
      <c r="AB80" s="177">
        <v>0</v>
      </c>
    </row>
    <row r="81" spans="1:28" x14ac:dyDescent="0.2">
      <c r="A81" s="138" t="s">
        <v>264</v>
      </c>
      <c r="B81" s="139" t="s">
        <v>78</v>
      </c>
      <c r="C81" s="139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139">
        <v>2</v>
      </c>
      <c r="AB81" s="177">
        <v>0</v>
      </c>
    </row>
    <row r="82" spans="1:28" x14ac:dyDescent="0.2">
      <c r="A82" s="138" t="s">
        <v>265</v>
      </c>
      <c r="B82" s="139" t="s">
        <v>202</v>
      </c>
      <c r="C82" s="139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139">
        <v>6</v>
      </c>
      <c r="AB82" s="177">
        <v>0</v>
      </c>
    </row>
    <row r="83" spans="1:28" x14ac:dyDescent="0.2">
      <c r="A83" s="138"/>
      <c r="B83" s="139"/>
      <c r="C83" s="139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139"/>
      <c r="AB83" s="177"/>
    </row>
    <row r="84" spans="1:28" x14ac:dyDescent="0.2">
      <c r="A84" s="138"/>
      <c r="B84" s="143" t="s">
        <v>326</v>
      </c>
      <c r="C84" s="139">
        <v>246</v>
      </c>
      <c r="D84" s="21">
        <v>15</v>
      </c>
      <c r="E84" s="21">
        <v>0</v>
      </c>
      <c r="F84" s="21">
        <v>0</v>
      </c>
      <c r="G84" s="21">
        <v>5</v>
      </c>
      <c r="H84" s="21">
        <v>7</v>
      </c>
      <c r="I84" s="21">
        <v>10</v>
      </c>
      <c r="J84" s="21">
        <v>14</v>
      </c>
      <c r="K84" s="21">
        <v>0</v>
      </c>
      <c r="L84" s="21">
        <v>0</v>
      </c>
      <c r="M84" s="21">
        <v>18</v>
      </c>
      <c r="N84" s="21">
        <v>2</v>
      </c>
      <c r="O84" s="21">
        <v>3</v>
      </c>
      <c r="P84" s="21">
        <v>18</v>
      </c>
      <c r="Q84" s="21">
        <v>11</v>
      </c>
      <c r="R84" s="21">
        <v>19</v>
      </c>
      <c r="S84" s="21">
        <v>9</v>
      </c>
      <c r="T84" s="21">
        <v>21</v>
      </c>
      <c r="U84" s="21">
        <v>17</v>
      </c>
      <c r="V84" s="21">
        <v>22</v>
      </c>
      <c r="W84" s="21">
        <v>5</v>
      </c>
      <c r="X84" s="21">
        <v>16</v>
      </c>
      <c r="Y84" s="21">
        <v>6</v>
      </c>
      <c r="Z84" s="21">
        <v>7</v>
      </c>
      <c r="AA84" s="139">
        <v>225</v>
      </c>
      <c r="AB84" s="177">
        <v>-21</v>
      </c>
    </row>
    <row r="85" spans="1:28" x14ac:dyDescent="0.2">
      <c r="A85" s="138"/>
      <c r="B85" s="139"/>
      <c r="C85" s="139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139"/>
      <c r="AB85" s="177"/>
    </row>
    <row r="86" spans="1:28" ht="13.5" thickBot="1" x14ac:dyDescent="0.25">
      <c r="A86" s="140"/>
      <c r="B86" s="141" t="s">
        <v>327</v>
      </c>
      <c r="C86" s="142">
        <v>387</v>
      </c>
      <c r="D86" s="104">
        <v>15</v>
      </c>
      <c r="E86" s="104">
        <v>0</v>
      </c>
      <c r="F86" s="104">
        <v>8</v>
      </c>
      <c r="G86" s="104">
        <v>5</v>
      </c>
      <c r="H86" s="104">
        <v>7</v>
      </c>
      <c r="I86" s="104">
        <v>26</v>
      </c>
      <c r="J86" s="104">
        <v>14</v>
      </c>
      <c r="K86" s="104">
        <v>23</v>
      </c>
      <c r="L86" s="104">
        <v>16</v>
      </c>
      <c r="M86" s="104">
        <v>20</v>
      </c>
      <c r="N86" s="104">
        <v>24</v>
      </c>
      <c r="O86" s="104">
        <v>11</v>
      </c>
      <c r="P86" s="104">
        <v>18</v>
      </c>
      <c r="Q86" s="104">
        <v>20</v>
      </c>
      <c r="R86" s="104">
        <v>19</v>
      </c>
      <c r="S86" s="104">
        <v>10</v>
      </c>
      <c r="T86" s="104">
        <v>25</v>
      </c>
      <c r="U86" s="104">
        <v>19</v>
      </c>
      <c r="V86" s="104">
        <v>23</v>
      </c>
      <c r="W86" s="104">
        <v>9</v>
      </c>
      <c r="X86" s="104">
        <v>16</v>
      </c>
      <c r="Y86" s="104">
        <v>24</v>
      </c>
      <c r="Z86" s="104">
        <v>8</v>
      </c>
      <c r="AA86" s="142">
        <v>360</v>
      </c>
      <c r="AB86" s="178">
        <v>-27</v>
      </c>
    </row>
    <row r="90" spans="1:28" ht="18.75" thickBot="1" x14ac:dyDescent="0.3">
      <c r="B90" s="133" t="s">
        <v>205</v>
      </c>
    </row>
    <row r="91" spans="1:28" ht="65.25" x14ac:dyDescent="0.25">
      <c r="A91" s="134"/>
      <c r="B91" s="135" t="s">
        <v>294</v>
      </c>
      <c r="C91" s="136" t="s">
        <v>4</v>
      </c>
      <c r="D91" s="137" t="s">
        <v>94</v>
      </c>
      <c r="E91" s="137" t="s">
        <v>253</v>
      </c>
      <c r="F91" s="137" t="s">
        <v>18</v>
      </c>
      <c r="G91" s="137" t="s">
        <v>85</v>
      </c>
      <c r="H91" s="137" t="s">
        <v>12</v>
      </c>
      <c r="I91" s="137" t="s">
        <v>39</v>
      </c>
      <c r="J91" s="137" t="s">
        <v>90</v>
      </c>
      <c r="K91" s="137" t="s">
        <v>30</v>
      </c>
      <c r="L91" s="137" t="s">
        <v>92</v>
      </c>
      <c r="M91" s="137" t="s">
        <v>91</v>
      </c>
      <c r="N91" s="137" t="s">
        <v>255</v>
      </c>
      <c r="O91" s="137" t="s">
        <v>162</v>
      </c>
      <c r="P91" s="137" t="s">
        <v>23</v>
      </c>
      <c r="Q91" s="137" t="s">
        <v>303</v>
      </c>
      <c r="R91" s="137" t="s">
        <v>101</v>
      </c>
      <c r="S91" s="137" t="s">
        <v>95</v>
      </c>
      <c r="T91" s="137" t="s">
        <v>41</v>
      </c>
      <c r="U91" s="137" t="s">
        <v>96</v>
      </c>
      <c r="V91" s="137" t="s">
        <v>48</v>
      </c>
      <c r="W91" s="137" t="s">
        <v>248</v>
      </c>
      <c r="X91" s="137" t="s">
        <v>44</v>
      </c>
      <c r="Y91" s="137" t="s">
        <v>7</v>
      </c>
      <c r="Z91" s="137" t="s">
        <v>20</v>
      </c>
      <c r="AA91" s="136" t="s">
        <v>117</v>
      </c>
      <c r="AB91" s="176" t="s">
        <v>207</v>
      </c>
    </row>
    <row r="92" spans="1:28" x14ac:dyDescent="0.2">
      <c r="A92" s="138" t="s">
        <v>6</v>
      </c>
      <c r="B92" s="139" t="s">
        <v>336</v>
      </c>
      <c r="C92" s="139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139">
        <v>4</v>
      </c>
      <c r="AB92" s="177">
        <v>0</v>
      </c>
    </row>
    <row r="93" spans="1:28" x14ac:dyDescent="0.2">
      <c r="A93" s="138" t="s">
        <v>8</v>
      </c>
      <c r="B93" s="139" t="s">
        <v>337</v>
      </c>
      <c r="C93" s="139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139">
        <v>2</v>
      </c>
      <c r="AB93" s="177">
        <v>0</v>
      </c>
    </row>
    <row r="94" spans="1:28" x14ac:dyDescent="0.2">
      <c r="A94" s="138"/>
      <c r="B94" s="139" t="s">
        <v>338</v>
      </c>
      <c r="C94" s="139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139">
        <v>2</v>
      </c>
      <c r="AB94" s="177">
        <v>0</v>
      </c>
    </row>
    <row r="95" spans="1:28" x14ac:dyDescent="0.2">
      <c r="A95" s="138" t="s">
        <v>9</v>
      </c>
      <c r="B95" s="139" t="s">
        <v>348</v>
      </c>
      <c r="C95" s="139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139">
        <v>9</v>
      </c>
      <c r="AB95" s="177">
        <v>0</v>
      </c>
    </row>
    <row r="96" spans="1:28" x14ac:dyDescent="0.2">
      <c r="A96" s="138" t="s">
        <v>10</v>
      </c>
      <c r="B96" s="139" t="s">
        <v>339</v>
      </c>
      <c r="C96" s="139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139">
        <v>2</v>
      </c>
      <c r="AB96" s="177">
        <v>0</v>
      </c>
    </row>
    <row r="97" spans="1:28" x14ac:dyDescent="0.2">
      <c r="A97" s="138" t="s">
        <v>11</v>
      </c>
      <c r="B97" s="139"/>
      <c r="C97" s="139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139"/>
      <c r="AB97" s="177">
        <v>0</v>
      </c>
    </row>
    <row r="98" spans="1:28" x14ac:dyDescent="0.2">
      <c r="A98" s="138" t="s">
        <v>13</v>
      </c>
      <c r="B98" s="139" t="s">
        <v>341</v>
      </c>
      <c r="C98" s="139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139">
        <v>6</v>
      </c>
      <c r="AB98" s="177">
        <v>0</v>
      </c>
    </row>
    <row r="99" spans="1:28" x14ac:dyDescent="0.2">
      <c r="A99" s="138" t="s">
        <v>14</v>
      </c>
      <c r="B99" s="139"/>
      <c r="C99" s="139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139"/>
      <c r="AB99" s="177">
        <v>0</v>
      </c>
    </row>
    <row r="100" spans="1:28" x14ac:dyDescent="0.2">
      <c r="A100" s="138" t="s">
        <v>16</v>
      </c>
      <c r="B100" s="139"/>
      <c r="C100" s="139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139"/>
      <c r="AB100" s="177">
        <v>0</v>
      </c>
    </row>
    <row r="101" spans="1:28" x14ac:dyDescent="0.2">
      <c r="A101" s="138" t="s">
        <v>244</v>
      </c>
      <c r="B101" s="139" t="s">
        <v>245</v>
      </c>
      <c r="C101" s="139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139">
        <v>8</v>
      </c>
      <c r="AB101" s="177">
        <v>0</v>
      </c>
    </row>
    <row r="102" spans="1:28" x14ac:dyDescent="0.2">
      <c r="A102" s="138" t="s">
        <v>19</v>
      </c>
      <c r="B102" s="139" t="s">
        <v>357</v>
      </c>
      <c r="C102" s="139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139">
        <v>10</v>
      </c>
      <c r="AB102" s="177">
        <v>0</v>
      </c>
    </row>
    <row r="103" spans="1:28" x14ac:dyDescent="0.2">
      <c r="A103" s="138" t="s">
        <v>24</v>
      </c>
      <c r="B103" s="139"/>
      <c r="C103" s="139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139"/>
      <c r="AB103" s="177">
        <v>0</v>
      </c>
    </row>
    <row r="104" spans="1:28" x14ac:dyDescent="0.2">
      <c r="A104" s="138" t="s">
        <v>26</v>
      </c>
      <c r="B104" s="139" t="s">
        <v>27</v>
      </c>
      <c r="C104" s="139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139">
        <v>12</v>
      </c>
      <c r="AB104" s="177">
        <v>0</v>
      </c>
    </row>
    <row r="105" spans="1:28" x14ac:dyDescent="0.2">
      <c r="A105" s="138" t="s">
        <v>28</v>
      </c>
      <c r="B105" s="139" t="s">
        <v>29</v>
      </c>
      <c r="C105" s="139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139">
        <v>4</v>
      </c>
      <c r="AB105" s="177">
        <v>0</v>
      </c>
    </row>
    <row r="106" spans="1:28" x14ac:dyDescent="0.2">
      <c r="A106" s="138" t="s">
        <v>31</v>
      </c>
      <c r="B106" s="139" t="s">
        <v>32</v>
      </c>
      <c r="C106" s="139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139">
        <v>12</v>
      </c>
      <c r="AB106" s="177">
        <v>0</v>
      </c>
    </row>
    <row r="107" spans="1:28" x14ac:dyDescent="0.2">
      <c r="A107" s="138" t="s">
        <v>33</v>
      </c>
      <c r="B107" s="139" t="s">
        <v>142</v>
      </c>
      <c r="C107" s="139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139"/>
      <c r="AB107" s="177">
        <v>0</v>
      </c>
    </row>
    <row r="108" spans="1:28" x14ac:dyDescent="0.2">
      <c r="A108" s="138" t="s">
        <v>35</v>
      </c>
      <c r="B108" s="139" t="s">
        <v>143</v>
      </c>
      <c r="C108" s="139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139"/>
      <c r="AB108" s="177">
        <v>0</v>
      </c>
    </row>
    <row r="109" spans="1:28" x14ac:dyDescent="0.2">
      <c r="A109" s="138" t="s">
        <v>37</v>
      </c>
      <c r="B109" s="139" t="s">
        <v>73</v>
      </c>
      <c r="C109" s="139">
        <v>3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3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139">
        <v>3</v>
      </c>
      <c r="AB109" s="177">
        <v>0</v>
      </c>
    </row>
    <row r="110" spans="1:28" x14ac:dyDescent="0.2">
      <c r="A110" s="138" t="s">
        <v>40</v>
      </c>
      <c r="B110" s="139" t="s">
        <v>343</v>
      </c>
      <c r="C110" s="139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139">
        <v>6</v>
      </c>
      <c r="AB110" s="177">
        <v>0</v>
      </c>
    </row>
    <row r="111" spans="1:28" x14ac:dyDescent="0.2">
      <c r="A111" s="138" t="s">
        <v>42</v>
      </c>
      <c r="B111" s="139" t="s">
        <v>43</v>
      </c>
      <c r="C111" s="139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139">
        <v>4</v>
      </c>
      <c r="AB111" s="177">
        <v>0</v>
      </c>
    </row>
    <row r="112" spans="1:28" x14ac:dyDescent="0.2">
      <c r="A112" s="138" t="s">
        <v>45</v>
      </c>
      <c r="B112" s="139" t="s">
        <v>359</v>
      </c>
      <c r="C112" s="139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139">
        <v>1</v>
      </c>
      <c r="AB112" s="177">
        <v>0</v>
      </c>
    </row>
    <row r="113" spans="1:28" x14ac:dyDescent="0.2">
      <c r="A113" s="138" t="s">
        <v>247</v>
      </c>
      <c r="B113" s="139" t="s">
        <v>358</v>
      </c>
      <c r="C113" s="139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139">
        <v>5</v>
      </c>
      <c r="AB113" s="177">
        <v>0</v>
      </c>
    </row>
    <row r="114" spans="1:28" x14ac:dyDescent="0.2">
      <c r="A114" s="138" t="s">
        <v>46</v>
      </c>
      <c r="B114" s="139" t="s">
        <v>47</v>
      </c>
      <c r="C114" s="139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139">
        <v>1</v>
      </c>
      <c r="AB114" s="177">
        <v>0</v>
      </c>
    </row>
    <row r="115" spans="1:28" x14ac:dyDescent="0.2">
      <c r="A115" s="138" t="s">
        <v>49</v>
      </c>
      <c r="B115" s="139" t="s">
        <v>74</v>
      </c>
      <c r="C115" s="139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139">
        <v>12</v>
      </c>
      <c r="AB115" s="177">
        <v>0</v>
      </c>
    </row>
    <row r="116" spans="1:28" x14ac:dyDescent="0.2">
      <c r="A116" s="138" t="s">
        <v>51</v>
      </c>
      <c r="B116" s="139" t="s">
        <v>344</v>
      </c>
      <c r="C116" s="139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139">
        <v>1</v>
      </c>
      <c r="AB116" s="177">
        <v>0</v>
      </c>
    </row>
    <row r="117" spans="1:28" x14ac:dyDescent="0.2">
      <c r="A117" s="138" t="s">
        <v>52</v>
      </c>
      <c r="B117" s="139" t="s">
        <v>53</v>
      </c>
      <c r="C117" s="139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139">
        <v>2</v>
      </c>
      <c r="AB117" s="177">
        <v>0</v>
      </c>
    </row>
    <row r="118" spans="1:28" x14ac:dyDescent="0.2">
      <c r="A118" s="138" t="s">
        <v>54</v>
      </c>
      <c r="B118" s="139" t="s">
        <v>345</v>
      </c>
      <c r="C118" s="139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139">
        <v>2</v>
      </c>
      <c r="AB118" s="177">
        <v>0</v>
      </c>
    </row>
    <row r="119" spans="1:28" x14ac:dyDescent="0.2">
      <c r="A119" s="138" t="s">
        <v>55</v>
      </c>
      <c r="B119" s="139"/>
      <c r="C119" s="139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139"/>
      <c r="AB119" s="177">
        <v>0</v>
      </c>
    </row>
    <row r="120" spans="1:28" x14ac:dyDescent="0.2">
      <c r="A120" s="138" t="s">
        <v>59</v>
      </c>
      <c r="B120" s="139" t="s">
        <v>346</v>
      </c>
      <c r="C120" s="139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139">
        <v>11</v>
      </c>
      <c r="AB120" s="177">
        <v>0</v>
      </c>
    </row>
    <row r="121" spans="1:28" x14ac:dyDescent="0.2">
      <c r="A121" s="138" t="s">
        <v>79</v>
      </c>
      <c r="B121" s="139"/>
      <c r="C121" s="139">
        <v>5</v>
      </c>
      <c r="D121" s="21"/>
      <c r="E121" s="21"/>
      <c r="F121" s="21"/>
      <c r="G121" s="21"/>
      <c r="H121" s="21"/>
      <c r="I121" s="21">
        <v>5</v>
      </c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139">
        <v>5</v>
      </c>
      <c r="AB121" s="177">
        <v>0</v>
      </c>
    </row>
    <row r="122" spans="1:28" x14ac:dyDescent="0.2">
      <c r="A122" s="138" t="s">
        <v>226</v>
      </c>
      <c r="B122" s="139" t="s">
        <v>227</v>
      </c>
      <c r="C122" s="139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139">
        <v>1</v>
      </c>
      <c r="AB122" s="177">
        <v>0</v>
      </c>
    </row>
    <row r="123" spans="1:28" x14ac:dyDescent="0.2">
      <c r="A123" s="138" t="s">
        <v>228</v>
      </c>
      <c r="B123" s="139" t="s">
        <v>229</v>
      </c>
      <c r="C123" s="139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139">
        <v>1</v>
      </c>
      <c r="AB123" s="177">
        <v>0</v>
      </c>
    </row>
    <row r="124" spans="1:28" x14ac:dyDescent="0.2">
      <c r="A124" s="138"/>
      <c r="B124" s="139"/>
      <c r="C124" s="139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139"/>
      <c r="AB124" s="177"/>
    </row>
    <row r="125" spans="1:28" ht="13.5" thickBot="1" x14ac:dyDescent="0.25">
      <c r="A125" s="140"/>
      <c r="B125" s="141" t="s">
        <v>208</v>
      </c>
      <c r="C125" s="142">
        <v>126</v>
      </c>
      <c r="D125" s="104">
        <v>0</v>
      </c>
      <c r="E125" s="104">
        <v>0</v>
      </c>
      <c r="F125" s="104">
        <v>8</v>
      </c>
      <c r="G125" s="104">
        <v>0</v>
      </c>
      <c r="H125" s="104">
        <v>6</v>
      </c>
      <c r="I125" s="104">
        <v>21</v>
      </c>
      <c r="J125" s="104">
        <v>0</v>
      </c>
      <c r="K125" s="104">
        <v>29</v>
      </c>
      <c r="L125" s="104">
        <v>16</v>
      </c>
      <c r="M125" s="104">
        <v>2</v>
      </c>
      <c r="N125" s="104">
        <v>4</v>
      </c>
      <c r="O125" s="104">
        <v>8</v>
      </c>
      <c r="P125" s="104">
        <v>0</v>
      </c>
      <c r="Q125" s="104">
        <v>9</v>
      </c>
      <c r="R125" s="104">
        <v>0</v>
      </c>
      <c r="S125" s="104">
        <v>1</v>
      </c>
      <c r="T125" s="104">
        <v>16</v>
      </c>
      <c r="U125" s="104">
        <v>2</v>
      </c>
      <c r="V125" s="104">
        <v>1</v>
      </c>
      <c r="W125" s="104">
        <v>2</v>
      </c>
      <c r="X125" s="104">
        <v>0</v>
      </c>
      <c r="Y125" s="104">
        <v>0</v>
      </c>
      <c r="Z125" s="104">
        <v>1</v>
      </c>
      <c r="AA125" s="142">
        <v>126</v>
      </c>
      <c r="AB125" s="178">
        <v>0</v>
      </c>
    </row>
    <row r="129" spans="1:28" ht="18.75" thickBot="1" x14ac:dyDescent="0.3">
      <c r="B129" s="133" t="s">
        <v>206</v>
      </c>
    </row>
    <row r="130" spans="1:28" ht="65.25" x14ac:dyDescent="0.25">
      <c r="A130" s="134"/>
      <c r="B130" s="135" t="s">
        <v>294</v>
      </c>
      <c r="C130" s="136" t="s">
        <v>4</v>
      </c>
      <c r="D130" s="137" t="s">
        <v>94</v>
      </c>
      <c r="E130" s="137" t="s">
        <v>253</v>
      </c>
      <c r="F130" s="137" t="s">
        <v>18</v>
      </c>
      <c r="G130" s="137" t="s">
        <v>85</v>
      </c>
      <c r="H130" s="137" t="s">
        <v>12</v>
      </c>
      <c r="I130" s="137" t="s">
        <v>39</v>
      </c>
      <c r="J130" s="137" t="s">
        <v>90</v>
      </c>
      <c r="K130" s="137" t="s">
        <v>30</v>
      </c>
      <c r="L130" s="137" t="s">
        <v>92</v>
      </c>
      <c r="M130" s="137" t="s">
        <v>91</v>
      </c>
      <c r="N130" s="137" t="s">
        <v>255</v>
      </c>
      <c r="O130" s="137" t="s">
        <v>162</v>
      </c>
      <c r="P130" s="137" t="s">
        <v>23</v>
      </c>
      <c r="Q130" s="137" t="s">
        <v>303</v>
      </c>
      <c r="R130" s="137" t="s">
        <v>101</v>
      </c>
      <c r="S130" s="137" t="s">
        <v>95</v>
      </c>
      <c r="T130" s="137" t="s">
        <v>41</v>
      </c>
      <c r="U130" s="137" t="s">
        <v>96</v>
      </c>
      <c r="V130" s="137" t="s">
        <v>48</v>
      </c>
      <c r="W130" s="137" t="s">
        <v>248</v>
      </c>
      <c r="X130" s="137" t="s">
        <v>44</v>
      </c>
      <c r="Y130" s="137" t="s">
        <v>7</v>
      </c>
      <c r="Z130" s="137" t="s">
        <v>20</v>
      </c>
      <c r="AA130" s="136" t="s">
        <v>117</v>
      </c>
      <c r="AB130" s="176" t="s">
        <v>207</v>
      </c>
    </row>
    <row r="131" spans="1:28" x14ac:dyDescent="0.2">
      <c r="A131" s="138" t="s">
        <v>58</v>
      </c>
      <c r="B131" s="139" t="s">
        <v>176</v>
      </c>
      <c r="C131" s="139">
        <v>5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10</v>
      </c>
      <c r="U131" s="21"/>
      <c r="V131" s="21"/>
      <c r="W131" s="21"/>
      <c r="X131" s="21"/>
      <c r="Y131" s="21"/>
      <c r="Z131" s="21"/>
      <c r="AA131" s="139">
        <v>10</v>
      </c>
      <c r="AB131" s="177">
        <v>5</v>
      </c>
    </row>
    <row r="132" spans="1:28" x14ac:dyDescent="0.2">
      <c r="A132" s="138" t="s">
        <v>61</v>
      </c>
      <c r="B132" s="139" t="s">
        <v>364</v>
      </c>
      <c r="C132" s="139">
        <v>6</v>
      </c>
      <c r="D132" s="21">
        <v>1</v>
      </c>
      <c r="E132" s="21"/>
      <c r="F132" s="21"/>
      <c r="G132" s="21"/>
      <c r="H132" s="21"/>
      <c r="I132" s="21">
        <v>1</v>
      </c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>
        <v>4</v>
      </c>
      <c r="Y132" s="21"/>
      <c r="Z132" s="21"/>
      <c r="AA132" s="139">
        <v>6</v>
      </c>
      <c r="AB132" s="177">
        <v>0</v>
      </c>
    </row>
    <row r="133" spans="1:28" x14ac:dyDescent="0.2">
      <c r="A133" s="138" t="s">
        <v>275</v>
      </c>
      <c r="B133" s="139" t="s">
        <v>363</v>
      </c>
      <c r="C133" s="139">
        <v>18</v>
      </c>
      <c r="D133" s="21">
        <v>3</v>
      </c>
      <c r="E133" s="21"/>
      <c r="F133" s="21"/>
      <c r="G133" s="21">
        <v>1</v>
      </c>
      <c r="H133" s="21">
        <v>1</v>
      </c>
      <c r="I133" s="21">
        <v>1</v>
      </c>
      <c r="J133" s="21">
        <v>1</v>
      </c>
      <c r="K133" s="21"/>
      <c r="L133" s="21"/>
      <c r="M133" s="21"/>
      <c r="N133" s="21"/>
      <c r="O133" s="21"/>
      <c r="P133" s="21"/>
      <c r="Q133" s="21">
        <v>1</v>
      </c>
      <c r="R133" s="21"/>
      <c r="S133" s="21">
        <v>1</v>
      </c>
      <c r="T133" s="21"/>
      <c r="U133" s="21">
        <v>1</v>
      </c>
      <c r="V133" s="21">
        <v>3</v>
      </c>
      <c r="W133" s="21"/>
      <c r="X133" s="21">
        <v>2</v>
      </c>
      <c r="Y133" s="21">
        <v>2</v>
      </c>
      <c r="Z133" s="21">
        <v>1</v>
      </c>
      <c r="AA133" s="139">
        <v>18</v>
      </c>
      <c r="AB133" s="177">
        <v>0</v>
      </c>
    </row>
    <row r="134" spans="1:28" x14ac:dyDescent="0.2">
      <c r="A134" s="138" t="s">
        <v>365</v>
      </c>
      <c r="B134" s="139" t="s">
        <v>362</v>
      </c>
      <c r="C134" s="139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139">
        <v>0</v>
      </c>
      <c r="AB134" s="177">
        <v>0</v>
      </c>
    </row>
    <row r="135" spans="1:28" x14ac:dyDescent="0.2">
      <c r="A135" s="138" t="s">
        <v>119</v>
      </c>
      <c r="B135" s="139" t="s">
        <v>192</v>
      </c>
      <c r="C135" s="139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139">
        <v>3</v>
      </c>
      <c r="AB135" s="177">
        <v>0</v>
      </c>
    </row>
    <row r="136" spans="1:28" x14ac:dyDescent="0.2">
      <c r="A136" s="138" t="s">
        <v>118</v>
      </c>
      <c r="B136" s="139" t="s">
        <v>193</v>
      </c>
      <c r="C136" s="139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139">
        <v>1</v>
      </c>
      <c r="AB136" s="177">
        <v>0</v>
      </c>
    </row>
    <row r="137" spans="1:28" x14ac:dyDescent="0.2">
      <c r="A137" s="138" t="s">
        <v>120</v>
      </c>
      <c r="B137" s="139" t="s">
        <v>194</v>
      </c>
      <c r="C137" s="139">
        <v>3</v>
      </c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>
        <v>1</v>
      </c>
      <c r="U137" s="21">
        <v>1</v>
      </c>
      <c r="V137" s="21">
        <v>1</v>
      </c>
      <c r="W137" s="21"/>
      <c r="X137" s="21"/>
      <c r="Y137" s="21"/>
      <c r="Z137" s="21"/>
      <c r="AA137" s="139">
        <v>3</v>
      </c>
      <c r="AB137" s="177">
        <v>0</v>
      </c>
    </row>
    <row r="138" spans="1:28" x14ac:dyDescent="0.2">
      <c r="A138" s="138" t="s">
        <v>121</v>
      </c>
      <c r="B138" s="139" t="s">
        <v>195</v>
      </c>
      <c r="C138" s="139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139">
        <v>1</v>
      </c>
      <c r="AB138" s="177">
        <v>0</v>
      </c>
    </row>
    <row r="139" spans="1:28" x14ac:dyDescent="0.2">
      <c r="A139" s="138" t="s">
        <v>146</v>
      </c>
      <c r="B139" s="139" t="s">
        <v>196</v>
      </c>
      <c r="C139" s="139">
        <v>7</v>
      </c>
      <c r="D139" s="21"/>
      <c r="E139" s="21"/>
      <c r="F139" s="21"/>
      <c r="G139" s="21">
        <v>1</v>
      </c>
      <c r="H139" s="21">
        <v>1</v>
      </c>
      <c r="I139" s="21">
        <v>1</v>
      </c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139">
        <v>7</v>
      </c>
      <c r="AB139" s="177">
        <v>0</v>
      </c>
    </row>
    <row r="140" spans="1:28" x14ac:dyDescent="0.2">
      <c r="A140" s="138" t="s">
        <v>147</v>
      </c>
      <c r="B140" s="139" t="s">
        <v>197</v>
      </c>
      <c r="C140" s="139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139">
        <v>6</v>
      </c>
      <c r="AB140" s="177">
        <v>0</v>
      </c>
    </row>
    <row r="141" spans="1:28" x14ac:dyDescent="0.2">
      <c r="A141" s="138" t="s">
        <v>62</v>
      </c>
      <c r="B141" s="139" t="s">
        <v>104</v>
      </c>
      <c r="C141" s="139">
        <v>7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139">
        <v>7</v>
      </c>
      <c r="AB141" s="177">
        <v>0</v>
      </c>
    </row>
    <row r="142" spans="1:28" x14ac:dyDescent="0.2">
      <c r="A142" s="138" t="s">
        <v>63</v>
      </c>
      <c r="B142" s="139" t="s">
        <v>116</v>
      </c>
      <c r="C142" s="139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139">
        <v>10</v>
      </c>
      <c r="AB142" s="177">
        <v>0</v>
      </c>
    </row>
    <row r="143" spans="1:28" x14ac:dyDescent="0.2">
      <c r="A143" s="138" t="s">
        <v>64</v>
      </c>
      <c r="B143" s="139" t="s">
        <v>125</v>
      </c>
      <c r="C143" s="139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139">
        <v>7</v>
      </c>
      <c r="AB143" s="177">
        <v>0</v>
      </c>
    </row>
    <row r="144" spans="1:28" x14ac:dyDescent="0.2">
      <c r="A144" s="138" t="s">
        <v>65</v>
      </c>
      <c r="B144" s="139" t="s">
        <v>182</v>
      </c>
      <c r="C144" s="139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139">
        <v>9</v>
      </c>
      <c r="AB144" s="177">
        <v>0</v>
      </c>
    </row>
    <row r="145" spans="1:28" x14ac:dyDescent="0.2">
      <c r="A145" s="138" t="s">
        <v>66</v>
      </c>
      <c r="B145" s="139" t="s">
        <v>184</v>
      </c>
      <c r="C145" s="139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139">
        <v>10</v>
      </c>
      <c r="AB145" s="177">
        <v>0</v>
      </c>
    </row>
    <row r="146" spans="1:28" x14ac:dyDescent="0.2">
      <c r="A146" s="138" t="s">
        <v>67</v>
      </c>
      <c r="B146" s="139" t="s">
        <v>185</v>
      </c>
      <c r="C146" s="139">
        <v>7</v>
      </c>
      <c r="D146" s="21">
        <v>1</v>
      </c>
      <c r="E146" s="21"/>
      <c r="F146" s="21"/>
      <c r="G146" s="21"/>
      <c r="H146" s="21"/>
      <c r="I146" s="21"/>
      <c r="J146" s="21">
        <v>1</v>
      </c>
      <c r="K146" s="21"/>
      <c r="L146" s="21"/>
      <c r="M146" s="21"/>
      <c r="N146" s="21">
        <v>1</v>
      </c>
      <c r="O146" s="21"/>
      <c r="P146" s="21">
        <v>1</v>
      </c>
      <c r="Q146" s="21"/>
      <c r="R146" s="21">
        <v>1</v>
      </c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139">
        <v>7</v>
      </c>
      <c r="AB146" s="177">
        <v>0</v>
      </c>
    </row>
    <row r="147" spans="1:28" x14ac:dyDescent="0.2">
      <c r="A147" s="138" t="s">
        <v>76</v>
      </c>
      <c r="B147" s="139" t="s">
        <v>198</v>
      </c>
      <c r="C147" s="139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2</v>
      </c>
      <c r="S147" s="21"/>
      <c r="T147" s="21"/>
      <c r="U147" s="21">
        <v>1</v>
      </c>
      <c r="V147" s="21">
        <v>7</v>
      </c>
      <c r="W147" s="21"/>
      <c r="X147" s="21"/>
      <c r="Y147" s="21">
        <v>1</v>
      </c>
      <c r="Z147" s="21"/>
      <c r="AA147" s="139">
        <v>22</v>
      </c>
      <c r="AB147" s="177">
        <v>0</v>
      </c>
    </row>
    <row r="148" spans="1:28" x14ac:dyDescent="0.2">
      <c r="A148" s="138" t="s">
        <v>76</v>
      </c>
      <c r="B148" s="139" t="s">
        <v>199</v>
      </c>
      <c r="C148" s="139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>
        <v>1</v>
      </c>
      <c r="P148" s="21"/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139">
        <v>14</v>
      </c>
      <c r="AB148" s="177">
        <v>0</v>
      </c>
    </row>
    <row r="149" spans="1:28" x14ac:dyDescent="0.2">
      <c r="A149" s="138" t="s">
        <v>77</v>
      </c>
      <c r="B149" s="139" t="s">
        <v>200</v>
      </c>
      <c r="C149" s="139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2</v>
      </c>
      <c r="S149" s="21"/>
      <c r="T149" s="21"/>
      <c r="U149" s="21">
        <v>2</v>
      </c>
      <c r="V149" s="21"/>
      <c r="W149" s="21">
        <v>2</v>
      </c>
      <c r="X149" s="21">
        <v>2</v>
      </c>
      <c r="Y149" s="21">
        <v>2</v>
      </c>
      <c r="Z149" s="21">
        <v>1</v>
      </c>
      <c r="AA149" s="139">
        <v>22</v>
      </c>
      <c r="AB149" s="177">
        <v>0</v>
      </c>
    </row>
    <row r="150" spans="1:28" x14ac:dyDescent="0.2">
      <c r="A150" s="138" t="s">
        <v>77</v>
      </c>
      <c r="B150" s="139" t="s">
        <v>201</v>
      </c>
      <c r="C150" s="139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139">
        <v>14</v>
      </c>
      <c r="AB150" s="177">
        <v>0</v>
      </c>
    </row>
    <row r="151" spans="1:28" x14ac:dyDescent="0.2">
      <c r="A151" s="138" t="s">
        <v>133</v>
      </c>
      <c r="B151" s="139" t="s">
        <v>186</v>
      </c>
      <c r="C151" s="139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139">
        <v>7</v>
      </c>
      <c r="AB151" s="177">
        <v>0</v>
      </c>
    </row>
    <row r="152" spans="1:28" x14ac:dyDescent="0.2">
      <c r="A152" s="138" t="s">
        <v>134</v>
      </c>
      <c r="B152" s="139" t="s">
        <v>187</v>
      </c>
      <c r="C152" s="139">
        <v>6</v>
      </c>
      <c r="D152" s="21">
        <v>1</v>
      </c>
      <c r="E152" s="21"/>
      <c r="F152" s="21"/>
      <c r="G152" s="21"/>
      <c r="H152" s="21"/>
      <c r="I152" s="21">
        <v>1</v>
      </c>
      <c r="J152" s="21"/>
      <c r="K152" s="21"/>
      <c r="L152" s="21"/>
      <c r="M152" s="21"/>
      <c r="N152" s="21">
        <v>1</v>
      </c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139">
        <v>6</v>
      </c>
      <c r="AB152" s="177">
        <v>0</v>
      </c>
    </row>
    <row r="153" spans="1:28" x14ac:dyDescent="0.2">
      <c r="A153" s="138" t="s">
        <v>203</v>
      </c>
      <c r="B153" s="139" t="s">
        <v>361</v>
      </c>
      <c r="C153" s="139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>
        <v>1</v>
      </c>
      <c r="O153" s="21">
        <v>1</v>
      </c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139">
        <v>7</v>
      </c>
      <c r="AB153" s="177">
        <v>0</v>
      </c>
    </row>
    <row r="154" spans="1:28" x14ac:dyDescent="0.2">
      <c r="A154" s="138" t="s">
        <v>136</v>
      </c>
      <c r="B154" s="139" t="s">
        <v>360</v>
      </c>
      <c r="C154" s="139">
        <v>5</v>
      </c>
      <c r="D154" s="21"/>
      <c r="E154" s="21"/>
      <c r="F154" s="21"/>
      <c r="G154" s="21">
        <v>1</v>
      </c>
      <c r="H154" s="21">
        <v>1</v>
      </c>
      <c r="I154" s="21">
        <v>1</v>
      </c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139">
        <v>5</v>
      </c>
      <c r="AB154" s="177">
        <v>0</v>
      </c>
    </row>
    <row r="155" spans="1:28" x14ac:dyDescent="0.2">
      <c r="A155" s="138" t="s">
        <v>70</v>
      </c>
      <c r="B155" s="139" t="s">
        <v>191</v>
      </c>
      <c r="C155" s="139">
        <v>7</v>
      </c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>
        <v>1</v>
      </c>
      <c r="T155" s="21"/>
      <c r="U155" s="21"/>
      <c r="V155" s="21">
        <v>3</v>
      </c>
      <c r="W155" s="21">
        <v>2</v>
      </c>
      <c r="X155" s="21"/>
      <c r="Y155" s="21"/>
      <c r="Z155" s="21"/>
      <c r="AA155" s="139">
        <v>7</v>
      </c>
      <c r="AB155" s="177">
        <v>0</v>
      </c>
    </row>
    <row r="156" spans="1:28" x14ac:dyDescent="0.2">
      <c r="A156" s="138" t="s">
        <v>70</v>
      </c>
      <c r="B156" s="139" t="s">
        <v>190</v>
      </c>
      <c r="C156" s="139">
        <v>6</v>
      </c>
      <c r="D156" s="21">
        <v>2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>
        <v>1</v>
      </c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139">
        <v>6</v>
      </c>
      <c r="AB156" s="177">
        <v>0</v>
      </c>
    </row>
    <row r="157" spans="1:28" x14ac:dyDescent="0.2">
      <c r="A157" s="138" t="s">
        <v>290</v>
      </c>
      <c r="B157" s="139" t="s">
        <v>292</v>
      </c>
      <c r="C157" s="139">
        <v>7</v>
      </c>
      <c r="D157" s="21"/>
      <c r="E157" s="21"/>
      <c r="F157" s="21"/>
      <c r="G157" s="21"/>
      <c r="H157" s="21">
        <v>2</v>
      </c>
      <c r="I157" s="21">
        <v>3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139">
        <v>7</v>
      </c>
      <c r="AB157" s="177">
        <v>0</v>
      </c>
    </row>
    <row r="158" spans="1:28" x14ac:dyDescent="0.2">
      <c r="A158" s="138" t="s">
        <v>291</v>
      </c>
      <c r="B158" s="139" t="s">
        <v>293</v>
      </c>
      <c r="C158" s="139">
        <v>6</v>
      </c>
      <c r="D158" s="21">
        <v>3</v>
      </c>
      <c r="E158" s="21"/>
      <c r="F158" s="21"/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>
        <v>1</v>
      </c>
      <c r="X158" s="21"/>
      <c r="Y158" s="21"/>
      <c r="Z158" s="21"/>
      <c r="AA158" s="139">
        <v>6</v>
      </c>
      <c r="AB158" s="177">
        <v>0</v>
      </c>
    </row>
    <row r="159" spans="1:28" x14ac:dyDescent="0.2">
      <c r="A159" s="138" t="s">
        <v>137</v>
      </c>
      <c r="B159" s="139" t="s">
        <v>188</v>
      </c>
      <c r="C159" s="139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139">
        <v>3</v>
      </c>
      <c r="AB159" s="177">
        <v>0</v>
      </c>
    </row>
    <row r="160" spans="1:28" x14ac:dyDescent="0.2">
      <c r="A160" s="138" t="s">
        <v>138</v>
      </c>
      <c r="B160" s="139" t="s">
        <v>189</v>
      </c>
      <c r="C160" s="139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139">
        <v>1</v>
      </c>
      <c r="AB160" s="177">
        <v>0</v>
      </c>
    </row>
    <row r="161" spans="1:28" x14ac:dyDescent="0.2">
      <c r="A161" s="138" t="s">
        <v>277</v>
      </c>
      <c r="B161" s="139" t="s">
        <v>278</v>
      </c>
      <c r="C161" s="139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>
        <v>2</v>
      </c>
      <c r="P161" s="21"/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139">
        <v>9</v>
      </c>
      <c r="AB161" s="177">
        <v>0</v>
      </c>
    </row>
    <row r="162" spans="1:28" x14ac:dyDescent="0.2">
      <c r="A162" s="138" t="s">
        <v>71</v>
      </c>
      <c r="B162" s="139" t="s">
        <v>78</v>
      </c>
      <c r="C162" s="139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139">
        <v>2</v>
      </c>
      <c r="AB162" s="177">
        <v>0</v>
      </c>
    </row>
    <row r="163" spans="1:28" x14ac:dyDescent="0.2">
      <c r="A163" s="138" t="s">
        <v>95</v>
      </c>
      <c r="B163" s="139" t="s">
        <v>202</v>
      </c>
      <c r="C163" s="139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139">
        <v>6</v>
      </c>
      <c r="AB163" s="177">
        <v>0</v>
      </c>
    </row>
    <row r="164" spans="1:28" x14ac:dyDescent="0.2">
      <c r="A164" s="138"/>
      <c r="B164" s="139"/>
      <c r="C164" s="139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139"/>
      <c r="AB164" s="177"/>
    </row>
    <row r="165" spans="1:28" x14ac:dyDescent="0.2">
      <c r="A165" s="138"/>
      <c r="B165" s="143" t="s">
        <v>209</v>
      </c>
      <c r="C165" s="139">
        <v>244</v>
      </c>
      <c r="D165" s="21">
        <v>21</v>
      </c>
      <c r="E165" s="21">
        <v>0</v>
      </c>
      <c r="F165" s="21">
        <v>4</v>
      </c>
      <c r="G165" s="21">
        <v>10</v>
      </c>
      <c r="H165" s="21">
        <v>10</v>
      </c>
      <c r="I165" s="21">
        <v>17</v>
      </c>
      <c r="J165" s="21">
        <v>22</v>
      </c>
      <c r="K165" s="21">
        <v>0</v>
      </c>
      <c r="L165" s="21">
        <v>0</v>
      </c>
      <c r="M165" s="21">
        <v>16</v>
      </c>
      <c r="N165" s="21">
        <v>4</v>
      </c>
      <c r="O165" s="21">
        <v>4</v>
      </c>
      <c r="P165" s="21">
        <v>8</v>
      </c>
      <c r="Q165" s="21">
        <v>8</v>
      </c>
      <c r="R165" s="21">
        <v>18</v>
      </c>
      <c r="S165" s="21">
        <v>6</v>
      </c>
      <c r="T165" s="21">
        <v>16</v>
      </c>
      <c r="U165" s="21">
        <v>16</v>
      </c>
      <c r="V165" s="21">
        <v>29</v>
      </c>
      <c r="W165" s="21">
        <v>9</v>
      </c>
      <c r="X165" s="21">
        <v>16</v>
      </c>
      <c r="Y165" s="21">
        <v>11</v>
      </c>
      <c r="Z165" s="21">
        <v>4</v>
      </c>
      <c r="AA165" s="139">
        <v>249</v>
      </c>
      <c r="AB165" s="177">
        <v>5</v>
      </c>
    </row>
    <row r="166" spans="1:28" x14ac:dyDescent="0.2">
      <c r="A166" s="138"/>
      <c r="B166" s="139"/>
      <c r="C166" s="139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139"/>
      <c r="AB166" s="177"/>
    </row>
    <row r="167" spans="1:28" ht="13.5" thickBot="1" x14ac:dyDescent="0.25">
      <c r="A167" s="160"/>
      <c r="B167" s="161" t="s">
        <v>210</v>
      </c>
      <c r="C167" s="162">
        <v>370</v>
      </c>
      <c r="D167" s="163">
        <v>21</v>
      </c>
      <c r="E167" s="163">
        <v>0</v>
      </c>
      <c r="F167" s="163">
        <v>12</v>
      </c>
      <c r="G167" s="163">
        <v>10</v>
      </c>
      <c r="H167" s="163">
        <v>16</v>
      </c>
      <c r="I167" s="163">
        <v>38</v>
      </c>
      <c r="J167" s="163">
        <v>22</v>
      </c>
      <c r="K167" s="163">
        <v>29</v>
      </c>
      <c r="L167" s="163">
        <v>16</v>
      </c>
      <c r="M167" s="163">
        <v>18</v>
      </c>
      <c r="N167" s="163">
        <v>8</v>
      </c>
      <c r="O167" s="163">
        <v>12</v>
      </c>
      <c r="P167" s="163">
        <v>8</v>
      </c>
      <c r="Q167" s="163">
        <v>17</v>
      </c>
      <c r="R167" s="163">
        <v>18</v>
      </c>
      <c r="S167" s="163">
        <v>7</v>
      </c>
      <c r="T167" s="163">
        <v>32</v>
      </c>
      <c r="U167" s="163">
        <v>18</v>
      </c>
      <c r="V167" s="163">
        <v>30</v>
      </c>
      <c r="W167" s="163">
        <v>11</v>
      </c>
      <c r="X167" s="163">
        <v>16</v>
      </c>
      <c r="Y167" s="163">
        <v>11</v>
      </c>
      <c r="Z167" s="163">
        <v>5</v>
      </c>
      <c r="AA167" s="162">
        <v>375</v>
      </c>
      <c r="AB167" s="179">
        <v>5</v>
      </c>
    </row>
    <row r="168" spans="1:28" x14ac:dyDescent="0.2">
      <c r="A168" s="134"/>
      <c r="B168" s="144"/>
      <c r="C168" s="144"/>
      <c r="D168" s="145"/>
      <c r="E168" s="145"/>
      <c r="F168" s="145"/>
      <c r="G168" s="145"/>
      <c r="H168" s="145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5"/>
      <c r="AA168" s="144"/>
      <c r="AB168" s="180"/>
    </row>
    <row r="169" spans="1:28" x14ac:dyDescent="0.2">
      <c r="A169" s="138"/>
      <c r="B169" s="143" t="s">
        <v>211</v>
      </c>
      <c r="C169" s="139">
        <v>757</v>
      </c>
      <c r="D169" s="21">
        <v>36</v>
      </c>
      <c r="E169" s="21">
        <v>0</v>
      </c>
      <c r="F169" s="21">
        <v>20</v>
      </c>
      <c r="G169" s="21">
        <v>15</v>
      </c>
      <c r="H169" s="21">
        <v>23</v>
      </c>
      <c r="I169" s="21">
        <v>64</v>
      </c>
      <c r="J169" s="21">
        <v>36</v>
      </c>
      <c r="K169" s="21">
        <v>52</v>
      </c>
      <c r="L169" s="21">
        <v>32</v>
      </c>
      <c r="M169" s="21">
        <v>38</v>
      </c>
      <c r="N169" s="21">
        <v>32</v>
      </c>
      <c r="O169" s="21">
        <v>23</v>
      </c>
      <c r="P169" s="21">
        <v>26</v>
      </c>
      <c r="Q169" s="21">
        <v>37</v>
      </c>
      <c r="R169" s="21">
        <v>37</v>
      </c>
      <c r="S169" s="21">
        <v>17</v>
      </c>
      <c r="T169" s="21">
        <v>57</v>
      </c>
      <c r="U169" s="21">
        <v>37</v>
      </c>
      <c r="V169" s="21">
        <v>53</v>
      </c>
      <c r="W169" s="21">
        <v>20</v>
      </c>
      <c r="X169" s="21">
        <v>32</v>
      </c>
      <c r="Y169" s="21">
        <v>35</v>
      </c>
      <c r="Z169" s="21">
        <v>13</v>
      </c>
      <c r="AA169" s="139">
        <v>735</v>
      </c>
      <c r="AB169" s="177">
        <v>-22</v>
      </c>
    </row>
    <row r="170" spans="1:28" x14ac:dyDescent="0.2">
      <c r="A170" s="138"/>
      <c r="B170" s="143" t="s">
        <v>212</v>
      </c>
      <c r="C170" s="139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139"/>
      <c r="AB170" s="177"/>
    </row>
    <row r="171" spans="1:28" x14ac:dyDescent="0.2">
      <c r="A171" s="138"/>
      <c r="B171" s="143" t="s">
        <v>213</v>
      </c>
      <c r="C171" s="139"/>
      <c r="D171" s="165">
        <v>-1.1707317073170742</v>
      </c>
      <c r="E171" s="164">
        <v>0</v>
      </c>
      <c r="F171" s="165">
        <v>-17.170731707317074</v>
      </c>
      <c r="G171" s="165">
        <v>-3.5853658536585371</v>
      </c>
      <c r="H171" s="165">
        <v>-14.170731707317074</v>
      </c>
      <c r="I171" s="164">
        <v>8.2439024390243887</v>
      </c>
      <c r="J171" s="165">
        <v>-1.1707317073170742</v>
      </c>
      <c r="K171" s="164">
        <v>14.829268292682926</v>
      </c>
      <c r="L171" s="165">
        <v>-5.1707317073170742</v>
      </c>
      <c r="M171" s="164">
        <v>0.82926829268292579</v>
      </c>
      <c r="N171" s="164">
        <v>13.414634146341463</v>
      </c>
      <c r="O171" s="164">
        <v>4.4146341463414629</v>
      </c>
      <c r="P171" s="165">
        <v>-11.170731707317074</v>
      </c>
      <c r="Q171" s="165">
        <v>-0.17073170731707421</v>
      </c>
      <c r="R171" s="165">
        <v>-0.17073170731707421</v>
      </c>
      <c r="S171" s="165">
        <v>-1.5853658536585371</v>
      </c>
      <c r="T171" s="164">
        <v>1.2439024390243887</v>
      </c>
      <c r="U171" s="165">
        <v>-0.17073170731707421</v>
      </c>
      <c r="V171" s="165">
        <v>-2.7560975609756113</v>
      </c>
      <c r="W171" s="164">
        <v>1.4146341463414629</v>
      </c>
      <c r="X171" s="165">
        <v>-5.1707317073170742</v>
      </c>
      <c r="Y171" s="165">
        <v>-2.1707317073170742</v>
      </c>
      <c r="Z171" s="165">
        <v>-5.5853658536585371</v>
      </c>
      <c r="AA171" s="139"/>
      <c r="AB171" s="177"/>
    </row>
    <row r="172" spans="1:28" x14ac:dyDescent="0.2">
      <c r="A172" s="138"/>
      <c r="B172" s="139"/>
      <c r="C172" s="139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139"/>
      <c r="AB172" s="177"/>
    </row>
    <row r="173" spans="1:28" x14ac:dyDescent="0.2">
      <c r="A173" s="138"/>
      <c r="B173" s="139"/>
      <c r="C173" s="139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139"/>
      <c r="AB173" s="177"/>
    </row>
    <row r="174" spans="1:28" x14ac:dyDescent="0.2">
      <c r="A174" s="138"/>
      <c r="B174" s="143" t="s">
        <v>214</v>
      </c>
      <c r="C174" s="139">
        <v>762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139"/>
      <c r="AB174" s="177"/>
    </row>
    <row r="175" spans="1:28" x14ac:dyDescent="0.2">
      <c r="A175" s="138"/>
      <c r="B175" s="143" t="s">
        <v>215</v>
      </c>
      <c r="C175" s="139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139"/>
      <c r="AB175" s="177"/>
    </row>
    <row r="176" spans="1:28" ht="13.5" thickBot="1" x14ac:dyDescent="0.25">
      <c r="A176" s="140"/>
      <c r="B176" s="146" t="s">
        <v>145</v>
      </c>
      <c r="C176" s="142">
        <v>18.585365853658537</v>
      </c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42"/>
      <c r="AB176" s="178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HTS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HTS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/>
  </sheetViews>
  <sheetFormatPr defaultRowHeight="12.75" x14ac:dyDescent="0.2"/>
  <sheetData/>
  <phoneticPr fontId="28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71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Sheet2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FALLFriday</vt:lpstr>
      <vt:lpstr>FALLSaturday</vt:lpstr>
      <vt:lpstr>FALLSaturdayRows</vt:lpstr>
      <vt:lpstr>FALLSunday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HTSSaturdayCols</vt:lpstr>
      <vt:lpstr>HTSSaturdayRows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2024-05-21T22:38:28Z</cp:lastPrinted>
  <dcterms:created xsi:type="dcterms:W3CDTF">2005-10-16T17:50:13Z</dcterms:created>
  <dcterms:modified xsi:type="dcterms:W3CDTF">2024-05-21T22:48:18Z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