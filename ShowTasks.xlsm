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15DDCBFB-5DE2-4C0C-BB2F-278B36D02A35}" xr6:coauthVersionLast="47" xr6:coauthVersionMax="47" xr10:uidLastSave="{00000000-0000-0000-0000-000000000000}"/>
  <bookViews>
    <workbookView xWindow="-108" yWindow="-108" windowWidth="23256" windowHeight="12456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7" i="38"/>
  <c r="D8" i="38"/>
  <c r="C8" i="38"/>
  <c r="E3" i="28" l="1"/>
  <c r="C88" i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<sst xmlns="http://schemas.openxmlformats.org/spreadsheetml/2006/main" count="1947" uniqueCount="357">
  <si>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</si>
  <si>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</si>
  <si>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</si>
  <si>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</si>
  <si>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</si>
  <si>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</si>
  <si>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</si>
  <si>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</si>
  <si>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</si>
  <si>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</si>
  <si>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</si>
  <si>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</si>
  <si>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</si>
  <si>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</si>
  <si>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</si>
  <si>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</si>
  <si>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</si>
  <si>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</si>
  <si>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</si>
  <si>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</si>
  <si>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</si>
  <si>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</si>
  <si>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</si>
  <si>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</si>
  <si>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</si>
  <si>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</si>
  <si>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</si>
  <si>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</si>
  <si>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</si>
  <si>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</si>
  <si>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</si>
  <si>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</si>
  <si>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</si>
  <si>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</si>
  <si>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</si>
  <si>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</si>
  <si>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</si>
  <si>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</si>
  <si>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</si>
  <si>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</si>
  <si>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</si>
  <si>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</si>
  <si>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</si>
  <si>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</si>
  <si>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</si>
  <si>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</si>
  <si>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</si>
  <si>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</si>
  <si>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</si>
  <si>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</si>
  <si>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</si>
  <si>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</si>
  <si>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</si>
  <si>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</si>
  <si>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</si>
  <si>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</si>
  <si>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</si>
  <si>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</si>
  <si>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</si>
  <si>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</si>
  <si>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</si>
  <si>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</si>
  <si>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</si>
  <si>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</si>
  <si>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</si>
  <si>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</si>
  <si>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</si>
  <si>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</si>
  <si>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</si>
  <si>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</si>
  <si>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</si>
  <si>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</si>
  <si>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</si>
  <si>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</si>
  <si>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</si>
  <si>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</si>
  <si>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</si>
  <si>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</si>
  <si>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</si>
  <si>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</si>
  <si>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</si>
  <si>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</si>
  <si>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</si>
  <si>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</si>
  <si>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</si>
  <si>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</si>
  <si>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</si>
  <si>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</si>
  <si>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</si>
  <si>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</si>
  <si>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</si>
  <si>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</si>
  <si>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</si>
  <si>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</si>
  <si>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</si>
  <si>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</si>
  <si>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</si>
  <si>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</si>
  <si>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</si>
  <si>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</si>
  <si>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</si>
  <si>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</si>
  <si>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</si>
  <si>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</si>
  <si>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</si>
  <si>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</si>
  <si>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</si>
  <si>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</si>
  <si>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</si>
  <si>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</si>
  <si>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</si>
  <si>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</si>
  <si>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</si>
  <si>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</si>
  <si>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</si>
  <si>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</si>
  <si>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</si>
  <si>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</si>
  <si>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</si>
  <si>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</si>
  <si>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</si>
  <si>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</si>
  <si>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</si>
  <si>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</si>
  <si>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</si>
  <si>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</si>
  <si>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</si>
  <si>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</si>
  <si>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</si>
  <si>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</si>
  <si>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</si>
  <si>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</si>
  <si>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</si>
  <si>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</si>
  <si>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</si>
  <si>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</si>
  <si>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</si>
  <si>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</si>
  <si>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</si>
  <si>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</si>
  <si>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</si>
  <si>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</si>
  <si>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</si>
  <si>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</si>
  <si>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</si>
  <si>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</si>
  <si>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</si>
  <si>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</si>
  <si>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</si>
  <si>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</si>
  <si>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</si>
  <si>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</si>
  <si>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</si>
  <si>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</si>
  <si>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</si>
  <si>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</si>
  <si>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</si>
  <si>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</si>
  <si>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</si>
  <si>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</si>
  <si>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</si>
  <si>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</si>
  <si>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</si>
  <si>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</si>
  <si>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</si>
  <si>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</si>
  <si>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</si>
  <si>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</si>
  <si>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</si>
  <si>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</si>
  <si>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</si>
  <si>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</si>
  <si>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</si>
  <si>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</si>
  <si>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</si>
  <si>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</si>
  <si>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</si>
  <si>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</si>
  <si>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</si>
  <si>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</si>
  <si>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</si>
  <si>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</si>
  <si>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</si>
  <si>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</si>
  <si>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</si>
  <si>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</si>
  <si>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</si>
  <si>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</si>
  <si>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</si>
  <si>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</si>
  <si>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</si>
  <si>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</si>
  <si>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</si>
  <si>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</si>
  <si>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</si>
  <si>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</si>
  <si>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</si>
  <si>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</si>
  <si>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</si>
  <si>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</si>
  <si>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</si>
  <si>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</si>
  <si>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</si>
  <si>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</si>
  <si>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</si>
  <si>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</si>
  <si>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</si>
  <si>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</si>
  <si>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</si>
  <si>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</si>
  <si>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</si>
  <si>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</si>
  <si>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</si>
  <si>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</si>
  <si>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</si>
  <si>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</si>
  <si>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</si>
  <si>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</si>
  <si>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</si>
  <si>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</si>
  <si>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</si>
  <si>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</si>
  <si>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</si>
  <si>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</si>
  <si>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</si>
  <si>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</si>
  <si>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</si>
  <si>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</si>
  <si>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</si>
  <si>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</si>
  <si>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</si>
  <si>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</si>
  <si>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</si>
  <si>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</si>
  <si>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</si>
  <si>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</si>
  <si>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</si>
  <si>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</si>
  <si>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</si>
  <si>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</si>
  <si>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</si>
  <si>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</si>
  <si>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</si>
  <si>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</si>
  <si>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</si>
  <si>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</si>
  <si>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</si>
  <si>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</si>
  <si>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</si>
  <si>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</si>
  <si>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</si>
  <si>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</si>
  <si>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</si>
  <si>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</si>
  <si>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</si>
  <si>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</si>
  <si>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</si>
  <si>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</si>
  <si>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</si>
  <si>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</si>
  <si>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</si>
  <si>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</si>
  <si>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</si>
  <si>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</si>
  <si>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</si>
  <si>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</si>
  <si>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</si>
  <si>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</si>
  <si>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</si>
  <si>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</si>
  <si>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</si>
  <si>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</si>
  <si>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</si>
  <si>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</si>
  <si>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</si>
  <si>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</si>
  <si>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</si>
  <si>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</si>
  <si>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</si>
  <si>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</si>
  <si>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</si>
  <si>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</si>
  <si>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</si>
  <si>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</si>
  <si>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</si>
  <si>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</si>
  <si>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</si>
  <si>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</si>
  <si>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</si>
  <si>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</si>
  <si>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</si>
  <si>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</si>
  <si>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</si>
  <si>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</si>
  <si>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</si>
  <si>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</si>
  <si>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</si>
  <si>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</si>
  <si>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</si>
  <si>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</si>
  <si>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</si>
  <si>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</si>
  <si>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</si>
  <si>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</si>
  <si>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</si>
  <si>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</si>
  <si>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</si>
  <si>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</si>
  <si>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</si>
  <si>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</si>
  <si>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</si>
  <si>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</si>
  <si>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</si>
  <si>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</si>
  <si>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</si>
  <si>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</si>
  <si>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</si>
  <si>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</si>
  <si>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</si>
  <si>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</si>
  <si>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</si>
  <si>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</si>
  <si>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</si>
  <si>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</si>
  <si>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</si>
  <si>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</si>
  <si>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</si>
  <si>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</si>
  <si>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</si>
  <si>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</si>
  <si>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</si>
  <si>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</si>
  <si>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</si>
  <si>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</si>
  <si>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</si>
  <si>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</si>
  <si>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</si>
  <si>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NTBR</t>
  </si>
  <si>
    <t>North Texas Brick Railroad</t>
  </si>
  <si>
    <t>Plano DAT</t>
  </si>
  <si>
    <t>VENDOR CHECKIN</t>
  </si>
  <si>
    <t>Lone Star Hi-Railers</t>
  </si>
  <si>
    <t>Club Name</t>
  </si>
  <si>
    <t>C:\GIT\dfwtrainshows\print\</t>
  </si>
  <si>
    <t>.\print\</t>
  </si>
  <si>
    <t>Clinics (6)</t>
  </si>
  <si>
    <t>Saturday 9/26/2026</t>
  </si>
  <si>
    <t>Friday 9/25/2026</t>
  </si>
  <si>
    <t>Sunday 9/27/2025</t>
  </si>
  <si>
    <t>Saturday 01/16/2026</t>
  </si>
  <si>
    <t>Sunday 01/17/2026</t>
  </si>
  <si>
    <t>Friday 01/15/2026</t>
  </si>
  <si>
    <t>merged with LSHR</t>
  </si>
  <si>
    <t>2026/2027</t>
  </si>
  <si>
    <t>Douglas Leto</t>
  </si>
  <si>
    <t>Mike Bedford</t>
  </si>
  <si>
    <t>2026/27 Show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</si>
</sst>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1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  <font>
      <b/>
      <sz val="12"/>
      <color theme="0" tint="-4.9989318521683403E-2"/>
      <name val="Arial"/>
      <family val="2"/>
    </font>
    <font>
      <b/>
      <sz val="10"/>
      <color indexed="1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BACC6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92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3" fillId="0" borderId="39" xfId="0" applyFont="1" applyBorder="1"/>
    <xf numFmtId="0" fontId="0" fillId="0" borderId="39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29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29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35" borderId="11" xfId="0" applyFont="1" applyFill="1" applyBorder="1" applyProtection="1">
      <protection locked="0"/>
    </xf>
    <xf numFmtId="0" fontId="24" fillId="35" borderId="11" xfId="0" applyFont="1" applyFill="1" applyBorder="1"/>
    <xf numFmtId="0" fontId="24" fillId="26" borderId="0" xfId="0" applyFont="1" applyFill="1"/>
    <xf numFmtId="0" fontId="24" fillId="25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19" borderId="0" xfId="0" applyFont="1" applyFill="1" applyProtection="1">
      <protection locked="0"/>
    </xf>
    <xf numFmtId="0" fontId="24" fillId="25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37" borderId="18" xfId="0" applyFont="1" applyFill="1" applyBorder="1"/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28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5" borderId="18" xfId="0" applyFont="1" applyFill="1" applyBorder="1" applyProtection="1">
      <protection locked="0"/>
    </xf>
    <xf numFmtId="0" fontId="24" fillId="25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37" borderId="11" xfId="0" applyFont="1" applyFill="1" applyBorder="1"/>
    <xf numFmtId="0" fontId="24" fillId="20" borderId="0" xfId="0" applyFont="1" applyFill="1" applyProtection="1">
      <protection locked="0"/>
    </xf>
    <xf numFmtId="0" fontId="24" fillId="20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38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6" borderId="9" xfId="0" applyFont="1" applyFill="1" applyBorder="1" applyProtection="1">
      <protection locked="0"/>
    </xf>
    <xf numFmtId="0" fontId="2" fillId="25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5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5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29" borderId="18" xfId="0" applyFont="1" applyFill="1" applyBorder="1" applyProtection="1">
      <protection locked="0"/>
    </xf>
    <xf numFmtId="0" fontId="2" fillId="28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18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2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6" borderId="18" xfId="0" applyFont="1" applyFill="1" applyBorder="1" applyProtection="1">
      <protection locked="0"/>
    </xf>
    <xf numFmtId="0" fontId="24" fillId="37" borderId="13" xfId="0" applyFont="1" applyFill="1" applyBorder="1" applyAlignment="1">
      <alignment horizontal="center"/>
    </xf>
    <xf numFmtId="0" fontId="2" fillId="27" borderId="0" xfId="0" applyFont="1" applyFill="1" applyProtection="1">
      <protection locked="0"/>
    </xf>
    <xf numFmtId="0" fontId="2" fillId="35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5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37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" fillId="38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38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37" borderId="0" xfId="0" applyFont="1" applyFill="1" applyProtection="1">
      <protection locked="0"/>
    </xf>
    <xf numFmtId="0" fontId="19" fillId="9" borderId="14" xfId="0" applyFont="1" applyFill="1" applyBorder="1"/>
    <xf numFmtId="0" fontId="2" fillId="37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37" borderId="11" xfId="0" applyFont="1" applyFill="1" applyBorder="1"/>
    <xf numFmtId="0" fontId="2" fillId="37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9" borderId="11" xfId="0" applyFont="1" applyFill="1" applyBorder="1" applyProtection="1">
      <protection locked="0"/>
    </xf>
    <xf numFmtId="0" fontId="2" fillId="19" borderId="11" xfId="0" applyFont="1" applyFill="1" applyBorder="1" applyProtection="1">
      <protection locked="0"/>
    </xf>
    <xf numFmtId="0" fontId="2" fillId="25" borderId="11" xfId="0" applyFont="1" applyFill="1" applyBorder="1"/>
    <xf numFmtId="0" fontId="2" fillId="26" borderId="11" xfId="0" applyFont="1" applyFill="1" applyBorder="1"/>
    <xf numFmtId="0" fontId="2" fillId="25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" borderId="18" xfId="0" applyFont="1" applyFill="1" applyBorder="1"/>
    <xf numFmtId="0" fontId="2" fillId="28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28" borderId="11" xfId="0" applyFont="1" applyFill="1" applyBorder="1" applyProtection="1">
      <protection locked="0"/>
    </xf>
    <xf numFmtId="0" fontId="2" fillId="37" borderId="18" xfId="0" quotePrefix="1" applyFont="1" applyFill="1" applyBorder="1" applyProtection="1">
      <protection locked="0"/>
    </xf>
    <xf numFmtId="0" fontId="2" fillId="25" borderId="0" xfId="0" applyFont="1" applyFill="1"/>
    <xf numFmtId="0" fontId="2" fillId="28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19" borderId="0" xfId="0" applyFont="1" applyFill="1" applyProtection="1">
      <protection locked="0"/>
    </xf>
    <xf numFmtId="0" fontId="2" fillId="26" borderId="0" xfId="0" applyFont="1" applyFill="1" applyProtection="1">
      <protection locked="0"/>
    </xf>
    <xf numFmtId="0" fontId="3" fillId="2" borderId="0" xfId="0" applyFont="1" applyFill="1"/>
    <xf numFmtId="0" fontId="2" fillId="29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2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8" borderId="15" xfId="0" applyFont="1" applyFill="1" applyBorder="1" applyAlignment="1">
      <alignment horizontal="center"/>
    </xf>
    <xf numFmtId="0" fontId="2" fillId="33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3" borderId="9" xfId="0" applyFont="1" applyFill="1" applyBorder="1" applyAlignment="1">
      <alignment horizontal="center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1" borderId="11" xfId="0" applyFont="1" applyFill="1" applyBorder="1" applyAlignment="1" applyProtection="1">
      <alignment horizontal="center"/>
      <protection locked="0"/>
    </xf>
    <xf numFmtId="0" fontId="2" fillId="38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24" borderId="9" xfId="0" applyFont="1" applyFill="1" applyBorder="1" applyAlignment="1">
      <alignment horizontal="center"/>
    </xf>
    <xf numFmtId="166" fontId="2" fillId="21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2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1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0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37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29" borderId="9" xfId="0" applyFont="1" applyFill="1" applyBorder="1" applyAlignment="1">
      <alignment horizontal="center"/>
    </xf>
    <xf numFmtId="0" fontId="2" fillId="36" borderId="9" xfId="0" applyFont="1" applyFill="1" applyBorder="1" applyAlignment="1">
      <alignment horizontal="center"/>
    </xf>
    <xf numFmtId="0" fontId="2" fillId="36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4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0" fontId="2" fillId="40" borderId="11" xfId="0" applyFont="1" applyFill="1" applyBorder="1" applyAlignment="1" applyProtection="1">
      <alignment horizontal="center"/>
      <protection locked="0"/>
    </xf>
    <xf numFmtId="0" fontId="2" fillId="29" borderId="11" xfId="0" applyFont="1" applyFill="1" applyBorder="1" applyAlignment="1" applyProtection="1">
      <alignment horizontal="center"/>
      <protection locked="0"/>
    </xf>
    <xf numFmtId="0" fontId="29" fillId="39" borderId="9" xfId="0" applyFont="1" applyFill="1" applyBorder="1" applyAlignment="1">
      <alignment horizontal="center"/>
    </xf>
    <xf numFmtId="0" fontId="2" fillId="38" borderId="11" xfId="0" applyFont="1" applyFill="1" applyBorder="1" applyProtection="1">
      <protection locked="0"/>
    </xf>
    <xf numFmtId="0" fontId="2" fillId="22" borderId="11" xfId="0" applyFont="1" applyFill="1" applyBorder="1" applyProtection="1">
      <protection locked="0"/>
    </xf>
    <xf numFmtId="0" fontId="2" fillId="22" borderId="0" xfId="0" applyFont="1" applyFill="1" applyProtection="1">
      <protection locked="0"/>
    </xf>
    <xf numFmtId="0" fontId="2" fillId="22" borderId="18" xfId="0" applyFont="1" applyFill="1" applyBorder="1" applyProtection="1">
      <protection locked="0"/>
    </xf>
    <xf numFmtId="0" fontId="2" fillId="22" borderId="18" xfId="0" applyFont="1" applyFill="1" applyBorder="1" applyAlignment="1" applyProtection="1">
      <alignment horizontal="center"/>
      <protection locked="0"/>
    </xf>
    <xf numFmtId="0" fontId="1" fillId="0" borderId="0" xfId="0" applyFont="1"/>
    <xf numFmtId="0" fontId="0" fillId="8" borderId="15" xfId="0" applyFill="1" applyBorder="1" applyAlignment="1">
      <alignment horizontal="center"/>
    </xf>
    <xf numFmtId="0" fontId="2" fillId="41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43" borderId="11" xfId="0" applyFont="1" applyFill="1" applyBorder="1"/>
    <xf numFmtId="0" fontId="2" fillId="43" borderId="18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43" borderId="0" xfId="0" applyFont="1" applyFill="1"/>
    <xf numFmtId="0" fontId="2" fillId="43" borderId="0" xfId="0" applyFont="1" applyFill="1" applyProtection="1">
      <protection locked="0"/>
    </xf>
    <xf numFmtId="0" fontId="2" fillId="44" borderId="18" xfId="0" applyFont="1" applyFill="1" applyBorder="1" applyProtection="1">
      <protection locked="0"/>
    </xf>
    <xf numFmtId="0" fontId="2" fillId="44" borderId="0" xfId="0" applyFont="1" applyFill="1" applyProtection="1">
      <protection locked="0"/>
    </xf>
    <xf numFmtId="0" fontId="24" fillId="8" borderId="0" xfId="0" applyFont="1" applyFill="1"/>
    <xf numFmtId="0" fontId="19" fillId="0" borderId="14" xfId="0" applyFont="1" applyBorder="1"/>
    <xf numFmtId="0" fontId="2" fillId="0" borderId="18" xfId="0" applyFont="1" applyBorder="1" applyProtection="1">
      <protection locked="0"/>
    </xf>
    <xf numFmtId="0" fontId="2" fillId="0" borderId="21" xfId="0" applyFont="1" applyBorder="1" applyProtection="1">
      <protection locked="0"/>
    </xf>
    <xf numFmtId="0" fontId="23" fillId="43" borderId="9" xfId="0" applyFont="1" applyFill="1" applyBorder="1" applyAlignment="1">
      <alignment horizontal="center"/>
    </xf>
    <xf numFmtId="49" fontId="1" fillId="43" borderId="25" xfId="0" applyNumberFormat="1" applyFont="1" applyFill="1" applyBorder="1"/>
    <xf numFmtId="49" fontId="1" fillId="43" borderId="11" xfId="0" applyNumberFormat="1" applyFont="1" applyFill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45" borderId="9" xfId="0" applyFont="1" applyFill="1" applyBorder="1" applyAlignment="1">
      <alignment horizontal="center"/>
    </xf>
    <xf numFmtId="0" fontId="2" fillId="46" borderId="11" xfId="0" applyFont="1" applyFill="1" applyBorder="1"/>
    <xf numFmtId="0" fontId="2" fillId="46" borderId="11" xfId="0" applyFont="1" applyFill="1" applyBorder="1" applyProtection="1">
      <protection locked="0"/>
    </xf>
    <xf numFmtId="0" fontId="2" fillId="46" borderId="18" xfId="0" applyFont="1" applyFill="1" applyBorder="1" applyProtection="1">
      <protection locked="0"/>
    </xf>
    <xf numFmtId="0" fontId="2" fillId="0" borderId="18" xfId="0" applyFont="1" applyFill="1" applyBorder="1" applyProtection="1">
      <protection locked="0"/>
    </xf>
    <xf numFmtId="0" fontId="2" fillId="46" borderId="0" xfId="0" applyFont="1" applyFill="1" applyProtection="1">
      <protection locked="0"/>
    </xf>
    <xf numFmtId="0" fontId="3" fillId="0" borderId="40" xfId="0" applyFont="1" applyBorder="1" applyAlignment="1">
      <alignment textRotation="255"/>
    </xf>
    <xf numFmtId="0" fontId="3" fillId="0" borderId="15" xfId="0" applyFont="1" applyBorder="1"/>
    <xf numFmtId="0" fontId="3" fillId="0" borderId="32" xfId="0" applyFont="1" applyBorder="1"/>
    <xf numFmtId="0" fontId="3" fillId="0" borderId="42" xfId="0" applyFont="1" applyBorder="1"/>
    <xf numFmtId="0" fontId="3" fillId="0" borderId="40" xfId="0" applyFont="1" applyBorder="1"/>
    <xf numFmtId="168" fontId="30" fillId="0" borderId="11" xfId="0" applyNumberFormat="1" applyFont="1" applyBorder="1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FF8F9C"/>
      <color rgb="FFCC9900"/>
      <color rgb="FFCCCC00"/>
      <color rgb="FFFF66CC"/>
      <color rgb="FFCC0000"/>
      <color rgb="FFFFCC66"/>
      <color rgb="FFFFC5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1569720</xdr:colOff>
          <xdr:row>2</xdr:row>
          <xdr:rowOff>137160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1569720</xdr:colOff>
          <xdr:row>4</xdr:row>
          <xdr:rowOff>121920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220980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198120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220980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167640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121920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abSelected="1" topLeftCell="A4" zoomScale="70" zoomScaleNormal="70" workbookViewId="0">
      <selection activeCell="H31" sqref="H31"/>
    </sheetView>
  </sheetViews>
  <sheetFormatPr defaultColWidth="9.109375" defaultRowHeight="13.2" x14ac:dyDescent="0.25"/>
  <cols>
    <col min="1" max="1" width="15.109375" style="65" customWidth="1"/>
    <col min="2" max="2" width="41.6640625" style="65" bestFit="1" customWidth="1"/>
    <col min="3" max="4" width="11.44140625" style="65" customWidth="1"/>
    <col min="5" max="5" width="11.44140625" style="5" customWidth="1"/>
    <col min="6" max="6" width="11.44140625" style="344" customWidth="1"/>
    <col min="7" max="7" width="33.5546875" style="273" customWidth="1"/>
    <col min="8" max="8" width="64.33203125" style="65" customWidth="1"/>
    <col min="9" max="9" width="12.33203125" style="65" bestFit="1" customWidth="1"/>
    <col min="10" max="16384" width="9.109375" style="65"/>
  </cols>
  <sheetData>
    <row r="1" spans="1:18" x14ac:dyDescent="0.25">
      <c r="A1" s="267"/>
      <c r="B1" s="268"/>
      <c r="C1" s="269"/>
      <c r="D1" s="270"/>
      <c r="E1" s="271"/>
      <c r="F1" s="272"/>
      <c r="K1" s="5"/>
    </row>
    <row r="2" spans="1:18" ht="17.399999999999999" x14ac:dyDescent="0.3">
      <c r="A2" s="373" t="s">
        <v>71</v>
      </c>
      <c r="B2" s="374"/>
      <c r="C2" s="374"/>
      <c r="D2" s="375"/>
      <c r="E2" s="274"/>
      <c r="F2" s="275"/>
      <c r="G2" s="276"/>
      <c r="H2" s="58"/>
    </row>
    <row r="3" spans="1:18" ht="17.399999999999999" x14ac:dyDescent="0.3">
      <c r="A3" s="373"/>
      <c r="B3" s="374"/>
      <c r="C3" s="374"/>
      <c r="D3" s="375"/>
      <c r="E3" s="274"/>
      <c r="F3" s="275"/>
      <c r="G3" s="276"/>
      <c r="H3" s="58"/>
      <c r="I3" s="65" t="s">
        <v>265</v>
      </c>
    </row>
    <row r="4" spans="1:18" ht="17.399999999999999" x14ac:dyDescent="0.3">
      <c r="A4" s="277"/>
      <c r="B4" s="58"/>
      <c r="C4" s="58"/>
      <c r="D4" s="237"/>
      <c r="E4" s="274"/>
      <c r="F4" s="275"/>
      <c r="G4" s="276"/>
      <c r="H4" s="58"/>
      <c r="I4" s="58"/>
      <c r="J4" s="58"/>
      <c r="K4" s="58"/>
    </row>
    <row r="5" spans="1:18" ht="16.2" thickBot="1" x14ac:dyDescent="0.35">
      <c r="A5" s="278"/>
      <c r="B5" s="47" t="str">
        <f>Issue</f>
        <v>2026/27 Show Season</v>
      </c>
      <c r="C5" s="279" t="s">
        <v>353</v>
      </c>
      <c r="D5" s="280"/>
      <c r="E5" s="281"/>
      <c r="F5" s="282"/>
      <c r="K5" s="5"/>
    </row>
    <row r="6" spans="1:18" ht="16.2" thickBot="1" x14ac:dyDescent="0.35">
      <c r="A6" s="278"/>
      <c r="B6" s="47"/>
      <c r="C6" s="283" t="s">
        <v>72</v>
      </c>
      <c r="D6" s="280"/>
      <c r="E6" s="281" t="s">
        <v>4</v>
      </c>
      <c r="F6" s="282"/>
      <c r="H6" s="64" t="s">
        <v>191</v>
      </c>
      <c r="I6" s="376" t="s">
        <v>356</v>
      </c>
      <c r="J6" s="376"/>
      <c r="K6" s="376"/>
      <c r="L6" s="377"/>
    </row>
    <row r="7" spans="1:18" ht="15.6" x14ac:dyDescent="0.3">
      <c r="A7" s="284" t="s">
        <v>73</v>
      </c>
      <c r="B7" s="229" t="s">
        <v>342</v>
      </c>
      <c r="C7" s="285" t="s">
        <v>74</v>
      </c>
      <c r="D7" s="286"/>
      <c r="E7" s="287" t="s">
        <v>158</v>
      </c>
      <c r="F7" s="288" t="s">
        <v>160</v>
      </c>
      <c r="G7" s="289" t="s">
        <v>204</v>
      </c>
      <c r="K7" s="290"/>
    </row>
    <row r="8" spans="1:18" ht="17.399999999999999" x14ac:dyDescent="0.3">
      <c r="A8" s="349" t="s">
        <v>215</v>
      </c>
      <c r="B8" s="292" t="s">
        <v>216</v>
      </c>
      <c r="C8" s="347">
        <v>0</v>
      </c>
      <c r="D8" s="293">
        <v>1</v>
      </c>
      <c r="E8" s="294">
        <v>0</v>
      </c>
      <c r="F8" s="295">
        <v>0</v>
      </c>
      <c r="G8" s="296" t="s">
        <v>354</v>
      </c>
      <c r="H8" s="297"/>
      <c r="I8" s="297"/>
      <c r="J8" s="297"/>
      <c r="K8" s="298"/>
      <c r="L8" s="297"/>
      <c r="M8" s="297"/>
      <c r="N8" s="297"/>
      <c r="O8" s="297"/>
      <c r="P8" s="297"/>
      <c r="Q8" s="297"/>
      <c r="R8" s="297"/>
    </row>
    <row r="9" spans="1:18" ht="17.399999999999999" x14ac:dyDescent="0.3">
      <c r="A9" s="299" t="s">
        <v>16</v>
      </c>
      <c r="B9" s="229" t="s">
        <v>149</v>
      </c>
      <c r="C9" s="307">
        <v>2</v>
      </c>
      <c r="D9" s="293">
        <v>2</v>
      </c>
      <c r="E9" s="281">
        <v>35</v>
      </c>
      <c r="F9" s="282">
        <v>0.17073170731707421</v>
      </c>
      <c r="G9" s="300" t="s">
        <v>198</v>
      </c>
      <c r="H9" s="297" t="s">
        <v>205</v>
      </c>
      <c r="I9" s="297"/>
      <c r="J9" s="297"/>
      <c r="K9" s="298"/>
      <c r="L9" s="297"/>
      <c r="M9" s="301"/>
      <c r="N9" s="297"/>
      <c r="O9" s="297"/>
      <c r="P9" s="297"/>
      <c r="Q9" s="297"/>
      <c r="R9" s="297"/>
    </row>
    <row r="10" spans="1:18" ht="17.399999999999999" x14ac:dyDescent="0.3">
      <c r="A10" s="380" t="s">
        <v>75</v>
      </c>
      <c r="B10" s="229" t="s">
        <v>76</v>
      </c>
      <c r="C10" s="303">
        <v>1</v>
      </c>
      <c r="D10" s="293">
        <v>3</v>
      </c>
      <c r="E10" s="281">
        <v>17</v>
      </c>
      <c r="F10" s="304">
        <v>-0.41463414634146289</v>
      </c>
      <c r="G10" s="276" t="s">
        <v>329</v>
      </c>
      <c r="H10" s="305" t="s">
        <v>293</v>
      </c>
      <c r="I10" s="297"/>
      <c r="J10" s="297"/>
      <c r="K10" s="298"/>
      <c r="L10" s="297"/>
      <c r="M10" s="297"/>
      <c r="N10" s="297"/>
      <c r="O10" s="297"/>
      <c r="P10" s="297"/>
      <c r="Q10" s="297"/>
      <c r="R10" s="297"/>
    </row>
    <row r="11" spans="1:18" ht="17.399999999999999" x14ac:dyDescent="0.3">
      <c r="A11" s="306" t="s">
        <v>12</v>
      </c>
      <c r="B11" s="229" t="s">
        <v>77</v>
      </c>
      <c r="C11" s="307">
        <v>2</v>
      </c>
      <c r="D11" s="293">
        <v>4</v>
      </c>
      <c r="E11" s="281">
        <v>33</v>
      </c>
      <c r="F11" s="304">
        <v>-1.8292682926829258</v>
      </c>
      <c r="G11" s="276" t="s">
        <v>322</v>
      </c>
      <c r="H11" s="305"/>
      <c r="I11" s="297"/>
      <c r="J11" s="297"/>
      <c r="K11" s="298"/>
      <c r="L11" s="297"/>
      <c r="M11" s="297"/>
      <c r="N11" s="297"/>
      <c r="O11" s="297"/>
      <c r="P11" s="297"/>
      <c r="Q11" s="297"/>
      <c r="R11" s="297"/>
    </row>
    <row r="12" spans="1:18" ht="17.399999999999999" x14ac:dyDescent="0.3">
      <c r="A12" s="308" t="s">
        <v>32</v>
      </c>
      <c r="B12" s="229" t="s">
        <v>78</v>
      </c>
      <c r="C12" s="348">
        <v>3</v>
      </c>
      <c r="D12" s="293">
        <v>5</v>
      </c>
      <c r="E12" s="281">
        <v>51</v>
      </c>
      <c r="F12" s="304">
        <v>-1.2439024390243887</v>
      </c>
      <c r="G12" s="276" t="s">
        <v>219</v>
      </c>
      <c r="H12" s="305"/>
      <c r="I12" s="297"/>
      <c r="J12" s="297"/>
      <c r="K12" s="298"/>
      <c r="L12" s="297"/>
      <c r="M12" s="297"/>
      <c r="N12" s="297"/>
      <c r="O12" s="297"/>
      <c r="P12" s="297"/>
      <c r="Q12" s="297"/>
      <c r="R12" s="297"/>
    </row>
    <row r="13" spans="1:18" ht="17.399999999999999" x14ac:dyDescent="0.3">
      <c r="A13" s="309" t="s">
        <v>317</v>
      </c>
      <c r="B13" s="229" t="s">
        <v>341</v>
      </c>
      <c r="C13" s="357">
        <v>4</v>
      </c>
      <c r="D13" s="293">
        <v>6</v>
      </c>
      <c r="E13" s="281">
        <v>69</v>
      </c>
      <c r="F13" s="304">
        <v>-0.65853658536585158</v>
      </c>
      <c r="G13" s="276" t="s">
        <v>316</v>
      </c>
      <c r="H13" s="305"/>
      <c r="I13" s="297"/>
      <c r="J13" s="297"/>
      <c r="K13" s="298"/>
      <c r="L13" s="297"/>
      <c r="M13" s="297"/>
      <c r="N13" s="297"/>
      <c r="O13" s="297"/>
      <c r="P13" s="297"/>
      <c r="Q13" s="297"/>
      <c r="R13" s="297"/>
    </row>
    <row r="14" spans="1:18" ht="17.399999999999999" x14ac:dyDescent="0.3">
      <c r="A14" s="310" t="s">
        <v>25</v>
      </c>
      <c r="B14" s="229" t="s">
        <v>79</v>
      </c>
      <c r="C14" s="307">
        <v>2</v>
      </c>
      <c r="D14" s="293">
        <v>7</v>
      </c>
      <c r="E14" s="281">
        <v>42</v>
      </c>
      <c r="F14" s="311">
        <v>7.1707317073170742</v>
      </c>
      <c r="G14" s="276" t="s">
        <v>323</v>
      </c>
      <c r="H14" s="312" t="s">
        <v>241</v>
      </c>
      <c r="I14" s="297"/>
      <c r="J14" s="297"/>
      <c r="K14" s="298"/>
      <c r="L14" s="297"/>
      <c r="M14" s="297"/>
      <c r="N14" s="297"/>
      <c r="O14" s="297"/>
      <c r="P14" s="297"/>
      <c r="Q14" s="297"/>
      <c r="R14" s="297"/>
    </row>
    <row r="15" spans="1:18" ht="17.399999999999999" x14ac:dyDescent="0.3">
      <c r="A15" s="313" t="s">
        <v>81</v>
      </c>
      <c r="B15" s="314" t="s">
        <v>82</v>
      </c>
      <c r="C15" s="307">
        <v>2</v>
      </c>
      <c r="D15" s="293">
        <v>8</v>
      </c>
      <c r="E15" s="281">
        <v>32</v>
      </c>
      <c r="F15" s="315">
        <v>-2.8292682926829258</v>
      </c>
      <c r="G15" s="276" t="s">
        <v>214</v>
      </c>
      <c r="H15" s="305"/>
      <c r="I15" s="297"/>
      <c r="J15" s="297"/>
      <c r="K15" s="298"/>
      <c r="L15" s="297"/>
      <c r="M15" s="297"/>
      <c r="N15" s="297"/>
      <c r="O15" s="297"/>
      <c r="P15" s="297"/>
      <c r="Q15" s="297"/>
      <c r="R15" s="297"/>
    </row>
    <row r="16" spans="1:18" ht="17.399999999999999" x14ac:dyDescent="0.3">
      <c r="A16" s="316" t="s">
        <v>80</v>
      </c>
      <c r="B16" s="229" t="s">
        <v>147</v>
      </c>
      <c r="C16" s="307">
        <v>2</v>
      </c>
      <c r="D16" s="293">
        <v>9</v>
      </c>
      <c r="E16" s="281">
        <v>31</v>
      </c>
      <c r="F16" s="304">
        <v>-3.8292682926829258</v>
      </c>
      <c r="G16" s="276" t="s">
        <v>203</v>
      </c>
      <c r="H16" s="305"/>
      <c r="I16" s="297"/>
      <c r="J16" s="297"/>
      <c r="K16" s="298"/>
      <c r="L16" s="297"/>
      <c r="M16" s="297"/>
      <c r="N16" s="297"/>
      <c r="O16" s="297"/>
      <c r="P16" s="297"/>
      <c r="Q16" s="297"/>
      <c r="R16" s="297"/>
    </row>
    <row r="17" spans="1:18" ht="17.399999999999999" x14ac:dyDescent="0.3">
      <c r="A17" s="317" t="s">
        <v>217</v>
      </c>
      <c r="B17" s="229" t="s">
        <v>218</v>
      </c>
      <c r="C17" s="303">
        <v>1</v>
      </c>
      <c r="D17" s="293">
        <v>10</v>
      </c>
      <c r="E17" s="281">
        <v>18</v>
      </c>
      <c r="F17" s="318">
        <v>0.58536585365853711</v>
      </c>
      <c r="G17" s="276" t="s">
        <v>240</v>
      </c>
      <c r="H17" s="305"/>
      <c r="I17" s="297"/>
      <c r="J17" s="297"/>
      <c r="K17" s="298"/>
      <c r="L17" s="297"/>
      <c r="M17" s="297"/>
      <c r="N17" s="297"/>
      <c r="O17" s="297"/>
      <c r="P17" s="297"/>
      <c r="Q17" s="297"/>
      <c r="R17" s="297"/>
    </row>
    <row r="18" spans="1:18" ht="17.399999999999999" x14ac:dyDescent="0.3">
      <c r="A18" s="349" t="s">
        <v>337</v>
      </c>
      <c r="B18" s="319" t="s">
        <v>338</v>
      </c>
      <c r="C18" s="347">
        <v>0</v>
      </c>
      <c r="D18" s="293">
        <v>11</v>
      </c>
      <c r="E18" s="294">
        <v>0</v>
      </c>
      <c r="F18" s="318">
        <v>0</v>
      </c>
      <c r="G18" s="276"/>
      <c r="H18" s="305"/>
      <c r="I18" s="297"/>
      <c r="J18" s="297"/>
      <c r="K18" s="298"/>
      <c r="L18" s="297"/>
      <c r="M18" s="297"/>
      <c r="N18" s="297"/>
      <c r="O18" s="297"/>
      <c r="P18" s="297"/>
      <c r="Q18" s="297"/>
      <c r="R18" s="297"/>
    </row>
    <row r="19" spans="1:18" ht="17.399999999999999" x14ac:dyDescent="0.3">
      <c r="A19" s="320" t="s">
        <v>144</v>
      </c>
      <c r="B19" s="229" t="s">
        <v>145</v>
      </c>
      <c r="C19" s="303">
        <v>1</v>
      </c>
      <c r="D19" s="293">
        <v>12</v>
      </c>
      <c r="E19" s="281">
        <v>26</v>
      </c>
      <c r="F19" s="311">
        <v>8.5853658536585371</v>
      </c>
      <c r="G19" s="276" t="s">
        <v>315</v>
      </c>
      <c r="H19" s="305"/>
      <c r="I19" s="297"/>
      <c r="J19" s="297"/>
      <c r="K19" s="298"/>
      <c r="L19" s="297"/>
      <c r="M19" s="297"/>
      <c r="N19" s="297"/>
      <c r="O19" s="297"/>
      <c r="P19" s="297"/>
      <c r="Q19" s="297"/>
      <c r="R19" s="297"/>
    </row>
    <row r="20" spans="1:18" ht="17.399999999999999" x14ac:dyDescent="0.3">
      <c r="A20" s="321" t="s">
        <v>20</v>
      </c>
      <c r="B20" s="229" t="s">
        <v>146</v>
      </c>
      <c r="C20" s="307">
        <v>2</v>
      </c>
      <c r="D20" s="293">
        <v>13</v>
      </c>
      <c r="E20" s="281">
        <v>32</v>
      </c>
      <c r="F20" s="304">
        <v>-2.8292682926829258</v>
      </c>
      <c r="G20" s="276" t="s">
        <v>355</v>
      </c>
      <c r="H20" s="305" t="s">
        <v>193</v>
      </c>
      <c r="I20" s="297"/>
      <c r="J20" s="297"/>
      <c r="K20" s="298"/>
      <c r="L20" s="297"/>
      <c r="M20" s="297"/>
      <c r="N20" s="297"/>
      <c r="O20" s="297"/>
      <c r="P20" s="297"/>
      <c r="Q20" s="297"/>
      <c r="R20" s="297"/>
    </row>
    <row r="21" spans="1:18" ht="17.399999999999999" x14ac:dyDescent="0.3">
      <c r="A21" s="291" t="s">
        <v>83</v>
      </c>
      <c r="B21" s="229" t="s">
        <v>301</v>
      </c>
      <c r="C21" s="303">
        <v>1</v>
      </c>
      <c r="D21" s="293">
        <v>14</v>
      </c>
      <c r="E21" s="281">
        <v>18</v>
      </c>
      <c r="F21" s="282">
        <v>0.58536585365853711</v>
      </c>
      <c r="G21" s="276" t="s">
        <v>243</v>
      </c>
      <c r="H21" s="305" t="s">
        <v>264</v>
      </c>
      <c r="I21" s="297"/>
      <c r="J21" s="297"/>
      <c r="K21" s="298"/>
      <c r="L21" s="297"/>
      <c r="M21" s="297"/>
      <c r="N21" s="297"/>
      <c r="O21" s="297"/>
      <c r="P21" s="297"/>
      <c r="Q21" s="297"/>
      <c r="R21" s="297"/>
    </row>
    <row r="22" spans="1:18" ht="27" x14ac:dyDescent="0.3">
      <c r="A22" s="322" t="s">
        <v>251</v>
      </c>
      <c r="B22" s="229" t="s">
        <v>250</v>
      </c>
      <c r="C22" s="307">
        <v>2</v>
      </c>
      <c r="D22" s="293">
        <v>15</v>
      </c>
      <c r="E22" s="281">
        <v>35</v>
      </c>
      <c r="F22" s="282">
        <v>0.17073170731707421</v>
      </c>
      <c r="G22" s="276" t="s">
        <v>253</v>
      </c>
      <c r="H22" s="323" t="s">
        <v>254</v>
      </c>
      <c r="I22" s="297"/>
      <c r="J22" s="297"/>
      <c r="K22" s="298"/>
      <c r="L22" s="297"/>
      <c r="M22" s="297"/>
      <c r="N22" s="297"/>
      <c r="O22" s="297"/>
      <c r="P22" s="297"/>
      <c r="Q22" s="297"/>
      <c r="R22" s="297"/>
    </row>
    <row r="23" spans="1:18" ht="17.399999999999999" x14ac:dyDescent="0.3">
      <c r="A23" s="324" t="s">
        <v>88</v>
      </c>
      <c r="B23" s="229" t="s">
        <v>89</v>
      </c>
      <c r="C23" s="307">
        <v>2</v>
      </c>
      <c r="D23" s="293">
        <v>16</v>
      </c>
      <c r="E23" s="281">
        <v>35</v>
      </c>
      <c r="F23" s="282">
        <v>0.17073170731707421</v>
      </c>
      <c r="G23" s="276" t="s">
        <v>242</v>
      </c>
      <c r="H23" s="305"/>
      <c r="I23" s="297"/>
      <c r="J23" s="297"/>
      <c r="K23" s="298"/>
      <c r="L23" s="297"/>
      <c r="M23" s="297"/>
      <c r="N23" s="297"/>
      <c r="O23" s="297"/>
      <c r="P23" s="297"/>
      <c r="Q23" s="297"/>
      <c r="R23" s="297"/>
    </row>
    <row r="24" spans="1:18" ht="17.399999999999999" x14ac:dyDescent="0.3">
      <c r="A24" s="325" t="s">
        <v>84</v>
      </c>
      <c r="B24" s="229" t="s">
        <v>148</v>
      </c>
      <c r="C24" s="303">
        <v>1</v>
      </c>
      <c r="D24" s="293">
        <v>17</v>
      </c>
      <c r="E24" s="281">
        <v>17</v>
      </c>
      <c r="F24" s="304">
        <v>-0.41463414634146289</v>
      </c>
      <c r="G24" s="276" t="s">
        <v>239</v>
      </c>
      <c r="H24" s="305"/>
      <c r="I24" s="297"/>
      <c r="J24" s="297"/>
      <c r="K24" s="298"/>
      <c r="L24" s="297"/>
      <c r="M24" s="297"/>
      <c r="N24" s="297"/>
      <c r="O24" s="297"/>
      <c r="P24" s="297"/>
      <c r="Q24" s="297"/>
      <c r="R24" s="297"/>
    </row>
    <row r="25" spans="1:18" ht="17.399999999999999" x14ac:dyDescent="0.3">
      <c r="A25" s="326" t="s">
        <v>34</v>
      </c>
      <c r="B25" s="229" t="s">
        <v>85</v>
      </c>
      <c r="C25" s="348">
        <v>3</v>
      </c>
      <c r="D25" s="293">
        <v>18</v>
      </c>
      <c r="E25" s="281">
        <v>51</v>
      </c>
      <c r="F25" s="304">
        <v>-1.2439024390243887</v>
      </c>
      <c r="G25" s="276" t="s">
        <v>252</v>
      </c>
      <c r="H25" s="305"/>
      <c r="I25" s="297"/>
      <c r="J25" s="297"/>
      <c r="K25" s="298"/>
      <c r="L25" s="297"/>
      <c r="M25" s="297"/>
      <c r="N25" s="297"/>
      <c r="O25" s="297"/>
      <c r="P25" s="297"/>
      <c r="Q25" s="297"/>
      <c r="R25" s="297"/>
    </row>
    <row r="26" spans="1:18" ht="17.399999999999999" x14ac:dyDescent="0.3">
      <c r="A26" s="308" t="s">
        <v>334</v>
      </c>
      <c r="B26" s="229" t="s">
        <v>333</v>
      </c>
      <c r="C26" s="307">
        <v>2</v>
      </c>
      <c r="D26" s="293">
        <v>19</v>
      </c>
      <c r="E26" s="281">
        <v>32</v>
      </c>
      <c r="F26" s="304">
        <v>-2.8292682926829258</v>
      </c>
      <c r="G26" s="276" t="s">
        <v>330</v>
      </c>
      <c r="H26" s="305"/>
      <c r="I26" s="297"/>
      <c r="J26" s="297"/>
      <c r="K26" s="298"/>
      <c r="L26" s="297"/>
      <c r="M26" s="297"/>
      <c r="N26" s="297"/>
      <c r="O26" s="297"/>
      <c r="P26" s="297"/>
      <c r="Q26" s="297"/>
      <c r="R26" s="297"/>
    </row>
    <row r="27" spans="1:18" ht="17.399999999999999" x14ac:dyDescent="0.3">
      <c r="A27" s="302" t="s">
        <v>41</v>
      </c>
      <c r="B27" s="229" t="s">
        <v>156</v>
      </c>
      <c r="C27" s="348">
        <v>3</v>
      </c>
      <c r="D27" s="293">
        <v>20</v>
      </c>
      <c r="E27" s="281">
        <v>51</v>
      </c>
      <c r="F27" s="304">
        <v>-1.2439024390243887</v>
      </c>
      <c r="G27" s="276" t="s">
        <v>200</v>
      </c>
      <c r="H27" s="305"/>
      <c r="I27" s="297"/>
      <c r="J27" s="297"/>
      <c r="K27" s="298"/>
      <c r="L27" s="297"/>
      <c r="M27" s="297"/>
      <c r="N27" s="297"/>
      <c r="O27" s="297"/>
      <c r="P27" s="297"/>
      <c r="Q27" s="297"/>
      <c r="R27" s="297"/>
    </row>
    <row r="28" spans="1:18" ht="17.399999999999999" x14ac:dyDescent="0.3">
      <c r="A28" s="327" t="s">
        <v>212</v>
      </c>
      <c r="B28" s="328" t="s">
        <v>213</v>
      </c>
      <c r="C28" s="347">
        <v>0</v>
      </c>
      <c r="D28" s="293">
        <v>21</v>
      </c>
      <c r="E28" s="281">
        <v>0</v>
      </c>
      <c r="F28" s="282">
        <v>0</v>
      </c>
      <c r="G28" s="276" t="s">
        <v>199</v>
      </c>
      <c r="H28" s="305" t="s">
        <v>352</v>
      </c>
      <c r="I28" s="297"/>
      <c r="J28" s="297"/>
      <c r="K28" s="298"/>
      <c r="L28" s="297"/>
      <c r="M28" s="297"/>
      <c r="N28" s="297"/>
      <c r="O28" s="297"/>
      <c r="P28" s="297"/>
      <c r="Q28" s="297"/>
      <c r="R28" s="297"/>
    </row>
    <row r="29" spans="1:18" ht="17.399999999999999" x14ac:dyDescent="0.3">
      <c r="A29" s="329" t="s">
        <v>37</v>
      </c>
      <c r="B29" s="229" t="s">
        <v>87</v>
      </c>
      <c r="C29" s="307">
        <v>2</v>
      </c>
      <c r="D29" s="293">
        <v>22</v>
      </c>
      <c r="E29" s="281">
        <v>35</v>
      </c>
      <c r="F29" s="282">
        <v>0.17073170731707421</v>
      </c>
      <c r="G29" s="276" t="s">
        <v>245</v>
      </c>
      <c r="H29" s="305">
        <v>0</v>
      </c>
      <c r="I29" s="297"/>
      <c r="J29" s="297"/>
      <c r="K29" s="298"/>
      <c r="L29" s="330"/>
      <c r="M29" s="297"/>
      <c r="N29" s="297"/>
      <c r="O29" s="297"/>
      <c r="P29" s="297"/>
      <c r="Q29" s="297"/>
      <c r="R29" s="297"/>
    </row>
    <row r="30" spans="1:18" ht="17.399999999999999" x14ac:dyDescent="0.3">
      <c r="A30" s="331" t="s">
        <v>7</v>
      </c>
      <c r="B30" s="345" t="s">
        <v>202</v>
      </c>
      <c r="C30" s="307">
        <v>2</v>
      </c>
      <c r="D30" s="293">
        <v>23</v>
      </c>
      <c r="E30" s="281">
        <v>35</v>
      </c>
      <c r="F30" s="282">
        <v>0.17073170731707421</v>
      </c>
      <c r="G30" s="276" t="s">
        <v>244</v>
      </c>
      <c r="H30" s="305"/>
      <c r="I30" s="297"/>
      <c r="J30" s="297"/>
      <c r="K30" s="298"/>
      <c r="L30" s="297"/>
      <c r="M30" s="297"/>
      <c r="N30" s="297"/>
      <c r="O30" s="297"/>
      <c r="P30" s="297"/>
      <c r="Q30" s="297"/>
      <c r="R30" s="297"/>
    </row>
    <row r="31" spans="1:18" ht="17.399999999999999" x14ac:dyDescent="0.3">
      <c r="A31" s="358" t="s">
        <v>18</v>
      </c>
      <c r="B31" s="229" t="s">
        <v>86</v>
      </c>
      <c r="C31" s="303">
        <v>1</v>
      </c>
      <c r="D31" s="293">
        <v>24</v>
      </c>
      <c r="E31" s="281">
        <v>17</v>
      </c>
      <c r="F31" s="304">
        <v>-0.41463414634146289</v>
      </c>
      <c r="G31" s="276" t="s">
        <v>201</v>
      </c>
      <c r="H31" s="305"/>
      <c r="I31" s="297"/>
      <c r="J31" s="297"/>
      <c r="K31" s="298"/>
      <c r="L31" s="297"/>
      <c r="M31" s="297"/>
      <c r="N31" s="297"/>
      <c r="O31" s="297"/>
      <c r="P31" s="297"/>
      <c r="Q31" s="297"/>
      <c r="R31" s="297"/>
    </row>
    <row r="32" spans="1:18" ht="15.6" x14ac:dyDescent="0.3">
      <c r="A32" s="332"/>
      <c r="B32" s="229"/>
      <c r="C32" s="303"/>
      <c r="D32" s="333"/>
      <c r="E32" s="281"/>
      <c r="F32" s="304"/>
      <c r="H32" s="305"/>
      <c r="I32" s="297"/>
      <c r="J32" s="297"/>
      <c r="K32" s="298"/>
      <c r="L32" s="297"/>
      <c r="M32" s="297"/>
      <c r="N32" s="297"/>
      <c r="O32" s="297"/>
      <c r="P32" s="297"/>
      <c r="Q32" s="297"/>
      <c r="R32" s="297"/>
    </row>
    <row r="33" spans="1:18" ht="15.6" x14ac:dyDescent="0.3">
      <c r="A33" s="278"/>
      <c r="B33" s="47"/>
      <c r="C33" s="334"/>
      <c r="D33" s="335"/>
      <c r="E33" s="281"/>
      <c r="F33" s="304"/>
      <c r="H33" s="305"/>
      <c r="I33" s="297"/>
      <c r="J33" s="297"/>
      <c r="K33" s="298"/>
      <c r="L33" s="297"/>
      <c r="M33" s="297"/>
      <c r="N33" s="297"/>
      <c r="O33" s="297"/>
      <c r="P33" s="297"/>
      <c r="Q33" s="297"/>
      <c r="R33" s="297"/>
    </row>
    <row r="34" spans="1:18" ht="16.2" thickBot="1" x14ac:dyDescent="0.35">
      <c r="A34" s="278"/>
      <c r="B34" s="47"/>
      <c r="C34" s="336"/>
      <c r="D34" s="335"/>
      <c r="E34" s="281"/>
      <c r="F34" s="282"/>
      <c r="H34" s="65" t="s">
        <v>331</v>
      </c>
      <c r="K34" s="5"/>
    </row>
    <row r="35" spans="1:18" ht="16.2" thickBot="1" x14ac:dyDescent="0.35">
      <c r="A35" s="337"/>
      <c r="B35" s="64" t="s">
        <v>90</v>
      </c>
      <c r="C35" s="338">
        <f>SUM(C8:C34)</f>
        <v>41</v>
      </c>
      <c r="D35" s="339"/>
      <c r="E35" s="340"/>
      <c r="F35" s="341"/>
      <c r="K35" s="5"/>
    </row>
    <row r="36" spans="1:18" ht="15.6" x14ac:dyDescent="0.3">
      <c r="A36" s="47"/>
      <c r="B36" s="47"/>
      <c r="C36" s="50"/>
      <c r="D36" s="47"/>
      <c r="E36" s="50" t="s">
        <v>158</v>
      </c>
      <c r="F36" s="342"/>
    </row>
    <row r="37" spans="1:18" ht="15.6" x14ac:dyDescent="0.3">
      <c r="A37" s="47"/>
      <c r="B37" s="47" t="s">
        <v>128</v>
      </c>
      <c r="C37" s="50">
        <f>GrandTotalHours</f>
        <v>714</v>
      </c>
      <c r="D37" s="47"/>
      <c r="E37" s="50">
        <f>SUM(E7:E36)</f>
        <v>712</v>
      </c>
      <c r="F37" s="342"/>
    </row>
    <row r="38" spans="1:18" ht="15.6" x14ac:dyDescent="0.3">
      <c r="A38" s="47"/>
      <c r="B38" s="47"/>
      <c r="C38" s="50"/>
      <c r="D38" s="47"/>
      <c r="E38" s="50"/>
      <c r="F38" s="342"/>
    </row>
    <row r="39" spans="1:18" ht="15.6" x14ac:dyDescent="0.3">
      <c r="A39" s="47"/>
      <c r="B39" s="47" t="s">
        <v>129</v>
      </c>
      <c r="C39" s="343">
        <f>GrandTotalHours/TotalShowShares</f>
        <v>17.414634146341463</v>
      </c>
      <c r="D39" s="47"/>
      <c r="E39" s="50"/>
      <c r="F39" s="342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1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H7" sqref="H7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261</v>
      </c>
      <c r="C4" s="92">
        <v>7</v>
      </c>
      <c r="D4" s="92">
        <v>16</v>
      </c>
      <c r="F4" s="13" t="s">
        <v>255</v>
      </c>
      <c r="H4" s="92" t="str">
        <f>FALLFriday</f>
        <v>Friday 9/25/2026</v>
      </c>
      <c r="J4">
        <f>ROW(FALLFriday)</f>
        <v>5</v>
      </c>
    </row>
    <row r="5" spans="1:10" x14ac:dyDescent="0.25">
      <c r="A5" t="s">
        <v>262</v>
      </c>
      <c r="C5" s="92">
        <v>25</v>
      </c>
      <c r="D5" s="92">
        <v>12</v>
      </c>
      <c r="F5" s="13" t="s">
        <v>256</v>
      </c>
      <c r="H5" s="92" t="str">
        <f>FALLSaturday</f>
        <v>Saturday 9/26/2026</v>
      </c>
      <c r="J5">
        <f>ROW(FALLSaturday)</f>
        <v>5</v>
      </c>
    </row>
    <row r="6" spans="1:10" x14ac:dyDescent="0.25">
      <c r="A6" t="s">
        <v>263</v>
      </c>
      <c r="C6" s="92">
        <v>26</v>
      </c>
      <c r="D6" s="92">
        <v>12</v>
      </c>
      <c r="F6" s="13" t="s">
        <v>257</v>
      </c>
      <c r="H6" s="92" t="str">
        <f>FALLSunday</f>
        <v>Sunday 9/27/2025</v>
      </c>
      <c r="J6">
        <f>ROW(FALLSunday)</f>
        <v>5</v>
      </c>
    </row>
    <row r="7" spans="1:10" x14ac:dyDescent="0.25">
      <c r="A7" t="s">
        <v>136</v>
      </c>
      <c r="C7" s="92">
        <v>7</v>
      </c>
      <c r="D7" s="92">
        <f>FindHourlyCols("DAT Friday",DATFriday)</f>
        <v>16</v>
      </c>
      <c r="F7" t="s">
        <v>258</v>
      </c>
      <c r="H7" s="92" t="str">
        <f>DATFriday</f>
        <v>Friday 01/15/2026</v>
      </c>
      <c r="J7">
        <f>ROW(DATFriday)</f>
        <v>5</v>
      </c>
    </row>
    <row r="8" spans="1:10" x14ac:dyDescent="0.25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259</v>
      </c>
      <c r="H8" s="92" t="str">
        <f>DATSaturday</f>
        <v>Saturday 01/16/2026</v>
      </c>
      <c r="J8">
        <f>ROW(DATSaturday)</f>
        <v>5</v>
      </c>
    </row>
    <row r="9" spans="1:10" x14ac:dyDescent="0.25">
      <c r="A9" t="s">
        <v>138</v>
      </c>
      <c r="C9" s="92">
        <v>26</v>
      </c>
      <c r="D9" s="92">
        <v>12</v>
      </c>
      <c r="F9" t="s">
        <v>260</v>
      </c>
      <c r="H9" s="92" t="str">
        <f>DATSunday</f>
        <v>Sunday 01/17/2026</v>
      </c>
      <c r="J9">
        <f>ROW(DATSunday)</f>
        <v>5</v>
      </c>
    </row>
    <row r="12" spans="1:10" x14ac:dyDescent="0.25">
      <c r="D12" s="92">
        <v>1</v>
      </c>
    </row>
    <row r="13" spans="1:10" x14ac:dyDescent="0.25">
      <c r="D13" s="92">
        <v>0</v>
      </c>
      <c r="F13" t="s">
        <v>208</v>
      </c>
      <c r="I13" s="92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92">
        <v>1</v>
      </c>
      <c r="D16" s="92">
        <v>29</v>
      </c>
    </row>
    <row r="17" spans="1:4" x14ac:dyDescent="0.25">
      <c r="A17" s="13" t="s">
        <v>267</v>
      </c>
      <c r="C17" s="92">
        <v>4</v>
      </c>
      <c r="D17" s="92">
        <v>42</v>
      </c>
    </row>
    <row r="18" spans="1:4" x14ac:dyDescent="0.25">
      <c r="A18" s="13" t="s">
        <v>268</v>
      </c>
      <c r="C18" s="92">
        <v>46</v>
      </c>
      <c r="D18" s="92">
        <v>86</v>
      </c>
    </row>
    <row r="19" spans="1:4" x14ac:dyDescent="0.25">
      <c r="A19" t="s">
        <v>187</v>
      </c>
      <c r="C19" s="92">
        <v>90</v>
      </c>
      <c r="D19" s="92">
        <v>125</v>
      </c>
    </row>
    <row r="20" spans="1:4" x14ac:dyDescent="0.25">
      <c r="A20" t="s">
        <v>188</v>
      </c>
      <c r="C20" s="92">
        <v>129</v>
      </c>
      <c r="D20" s="92">
        <v>176</v>
      </c>
    </row>
    <row r="22" spans="1:4" x14ac:dyDescent="0.25">
      <c r="A22" s="355" t="s">
        <v>344</v>
      </c>
    </row>
    <row r="23" spans="1:4" x14ac:dyDescent="0.25">
      <c r="A23" t="s">
        <v>343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3" sqref="B3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94" t="s">
        <v>231</v>
      </c>
      <c r="B1" s="91"/>
      <c r="C1" s="91"/>
      <c r="D1" s="95"/>
    </row>
    <row r="2" spans="1:8" x14ac:dyDescent="0.25">
      <c r="A2" s="1"/>
      <c r="B2" s="2" t="str">
        <f>Issue</f>
        <v>2026/27 Show Season</v>
      </c>
      <c r="C2" s="2"/>
      <c r="D2" s="96"/>
    </row>
    <row r="3" spans="1:8" ht="15.6" x14ac:dyDescent="0.3">
      <c r="A3" s="3"/>
      <c r="B3" s="107" t="str">
        <f>Season</f>
        <v>2026/2027</v>
      </c>
      <c r="C3" s="2"/>
      <c r="D3" s="97"/>
    </row>
    <row r="4" spans="1:8" x14ac:dyDescent="0.25">
      <c r="A4" s="4"/>
      <c r="C4" s="5" t="s">
        <v>0</v>
      </c>
      <c r="D4" s="97" t="s">
        <v>1</v>
      </c>
    </row>
    <row r="5" spans="1:8" x14ac:dyDescent="0.25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5">
      <c r="A6" s="59" t="s">
        <v>6</v>
      </c>
      <c r="B6" s="109" t="s">
        <v>269</v>
      </c>
      <c r="C6" s="19">
        <v>4</v>
      </c>
      <c r="D6" s="99" t="s">
        <v>144</v>
      </c>
      <c r="F6" s="9"/>
      <c r="H6" s="2"/>
    </row>
    <row r="7" spans="1:8" x14ac:dyDescent="0.25">
      <c r="A7" s="59" t="s">
        <v>8</v>
      </c>
      <c r="B7" s="109" t="s">
        <v>270</v>
      </c>
      <c r="C7" s="19">
        <v>2</v>
      </c>
      <c r="D7" s="99" t="s">
        <v>144</v>
      </c>
      <c r="F7" s="9"/>
      <c r="H7" s="2"/>
    </row>
    <row r="8" spans="1:8" x14ac:dyDescent="0.25">
      <c r="A8" s="59" t="s">
        <v>9</v>
      </c>
      <c r="B8" s="109" t="s">
        <v>271</v>
      </c>
      <c r="C8" s="19">
        <v>2</v>
      </c>
      <c r="D8" s="99" t="s">
        <v>144</v>
      </c>
      <c r="F8" s="9"/>
      <c r="H8" s="2"/>
    </row>
    <row r="9" spans="1:8" x14ac:dyDescent="0.25">
      <c r="A9" s="155" t="s">
        <v>9</v>
      </c>
      <c r="B9" s="148" t="s">
        <v>335</v>
      </c>
      <c r="C9" s="19">
        <v>9</v>
      </c>
      <c r="D9" s="99" t="s">
        <v>251</v>
      </c>
      <c r="F9" s="9"/>
      <c r="H9" s="2"/>
    </row>
    <row r="10" spans="1:8" x14ac:dyDescent="0.25">
      <c r="A10" s="59" t="s">
        <v>10</v>
      </c>
      <c r="B10" s="109" t="s">
        <v>272</v>
      </c>
      <c r="C10" s="19">
        <v>2</v>
      </c>
      <c r="D10" s="126" t="s">
        <v>32</v>
      </c>
      <c r="F10" s="9"/>
      <c r="H10" s="2"/>
    </row>
    <row r="11" spans="1:8" x14ac:dyDescent="0.25">
      <c r="A11" s="59" t="s">
        <v>11</v>
      </c>
      <c r="B11" s="109" t="s">
        <v>285</v>
      </c>
      <c r="C11" s="19">
        <v>8</v>
      </c>
      <c r="D11" s="126" t="s">
        <v>144</v>
      </c>
      <c r="F11" s="9"/>
      <c r="H11" s="2"/>
    </row>
    <row r="12" spans="1:8" x14ac:dyDescent="0.25">
      <c r="A12" s="59"/>
      <c r="B12" s="110"/>
      <c r="C12" s="19"/>
      <c r="D12" s="99"/>
      <c r="F12" s="9"/>
      <c r="H12" s="2"/>
    </row>
    <row r="13" spans="1:8" x14ac:dyDescent="0.25">
      <c r="A13" s="59" t="s">
        <v>13</v>
      </c>
      <c r="B13" s="109" t="s">
        <v>273</v>
      </c>
      <c r="C13" s="19">
        <v>6</v>
      </c>
      <c r="D13" s="126" t="s">
        <v>12</v>
      </c>
      <c r="F13" s="9"/>
      <c r="H13" s="2"/>
    </row>
    <row r="14" spans="1:8" x14ac:dyDescent="0.25">
      <c r="A14" s="59" t="s">
        <v>14</v>
      </c>
      <c r="B14" s="110"/>
      <c r="C14" s="19"/>
      <c r="D14" s="99"/>
      <c r="F14" s="9"/>
      <c r="H14" s="2"/>
    </row>
    <row r="15" spans="1:8" x14ac:dyDescent="0.25">
      <c r="A15" s="59" t="s">
        <v>15</v>
      </c>
      <c r="B15" s="110"/>
      <c r="C15" s="19"/>
      <c r="D15" s="99"/>
      <c r="F15" s="9"/>
      <c r="H15" s="2"/>
    </row>
    <row r="16" spans="1:8" x14ac:dyDescent="0.25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5">
      <c r="A17" s="59" t="s">
        <v>17</v>
      </c>
      <c r="B17" s="13" t="s">
        <v>286</v>
      </c>
      <c r="C17" s="153">
        <v>10</v>
      </c>
      <c r="D17" s="100" t="s">
        <v>32</v>
      </c>
      <c r="F17" s="88"/>
      <c r="H17" s="2"/>
    </row>
    <row r="18" spans="1:8" x14ac:dyDescent="0.25">
      <c r="A18" s="59" t="s">
        <v>19</v>
      </c>
      <c r="B18" s="110"/>
      <c r="C18" s="19"/>
      <c r="D18" s="99"/>
      <c r="F18" s="9"/>
      <c r="H18" s="2"/>
    </row>
    <row r="19" spans="1:8" x14ac:dyDescent="0.25">
      <c r="A19" s="59" t="s">
        <v>21</v>
      </c>
      <c r="B19" s="148"/>
      <c r="C19" s="19"/>
      <c r="D19" s="99"/>
      <c r="F19" s="9"/>
      <c r="H19" s="2"/>
    </row>
    <row r="20" spans="1:8" x14ac:dyDescent="0.25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5">
      <c r="A21" s="59" t="s">
        <v>24</v>
      </c>
      <c r="B21" s="148" t="s">
        <v>332</v>
      </c>
      <c r="C21" s="19">
        <v>4</v>
      </c>
      <c r="D21" s="126" t="s">
        <v>7</v>
      </c>
      <c r="F21" s="88"/>
      <c r="H21" s="2"/>
    </row>
    <row r="22" spans="1:8" x14ac:dyDescent="0.25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5">
      <c r="A23" s="59" t="s">
        <v>28</v>
      </c>
      <c r="B23" s="110"/>
      <c r="C23" s="19"/>
      <c r="D23" s="99"/>
      <c r="F23" s="9"/>
      <c r="H23" s="2"/>
    </row>
    <row r="24" spans="1:8" x14ac:dyDescent="0.25">
      <c r="A24" s="59" t="s">
        <v>29</v>
      </c>
      <c r="B24" s="110"/>
      <c r="C24" s="19"/>
      <c r="D24" s="99"/>
      <c r="F24" s="9"/>
      <c r="H24" s="2"/>
    </row>
    <row r="25" spans="1:8" x14ac:dyDescent="0.25">
      <c r="A25" s="59" t="s">
        <v>30</v>
      </c>
      <c r="B25" s="18" t="s">
        <v>31</v>
      </c>
      <c r="C25" s="19">
        <v>10</v>
      </c>
      <c r="D25" s="100" t="s">
        <v>217</v>
      </c>
      <c r="F25" s="9"/>
      <c r="H25" s="2"/>
    </row>
    <row r="26" spans="1:8" x14ac:dyDescent="0.25">
      <c r="A26" s="80" t="s">
        <v>33</v>
      </c>
      <c r="B26" s="148" t="s">
        <v>345</v>
      </c>
      <c r="C26" s="19">
        <v>6</v>
      </c>
      <c r="D26" s="99" t="s">
        <v>7</v>
      </c>
      <c r="F26" s="9"/>
      <c r="H26" s="2"/>
    </row>
    <row r="27" spans="1:8" x14ac:dyDescent="0.25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5">
      <c r="A28" s="59" t="s">
        <v>38</v>
      </c>
      <c r="B28" s="110"/>
      <c r="C28" s="19"/>
      <c r="D28" s="99"/>
      <c r="F28" s="9"/>
      <c r="H28" s="2"/>
    </row>
    <row r="29" spans="1:8" x14ac:dyDescent="0.25">
      <c r="A29" s="80" t="s">
        <v>211</v>
      </c>
      <c r="B29" t="s">
        <v>287</v>
      </c>
      <c r="C29" s="153">
        <v>0</v>
      </c>
      <c r="D29" s="151"/>
      <c r="F29" s="88"/>
      <c r="H29" s="2"/>
    </row>
    <row r="30" spans="1:8" x14ac:dyDescent="0.25">
      <c r="A30" s="80"/>
      <c r="B30" t="s">
        <v>288</v>
      </c>
      <c r="C30" s="153">
        <v>0</v>
      </c>
      <c r="D30" s="151"/>
      <c r="F30" s="88"/>
      <c r="H30" s="2"/>
    </row>
    <row r="31" spans="1:8" x14ac:dyDescent="0.25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5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5">
      <c r="A33" s="59" t="s">
        <v>44</v>
      </c>
      <c r="B33" s="18" t="s">
        <v>276</v>
      </c>
      <c r="C33" s="19">
        <v>1</v>
      </c>
      <c r="D33" s="100" t="s">
        <v>18</v>
      </c>
      <c r="F33" s="88"/>
      <c r="H33" s="2"/>
    </row>
    <row r="34" spans="1:8" ht="15" x14ac:dyDescent="0.25">
      <c r="A34" s="59" t="s">
        <v>45</v>
      </c>
      <c r="B34" s="18" t="s">
        <v>46</v>
      </c>
      <c r="C34" s="19">
        <v>2</v>
      </c>
      <c r="D34" s="157" t="s">
        <v>317</v>
      </c>
      <c r="F34" s="88"/>
      <c r="H34" s="2"/>
    </row>
    <row r="35" spans="1:8" x14ac:dyDescent="0.25">
      <c r="A35" s="59" t="s">
        <v>47</v>
      </c>
      <c r="B35" s="109" t="s">
        <v>277</v>
      </c>
      <c r="C35" s="19">
        <v>2</v>
      </c>
      <c r="D35" s="99" t="s">
        <v>334</v>
      </c>
      <c r="F35" s="9"/>
      <c r="H35" s="2"/>
    </row>
    <row r="36" spans="1:8" ht="15" x14ac:dyDescent="0.25">
      <c r="A36" s="59" t="s">
        <v>48</v>
      </c>
      <c r="B36" s="109" t="s">
        <v>284</v>
      </c>
      <c r="C36" s="19">
        <v>2</v>
      </c>
      <c r="D36" s="157" t="s">
        <v>317</v>
      </c>
      <c r="F36" s="9"/>
      <c r="H36" s="2"/>
    </row>
    <row r="37" spans="1:8" x14ac:dyDescent="0.25">
      <c r="A37" s="59" t="s">
        <v>50</v>
      </c>
      <c r="B37" s="148" t="s">
        <v>324</v>
      </c>
      <c r="C37" s="19">
        <v>12</v>
      </c>
      <c r="D37" s="99" t="s">
        <v>25</v>
      </c>
      <c r="F37" s="9"/>
      <c r="H37" s="2"/>
    </row>
    <row r="38" spans="1:8" x14ac:dyDescent="0.25">
      <c r="A38" s="59"/>
      <c r="B38" s="110"/>
      <c r="C38" s="19"/>
      <c r="D38" s="99"/>
      <c r="F38" s="9"/>
      <c r="H38" s="2"/>
    </row>
    <row r="39" spans="1:8" x14ac:dyDescent="0.25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5">
      <c r="A40" s="59" t="s">
        <v>196</v>
      </c>
      <c r="B40" s="18" t="s">
        <v>197</v>
      </c>
      <c r="C40" s="19">
        <v>1</v>
      </c>
      <c r="D40" s="99" t="s">
        <v>217</v>
      </c>
      <c r="F40" s="9"/>
      <c r="H40" s="2"/>
    </row>
    <row r="41" spans="1:8" x14ac:dyDescent="0.25">
      <c r="A41" s="4"/>
      <c r="C41" s="2"/>
      <c r="D41" s="96"/>
    </row>
    <row r="42" spans="1:8" ht="13.8" thickBot="1" x14ac:dyDescent="0.3">
      <c r="A42" s="60"/>
      <c r="B42" s="111" t="s">
        <v>282</v>
      </c>
      <c r="C42" s="71">
        <f>SUM(C5:C41)</f>
        <v>129</v>
      </c>
      <c r="D42" s="101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94" t="s">
        <v>232</v>
      </c>
      <c r="B46" s="91"/>
      <c r="C46" s="91"/>
      <c r="D46" s="95"/>
    </row>
    <row r="47" spans="1:8" x14ac:dyDescent="0.25">
      <c r="A47" s="4"/>
      <c r="B47" s="2" t="str">
        <f>Issue</f>
        <v>2026/27 Show Season</v>
      </c>
      <c r="C47" s="2"/>
      <c r="D47" s="96"/>
    </row>
    <row r="48" spans="1:8" ht="15.6" x14ac:dyDescent="0.3">
      <c r="A48" s="4"/>
      <c r="B48" s="50" t="str">
        <f>Season</f>
        <v>2026/2027</v>
      </c>
      <c r="C48" s="2" t="s">
        <v>51</v>
      </c>
      <c r="D48" s="102" t="s">
        <v>161</v>
      </c>
    </row>
    <row r="49" spans="1:8" x14ac:dyDescent="0.25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5">
      <c r="A50" s="59"/>
      <c r="B50" s="18"/>
      <c r="C50" s="93">
        <v>0</v>
      </c>
      <c r="D50" s="82">
        <v>0</v>
      </c>
      <c r="H50" s="2"/>
    </row>
    <row r="51" spans="1:8" x14ac:dyDescent="0.25">
      <c r="A51" s="59"/>
      <c r="B51" s="18"/>
      <c r="C51" s="93">
        <v>0</v>
      </c>
      <c r="D51" s="82">
        <v>0</v>
      </c>
      <c r="H51" s="2"/>
    </row>
    <row r="52" spans="1:8" x14ac:dyDescent="0.25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5">
      <c r="A53" s="59" t="s">
        <v>52</v>
      </c>
      <c r="B53" s="112" t="s">
        <v>340</v>
      </c>
      <c r="C53" s="19">
        <v>24</v>
      </c>
      <c r="D53" s="82">
        <v>24</v>
      </c>
    </row>
    <row r="54" spans="1:8" ht="15" x14ac:dyDescent="0.25">
      <c r="A54" s="59" t="s">
        <v>291</v>
      </c>
      <c r="B54" s="112"/>
      <c r="C54" s="19"/>
      <c r="D54" s="82">
        <v>0</v>
      </c>
    </row>
    <row r="55" spans="1:8" ht="15" x14ac:dyDescent="0.25">
      <c r="A55" s="59" t="s">
        <v>236</v>
      </c>
      <c r="B55" s="112" t="s">
        <v>283</v>
      </c>
      <c r="C55" s="19">
        <v>2</v>
      </c>
      <c r="D55" s="82">
        <v>2</v>
      </c>
    </row>
    <row r="56" spans="1:8" x14ac:dyDescent="0.25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5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5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5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5">
      <c r="A60" s="59" t="s">
        <v>130</v>
      </c>
      <c r="B60" s="18" t="s">
        <v>220</v>
      </c>
      <c r="C60" s="19">
        <v>7</v>
      </c>
      <c r="D60" s="82">
        <v>7</v>
      </c>
    </row>
    <row r="61" spans="1:8" x14ac:dyDescent="0.25">
      <c r="A61" s="59" t="s">
        <v>131</v>
      </c>
      <c r="B61" s="109" t="s">
        <v>228</v>
      </c>
      <c r="C61" s="19">
        <v>6</v>
      </c>
      <c r="D61" s="82">
        <v>6</v>
      </c>
    </row>
    <row r="62" spans="1:8" x14ac:dyDescent="0.25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5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5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5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5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5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5">
      <c r="A68" s="59" t="s">
        <v>59</v>
      </c>
      <c r="B68" s="18" t="s">
        <v>221</v>
      </c>
      <c r="C68" s="19">
        <v>22</v>
      </c>
      <c r="D68" s="82">
        <v>22</v>
      </c>
    </row>
    <row r="69" spans="1:4" x14ac:dyDescent="0.25">
      <c r="A69" s="59" t="s">
        <v>59</v>
      </c>
      <c r="B69" s="18" t="s">
        <v>222</v>
      </c>
      <c r="C69" s="19">
        <v>14</v>
      </c>
      <c r="D69" s="82">
        <v>14</v>
      </c>
    </row>
    <row r="70" spans="1:4" x14ac:dyDescent="0.25">
      <c r="A70" s="59" t="s">
        <v>225</v>
      </c>
      <c r="B70" s="18" t="s">
        <v>223</v>
      </c>
      <c r="C70" s="19">
        <v>22</v>
      </c>
      <c r="D70" s="82">
        <v>22</v>
      </c>
    </row>
    <row r="71" spans="1:4" x14ac:dyDescent="0.25">
      <c r="A71" s="59" t="s">
        <v>225</v>
      </c>
      <c r="B71" s="18" t="s">
        <v>224</v>
      </c>
      <c r="C71" s="19">
        <v>14</v>
      </c>
      <c r="D71" s="82">
        <v>14</v>
      </c>
    </row>
    <row r="72" spans="1:4" x14ac:dyDescent="0.25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5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5">
      <c r="A74" s="59" t="s">
        <v>183</v>
      </c>
      <c r="B74" s="113" t="s">
        <v>290</v>
      </c>
      <c r="C74" s="19">
        <v>7</v>
      </c>
      <c r="D74" s="82">
        <v>7</v>
      </c>
    </row>
    <row r="75" spans="1:4" ht="15" x14ac:dyDescent="0.25">
      <c r="A75" s="59" t="s">
        <v>122</v>
      </c>
      <c r="B75" s="113" t="s">
        <v>289</v>
      </c>
      <c r="C75" s="19">
        <v>5</v>
      </c>
      <c r="D75" s="82">
        <v>5</v>
      </c>
    </row>
    <row r="76" spans="1:4" x14ac:dyDescent="0.25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5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5">
      <c r="A78" s="59" t="s">
        <v>246</v>
      </c>
      <c r="B78" s="152" t="s">
        <v>248</v>
      </c>
      <c r="C78" s="153">
        <v>0</v>
      </c>
      <c r="D78" s="82">
        <v>0</v>
      </c>
    </row>
    <row r="79" spans="1:4" x14ac:dyDescent="0.25">
      <c r="A79" s="59" t="s">
        <v>247</v>
      </c>
      <c r="B79" s="152" t="s">
        <v>249</v>
      </c>
      <c r="C79" s="153">
        <v>0</v>
      </c>
      <c r="D79" s="82">
        <v>0</v>
      </c>
    </row>
    <row r="80" spans="1:4" x14ac:dyDescent="0.25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5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5">
      <c r="A82" s="59" t="s">
        <v>237</v>
      </c>
      <c r="B82" s="18" t="s">
        <v>238</v>
      </c>
      <c r="C82" s="19">
        <v>9</v>
      </c>
      <c r="D82" s="82">
        <v>9</v>
      </c>
      <c r="G82" s="9"/>
    </row>
    <row r="83" spans="1:7" x14ac:dyDescent="0.25">
      <c r="A83" s="59" t="s">
        <v>226</v>
      </c>
      <c r="B83" s="18" t="s">
        <v>69</v>
      </c>
      <c r="C83" s="19">
        <v>2</v>
      </c>
      <c r="D83" s="82">
        <v>2</v>
      </c>
    </row>
    <row r="84" spans="1:7" ht="15" x14ac:dyDescent="0.25">
      <c r="A84" s="59" t="s">
        <v>227</v>
      </c>
      <c r="B84" s="113" t="s">
        <v>182</v>
      </c>
      <c r="C84" s="19">
        <v>6</v>
      </c>
      <c r="D84" s="356">
        <v>4</v>
      </c>
    </row>
    <row r="85" spans="1:7" x14ac:dyDescent="0.25">
      <c r="A85" s="8"/>
      <c r="C85" s="19"/>
      <c r="D85" s="102" t="s">
        <v>158</v>
      </c>
    </row>
    <row r="86" spans="1:7" x14ac:dyDescent="0.25">
      <c r="A86" s="59"/>
      <c r="B86" s="114" t="s">
        <v>63</v>
      </c>
      <c r="C86" s="70">
        <f>SUM(C49:C85)</f>
        <v>237</v>
      </c>
      <c r="D86" s="104">
        <f>SUM(D49:D85)</f>
        <v>235</v>
      </c>
    </row>
    <row r="87" spans="1:7" x14ac:dyDescent="0.25">
      <c r="A87" s="8"/>
      <c r="C87" s="21"/>
      <c r="D87" s="102"/>
    </row>
    <row r="88" spans="1:7" ht="13.8" thickBot="1" x14ac:dyDescent="0.3">
      <c r="A88" s="60"/>
      <c r="B88" s="111" t="s">
        <v>281</v>
      </c>
      <c r="C88" s="71">
        <f>C42+C86</f>
        <v>366</v>
      </c>
      <c r="D88" s="105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292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94" t="s">
        <v>233</v>
      </c>
      <c r="B96" s="115"/>
      <c r="C96" s="91"/>
      <c r="D96" s="95"/>
    </row>
    <row r="97" spans="1:4" ht="17.399999999999999" x14ac:dyDescent="0.3">
      <c r="A97" s="57"/>
      <c r="B97" s="2" t="str">
        <f>Issue</f>
        <v>2026/27 Show Season</v>
      </c>
      <c r="C97" s="58"/>
      <c r="D97" s="96"/>
    </row>
    <row r="98" spans="1:4" ht="15.6" x14ac:dyDescent="0.3">
      <c r="A98" s="4"/>
      <c r="B98" s="50" t="str">
        <f>Season</f>
        <v>2026/2027</v>
      </c>
      <c r="C98" s="5" t="str">
        <f>C4</f>
        <v>Current</v>
      </c>
      <c r="D98" s="97" t="str">
        <f>D4</f>
        <v>RESPONSIBLE</v>
      </c>
    </row>
    <row r="99" spans="1:4" x14ac:dyDescent="0.25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5">
      <c r="A100" s="59" t="s">
        <v>6</v>
      </c>
      <c r="B100" s="109" t="s">
        <v>269</v>
      </c>
      <c r="C100" s="19">
        <v>4</v>
      </c>
      <c r="D100" s="99" t="s">
        <v>144</v>
      </c>
    </row>
    <row r="101" spans="1:4" x14ac:dyDescent="0.25">
      <c r="A101" s="59" t="s">
        <v>8</v>
      </c>
      <c r="B101" s="109" t="s">
        <v>270</v>
      </c>
      <c r="C101" s="19">
        <v>2</v>
      </c>
      <c r="D101" s="100" t="s">
        <v>144</v>
      </c>
    </row>
    <row r="102" spans="1:4" x14ac:dyDescent="0.25">
      <c r="A102" s="59"/>
      <c r="B102" s="109" t="s">
        <v>271</v>
      </c>
      <c r="C102" s="19">
        <v>2</v>
      </c>
      <c r="D102" s="100" t="s">
        <v>144</v>
      </c>
    </row>
    <row r="103" spans="1:4" x14ac:dyDescent="0.25">
      <c r="A103" s="155" t="s">
        <v>9</v>
      </c>
      <c r="B103" s="148" t="s">
        <v>335</v>
      </c>
      <c r="C103" s="19">
        <v>9</v>
      </c>
      <c r="D103" s="99" t="s">
        <v>251</v>
      </c>
    </row>
    <row r="104" spans="1:4" x14ac:dyDescent="0.25">
      <c r="A104" s="59" t="s">
        <v>10</v>
      </c>
      <c r="B104" s="109" t="s">
        <v>272</v>
      </c>
      <c r="C104" s="19">
        <v>2</v>
      </c>
      <c r="D104" s="126" t="s">
        <v>32</v>
      </c>
    </row>
    <row r="105" spans="1:4" x14ac:dyDescent="0.25">
      <c r="A105" s="59" t="s">
        <v>11</v>
      </c>
      <c r="B105" s="109" t="s">
        <v>285</v>
      </c>
      <c r="C105" s="19">
        <v>2</v>
      </c>
      <c r="D105" s="126" t="s">
        <v>144</v>
      </c>
    </row>
    <row r="106" spans="1:4" x14ac:dyDescent="0.25">
      <c r="A106" s="59" t="s">
        <v>13</v>
      </c>
      <c r="B106" s="109" t="s">
        <v>273</v>
      </c>
      <c r="C106" s="19">
        <v>6</v>
      </c>
      <c r="D106" s="99" t="s">
        <v>12</v>
      </c>
    </row>
    <row r="107" spans="1:4" x14ac:dyDescent="0.25">
      <c r="A107" s="59"/>
      <c r="B107" s="18"/>
      <c r="C107" s="19"/>
      <c r="D107" s="100"/>
    </row>
    <row r="108" spans="1:4" x14ac:dyDescent="0.25">
      <c r="A108" s="59"/>
      <c r="B108" s="18"/>
      <c r="C108" s="19"/>
      <c r="D108" s="99"/>
    </row>
    <row r="109" spans="1:4" x14ac:dyDescent="0.25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5">
      <c r="A110" s="59" t="s">
        <v>17</v>
      </c>
      <c r="B110" s="13" t="s">
        <v>286</v>
      </c>
      <c r="C110" s="153">
        <v>10</v>
      </c>
      <c r="D110" s="151" t="s">
        <v>32</v>
      </c>
    </row>
    <row r="111" spans="1:4" x14ac:dyDescent="0.25">
      <c r="A111" s="59"/>
      <c r="B111" s="18"/>
      <c r="C111" s="19"/>
      <c r="D111" s="99"/>
    </row>
    <row r="112" spans="1:4" x14ac:dyDescent="0.25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5">
      <c r="A113" s="59" t="s">
        <v>24</v>
      </c>
      <c r="B113" s="148" t="s">
        <v>274</v>
      </c>
      <c r="C113" s="19">
        <v>4</v>
      </c>
      <c r="D113" s="100" t="s">
        <v>34</v>
      </c>
    </row>
    <row r="114" spans="1:7" x14ac:dyDescent="0.25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5">
      <c r="A115" s="59"/>
      <c r="B115" s="18"/>
      <c r="C115" s="19"/>
      <c r="D115" s="100"/>
    </row>
    <row r="116" spans="1:7" x14ac:dyDescent="0.25">
      <c r="A116" s="59"/>
      <c r="B116" s="18"/>
      <c r="C116" s="19"/>
      <c r="D116" s="100"/>
    </row>
    <row r="117" spans="1:7" x14ac:dyDescent="0.25">
      <c r="A117" s="59" t="s">
        <v>30</v>
      </c>
      <c r="B117" s="18" t="s">
        <v>64</v>
      </c>
      <c r="C117" s="19">
        <v>1</v>
      </c>
      <c r="D117" s="100" t="s">
        <v>217</v>
      </c>
    </row>
    <row r="118" spans="1:7" x14ac:dyDescent="0.25">
      <c r="A118" s="59" t="s">
        <v>33</v>
      </c>
      <c r="B118" s="109" t="s">
        <v>275</v>
      </c>
      <c r="C118" s="19">
        <v>6</v>
      </c>
      <c r="D118" s="100" t="s">
        <v>25</v>
      </c>
    </row>
    <row r="119" spans="1:7" x14ac:dyDescent="0.25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5">
      <c r="A120" s="59" t="s">
        <v>38</v>
      </c>
      <c r="B120" t="s">
        <v>288</v>
      </c>
      <c r="C120" s="153">
        <v>0</v>
      </c>
      <c r="D120" s="151"/>
    </row>
    <row r="121" spans="1:7" x14ac:dyDescent="0.25">
      <c r="A121" s="80" t="s">
        <v>211</v>
      </c>
      <c r="B121" t="s">
        <v>287</v>
      </c>
      <c r="C121" s="153">
        <v>0</v>
      </c>
      <c r="D121" s="151"/>
    </row>
    <row r="122" spans="1:7" x14ac:dyDescent="0.25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5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5">
      <c r="A124" s="59" t="s">
        <v>44</v>
      </c>
      <c r="B124" s="18" t="s">
        <v>276</v>
      </c>
      <c r="C124" s="19">
        <v>1</v>
      </c>
      <c r="D124" s="100" t="s">
        <v>18</v>
      </c>
    </row>
    <row r="125" spans="1:7" ht="15" x14ac:dyDescent="0.25">
      <c r="A125" s="59" t="s">
        <v>45</v>
      </c>
      <c r="B125" s="18" t="s">
        <v>46</v>
      </c>
      <c r="C125" s="19">
        <v>2</v>
      </c>
      <c r="D125" s="158" t="s">
        <v>317</v>
      </c>
    </row>
    <row r="126" spans="1:7" x14ac:dyDescent="0.25">
      <c r="A126" s="59" t="s">
        <v>47</v>
      </c>
      <c r="B126" s="109" t="s">
        <v>277</v>
      </c>
      <c r="C126" s="19">
        <v>2</v>
      </c>
      <c r="D126" s="99" t="s">
        <v>334</v>
      </c>
    </row>
    <row r="127" spans="1:7" ht="15" x14ac:dyDescent="0.25">
      <c r="A127" s="59" t="s">
        <v>48</v>
      </c>
      <c r="B127" s="109" t="s">
        <v>284</v>
      </c>
      <c r="C127" s="19">
        <v>2</v>
      </c>
      <c r="D127" s="158" t="s">
        <v>317</v>
      </c>
    </row>
    <row r="128" spans="1:7" x14ac:dyDescent="0.25">
      <c r="A128" s="59" t="s">
        <v>50</v>
      </c>
      <c r="B128" s="148" t="s">
        <v>324</v>
      </c>
      <c r="C128" s="19">
        <v>8</v>
      </c>
      <c r="D128" s="99" t="s">
        <v>25</v>
      </c>
    </row>
    <row r="129" spans="1:4" x14ac:dyDescent="0.25">
      <c r="A129" s="59"/>
      <c r="B129" s="18"/>
      <c r="C129" s="22"/>
      <c r="D129" s="99"/>
    </row>
    <row r="130" spans="1:4" x14ac:dyDescent="0.25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5">
      <c r="A131" s="59" t="s">
        <v>196</v>
      </c>
      <c r="B131" s="18" t="s">
        <v>197</v>
      </c>
      <c r="C131" s="19">
        <v>1</v>
      </c>
      <c r="D131" s="99" t="s">
        <v>217</v>
      </c>
    </row>
    <row r="132" spans="1:4" x14ac:dyDescent="0.25">
      <c r="A132" s="79"/>
      <c r="C132" s="2"/>
      <c r="D132" s="96"/>
    </row>
    <row r="133" spans="1:4" ht="13.8" thickBot="1" x14ac:dyDescent="0.3">
      <c r="A133" s="62"/>
      <c r="B133" s="61" t="s">
        <v>66</v>
      </c>
      <c r="C133" s="71">
        <f>SUM(C99:C132)</f>
        <v>110</v>
      </c>
      <c r="D133" s="101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94" t="s">
        <v>234</v>
      </c>
      <c r="B137" s="91"/>
      <c r="C137" s="91"/>
      <c r="D137" s="95"/>
    </row>
    <row r="138" spans="1:4" x14ac:dyDescent="0.25">
      <c r="A138" s="8"/>
      <c r="B138" s="2" t="str">
        <f>Issue</f>
        <v>2026/27 Show Season</v>
      </c>
      <c r="C138" s="2"/>
      <c r="D138" s="96"/>
    </row>
    <row r="139" spans="1:4" ht="15.6" x14ac:dyDescent="0.3">
      <c r="A139" s="11"/>
      <c r="B139" s="50" t="str">
        <f>Season</f>
        <v>2026/2027</v>
      </c>
      <c r="C139" s="2"/>
      <c r="D139" s="96"/>
    </row>
    <row r="140" spans="1:4" x14ac:dyDescent="0.25">
      <c r="A140" s="11"/>
      <c r="C140" s="2" t="s">
        <v>51</v>
      </c>
      <c r="D140" s="102" t="s">
        <v>161</v>
      </c>
    </row>
    <row r="141" spans="1:4" x14ac:dyDescent="0.25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5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5">
      <c r="A143" s="20" t="s">
        <v>52</v>
      </c>
      <c r="B143" s="112" t="s">
        <v>340</v>
      </c>
      <c r="C143" s="19">
        <v>24</v>
      </c>
      <c r="D143" s="82">
        <v>24</v>
      </c>
    </row>
    <row r="144" spans="1:4" ht="15" x14ac:dyDescent="0.25">
      <c r="A144" s="20" t="s">
        <v>236</v>
      </c>
      <c r="B144" s="112"/>
      <c r="C144" s="19">
        <v>0</v>
      </c>
      <c r="D144" s="82">
        <v>0</v>
      </c>
    </row>
    <row r="145" spans="1:4" ht="15" x14ac:dyDescent="0.25">
      <c r="A145" s="20" t="s">
        <v>300</v>
      </c>
      <c r="B145" s="112" t="s">
        <v>283</v>
      </c>
      <c r="C145" s="19">
        <v>2</v>
      </c>
      <c r="D145" s="82">
        <v>2</v>
      </c>
    </row>
    <row r="146" spans="1:4" x14ac:dyDescent="0.25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5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5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5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5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5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5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5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5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5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5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5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5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5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5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5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5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5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5">
      <c r="A164" s="20" t="s">
        <v>183</v>
      </c>
      <c r="B164" s="18" t="s">
        <v>290</v>
      </c>
      <c r="C164" s="19">
        <v>7</v>
      </c>
      <c r="D164" s="82">
        <v>7</v>
      </c>
    </row>
    <row r="165" spans="1:4" x14ac:dyDescent="0.25">
      <c r="A165" s="20" t="s">
        <v>122</v>
      </c>
      <c r="B165" s="18" t="s">
        <v>289</v>
      </c>
      <c r="C165" s="19">
        <v>5</v>
      </c>
      <c r="D165" s="82">
        <v>5</v>
      </c>
    </row>
    <row r="166" spans="1:4" x14ac:dyDescent="0.25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5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5">
      <c r="A168" s="20" t="s">
        <v>246</v>
      </c>
      <c r="B168" s="18" t="s">
        <v>248</v>
      </c>
      <c r="C168" s="19">
        <v>0</v>
      </c>
      <c r="D168" s="82">
        <v>0</v>
      </c>
    </row>
    <row r="169" spans="1:4" x14ac:dyDescent="0.25">
      <c r="A169" s="20" t="s">
        <v>247</v>
      </c>
      <c r="B169" s="109" t="s">
        <v>249</v>
      </c>
      <c r="C169" s="19">
        <v>0</v>
      </c>
      <c r="D169" s="82">
        <v>0</v>
      </c>
    </row>
    <row r="170" spans="1:4" x14ac:dyDescent="0.25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5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5">
      <c r="A172" s="20" t="s">
        <v>237</v>
      </c>
      <c r="B172" s="18" t="s">
        <v>238</v>
      </c>
      <c r="C172" s="19">
        <v>9</v>
      </c>
      <c r="D172" s="82">
        <v>9</v>
      </c>
    </row>
    <row r="173" spans="1:4" x14ac:dyDescent="0.25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5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5">
      <c r="A175" s="63"/>
      <c r="C175" s="2"/>
      <c r="D175" s="106" t="s">
        <v>158</v>
      </c>
    </row>
    <row r="176" spans="1:4" x14ac:dyDescent="0.25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5">
      <c r="A177" s="4"/>
      <c r="C177" s="2"/>
      <c r="D177" s="102"/>
    </row>
    <row r="178" spans="1:4" x14ac:dyDescent="0.25">
      <c r="A178" s="20"/>
      <c r="B178" s="116" t="s">
        <v>70</v>
      </c>
      <c r="C178" s="70">
        <f>C133+C176</f>
        <v>348</v>
      </c>
      <c r="D178" s="104"/>
    </row>
    <row r="179" spans="1:4" x14ac:dyDescent="0.25">
      <c r="A179" s="4"/>
      <c r="C179" s="2"/>
      <c r="D179" s="102"/>
    </row>
    <row r="180" spans="1:4" ht="13.8" thickBot="1" x14ac:dyDescent="0.3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C3" sqref="C3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32" t="s">
        <v>229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2026/27 Show Season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6" x14ac:dyDescent="0.3">
      <c r="A2" s="32" t="s">
        <v>230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347</v>
      </c>
      <c r="B3" s="86"/>
      <c r="C3" s="86"/>
      <c r="D3" s="86"/>
      <c r="E3" s="86"/>
      <c r="F3" s="86"/>
      <c r="G3" s="33"/>
      <c r="H3" s="35"/>
      <c r="I3" s="36"/>
      <c r="J3" s="68" t="s">
        <v>328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2" thickBot="1" x14ac:dyDescent="0.35">
      <c r="A5" s="26" t="str">
        <f>A3</f>
        <v>Friday 9/25/2026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318</v>
      </c>
      <c r="O5" s="27" t="s">
        <v>319</v>
      </c>
      <c r="P5" s="27" t="s">
        <v>320</v>
      </c>
      <c r="Q5" s="27" t="s">
        <v>321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6" x14ac:dyDescent="0.3">
      <c r="A6" s="238" t="s">
        <v>157</v>
      </c>
      <c r="B6" s="214" t="s">
        <v>34</v>
      </c>
      <c r="C6" s="214" t="s">
        <v>34</v>
      </c>
      <c r="D6" s="214" t="s">
        <v>34</v>
      </c>
      <c r="E6" s="214" t="s">
        <v>34</v>
      </c>
      <c r="F6" s="214" t="s">
        <v>34</v>
      </c>
      <c r="G6" s="214" t="s">
        <v>34</v>
      </c>
      <c r="H6" s="214" t="s">
        <v>34</v>
      </c>
      <c r="I6" s="214" t="s">
        <v>34</v>
      </c>
      <c r="J6" s="214" t="s">
        <v>34</v>
      </c>
      <c r="K6" s="239"/>
      <c r="L6" s="239"/>
      <c r="M6" s="239"/>
      <c r="N6" s="239"/>
      <c r="O6" s="239"/>
      <c r="P6" s="239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6" x14ac:dyDescent="0.3">
      <c r="A7" s="187" t="s">
        <v>238</v>
      </c>
      <c r="B7" s="187"/>
      <c r="C7" s="187"/>
      <c r="D7" s="240" t="s">
        <v>20</v>
      </c>
      <c r="E7" s="241" t="s">
        <v>20</v>
      </c>
      <c r="F7" s="241" t="s">
        <v>20</v>
      </c>
      <c r="G7" s="241" t="s">
        <v>20</v>
      </c>
      <c r="H7" s="241" t="s">
        <v>20</v>
      </c>
      <c r="I7" s="241" t="s">
        <v>20</v>
      </c>
      <c r="J7" s="241" t="s">
        <v>20</v>
      </c>
      <c r="K7" s="241" t="s">
        <v>20</v>
      </c>
      <c r="L7" s="240" t="s">
        <v>20</v>
      </c>
      <c r="M7" s="239"/>
      <c r="N7" s="239"/>
      <c r="O7" s="239"/>
      <c r="P7" s="239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6" x14ac:dyDescent="0.3">
      <c r="A8" s="187" t="s">
        <v>340</v>
      </c>
      <c r="B8" s="187"/>
      <c r="C8" s="187"/>
      <c r="D8" s="187"/>
      <c r="E8" s="242" t="s">
        <v>37</v>
      </c>
      <c r="F8" s="242" t="s">
        <v>37</v>
      </c>
      <c r="G8" s="350" t="s">
        <v>334</v>
      </c>
      <c r="H8" s="243" t="s">
        <v>12</v>
      </c>
      <c r="I8" s="244" t="s">
        <v>84</v>
      </c>
      <c r="J8" s="351" t="s">
        <v>83</v>
      </c>
      <c r="K8" s="351" t="s">
        <v>83</v>
      </c>
      <c r="L8" s="351" t="s">
        <v>83</v>
      </c>
      <c r="M8" s="381" t="s">
        <v>75</v>
      </c>
      <c r="N8" s="239"/>
      <c r="O8" s="239"/>
      <c r="P8" s="239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6" x14ac:dyDescent="0.3">
      <c r="A9" s="187" t="s">
        <v>340</v>
      </c>
      <c r="B9" s="187"/>
      <c r="C9" s="187"/>
      <c r="D9" s="187"/>
      <c r="E9" s="246" t="s">
        <v>251</v>
      </c>
      <c r="F9" s="245" t="s">
        <v>41</v>
      </c>
      <c r="G9" s="247" t="s">
        <v>41</v>
      </c>
      <c r="H9" s="248" t="s">
        <v>16</v>
      </c>
      <c r="I9" s="248" t="s">
        <v>16</v>
      </c>
      <c r="J9" s="248" t="s">
        <v>16</v>
      </c>
      <c r="K9" s="242" t="s">
        <v>37</v>
      </c>
      <c r="L9" s="382" t="s">
        <v>75</v>
      </c>
      <c r="M9" s="359" t="s">
        <v>18</v>
      </c>
      <c r="N9" s="239"/>
      <c r="O9" s="239"/>
      <c r="P9" s="239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6" x14ac:dyDescent="0.3">
      <c r="A10" s="201" t="s">
        <v>91</v>
      </c>
      <c r="B10" s="231"/>
      <c r="C10" s="231"/>
      <c r="D10" s="231"/>
      <c r="E10" s="231"/>
      <c r="F10" s="231"/>
      <c r="G10" s="249"/>
      <c r="H10" s="249"/>
      <c r="I10" s="208" t="s">
        <v>80</v>
      </c>
      <c r="J10" s="208" t="s">
        <v>80</v>
      </c>
      <c r="K10" s="208" t="s">
        <v>80</v>
      </c>
      <c r="L10" s="208" t="s">
        <v>80</v>
      </c>
      <c r="M10" s="208" t="s">
        <v>80</v>
      </c>
      <c r="N10" s="250" t="s">
        <v>80</v>
      </c>
      <c r="O10" s="250" t="s">
        <v>80</v>
      </c>
      <c r="P10" s="251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6" x14ac:dyDescent="0.3">
      <c r="A11" s="201" t="s">
        <v>163</v>
      </c>
      <c r="B11" s="231"/>
      <c r="C11" s="231"/>
      <c r="D11" s="231"/>
      <c r="E11" s="231"/>
      <c r="F11" s="231"/>
      <c r="G11" s="252" t="s">
        <v>37</v>
      </c>
      <c r="H11" s="252" t="s">
        <v>37</v>
      </c>
      <c r="I11" s="211" t="s">
        <v>37</v>
      </c>
      <c r="J11" s="211" t="s">
        <v>37</v>
      </c>
      <c r="K11" s="203" t="s">
        <v>41</v>
      </c>
      <c r="L11" s="203" t="s">
        <v>41</v>
      </c>
      <c r="M11" s="203" t="s">
        <v>41</v>
      </c>
      <c r="N11" s="199" t="s">
        <v>41</v>
      </c>
      <c r="O11" s="199" t="s">
        <v>41</v>
      </c>
      <c r="P11" s="253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5">
      <c r="L17" s="81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B9" sqref="B9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3" bestFit="1" customWidth="1"/>
  </cols>
  <sheetData>
    <row r="1" spans="1:43" ht="15.6" x14ac:dyDescent="0.3">
      <c r="A1" s="32" t="s">
        <v>229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2026/27 Show Season</v>
      </c>
      <c r="J1" s="31"/>
      <c r="K1" s="31"/>
      <c r="L1" s="31"/>
      <c r="M1" s="33"/>
    </row>
    <row r="2" spans="1:43" ht="15.6" x14ac:dyDescent="0.3">
      <c r="A2" s="32" t="s">
        <v>230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39" t="s">
        <v>346</v>
      </c>
      <c r="B3" s="31"/>
      <c r="C3" s="31"/>
      <c r="D3" s="31"/>
      <c r="E3" s="68" t="s">
        <v>327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26" t="str">
        <f>A3</f>
        <v>Saturday 9/26/2026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87" t="s">
        <v>340</v>
      </c>
      <c r="B6" s="220" t="s">
        <v>317</v>
      </c>
      <c r="C6" s="199" t="s">
        <v>41</v>
      </c>
      <c r="D6" s="254" t="s">
        <v>37</v>
      </c>
      <c r="E6" s="239"/>
      <c r="F6" s="239"/>
      <c r="G6" s="239"/>
      <c r="H6" s="239"/>
      <c r="I6" s="239"/>
      <c r="J6" s="239"/>
      <c r="K6" s="239"/>
      <c r="L6" s="255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87" t="s">
        <v>340</v>
      </c>
      <c r="B7" s="219" t="s">
        <v>7</v>
      </c>
      <c r="C7" s="219" t="s">
        <v>7</v>
      </c>
      <c r="D7" s="254" t="s">
        <v>37</v>
      </c>
      <c r="E7" s="239"/>
      <c r="F7" s="239"/>
      <c r="G7" s="239"/>
      <c r="H7" s="239"/>
      <c r="I7" s="239"/>
      <c r="J7" s="239"/>
      <c r="K7" s="239"/>
      <c r="L7" s="255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01" t="s">
        <v>172</v>
      </c>
      <c r="B8" s="224" t="s">
        <v>88</v>
      </c>
      <c r="C8" s="213" t="s">
        <v>334</v>
      </c>
      <c r="D8" s="256" t="s">
        <v>12</v>
      </c>
      <c r="E8" s="249"/>
      <c r="F8" s="249"/>
      <c r="G8" s="249"/>
      <c r="H8" s="249"/>
      <c r="I8" s="249"/>
      <c r="J8" s="249"/>
      <c r="K8" s="249"/>
      <c r="L8" s="257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87" t="s">
        <v>174</v>
      </c>
      <c r="B9" s="220" t="s">
        <v>317</v>
      </c>
      <c r="C9" s="205" t="s">
        <v>317</v>
      </c>
      <c r="D9" s="205" t="s">
        <v>317</v>
      </c>
      <c r="E9" s="249"/>
      <c r="F9" s="239"/>
      <c r="G9" s="239"/>
      <c r="H9" s="239"/>
      <c r="I9" s="239"/>
      <c r="J9" s="239"/>
      <c r="K9" s="239"/>
      <c r="L9" s="255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1" t="s">
        <v>220</v>
      </c>
      <c r="B10" s="249"/>
      <c r="C10" s="249"/>
      <c r="D10" s="249"/>
      <c r="E10" s="360" t="s">
        <v>18</v>
      </c>
      <c r="F10" s="360" t="s">
        <v>18</v>
      </c>
      <c r="G10" s="204" t="s">
        <v>12</v>
      </c>
      <c r="H10" s="211" t="s">
        <v>37</v>
      </c>
      <c r="I10" s="211" t="s">
        <v>37</v>
      </c>
      <c r="J10" s="360" t="s">
        <v>18</v>
      </c>
      <c r="K10" s="211" t="s">
        <v>37</v>
      </c>
      <c r="L10" s="257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1" t="s">
        <v>102</v>
      </c>
      <c r="B11" s="208" t="s">
        <v>80</v>
      </c>
      <c r="C11" s="208" t="s">
        <v>80</v>
      </c>
      <c r="D11" s="258" t="s">
        <v>80</v>
      </c>
      <c r="E11" s="222" t="s">
        <v>16</v>
      </c>
      <c r="F11" s="222" t="s">
        <v>16</v>
      </c>
      <c r="G11" s="222" t="s">
        <v>16</v>
      </c>
      <c r="H11" s="209" t="s">
        <v>84</v>
      </c>
      <c r="I11" s="383" t="s">
        <v>75</v>
      </c>
      <c r="J11" s="221" t="s">
        <v>7</v>
      </c>
      <c r="K11" s="259" t="s">
        <v>20</v>
      </c>
      <c r="L11" s="257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1" t="s">
        <v>164</v>
      </c>
      <c r="B12" s="216" t="s">
        <v>251</v>
      </c>
      <c r="C12" s="216" t="s">
        <v>251</v>
      </c>
      <c r="D12" s="216" t="s">
        <v>251</v>
      </c>
      <c r="E12" s="213" t="s">
        <v>334</v>
      </c>
      <c r="F12" s="224" t="s">
        <v>88</v>
      </c>
      <c r="G12" s="224" t="s">
        <v>88</v>
      </c>
      <c r="H12" s="205" t="s">
        <v>317</v>
      </c>
      <c r="I12" s="213" t="s">
        <v>334</v>
      </c>
      <c r="J12" s="209" t="s">
        <v>84</v>
      </c>
      <c r="K12" s="205" t="s">
        <v>317</v>
      </c>
      <c r="L12" s="257"/>
      <c r="M12" s="33"/>
    </row>
    <row r="13" spans="1:43" ht="15.6" x14ac:dyDescent="0.3">
      <c r="A13" s="65" t="s">
        <v>283</v>
      </c>
      <c r="B13" s="384"/>
      <c r="C13" s="384"/>
      <c r="D13" s="212" t="s">
        <v>217</v>
      </c>
      <c r="E13" s="212" t="s">
        <v>217</v>
      </c>
      <c r="F13" s="257"/>
      <c r="G13" s="257"/>
      <c r="H13" s="257"/>
      <c r="I13" s="257"/>
      <c r="J13" s="257"/>
      <c r="K13" s="257"/>
      <c r="L13" s="257"/>
      <c r="M13" s="33"/>
    </row>
    <row r="14" spans="1:43" ht="15.6" x14ac:dyDescent="0.3">
      <c r="A14" s="201" t="s">
        <v>221</v>
      </c>
      <c r="B14" s="249"/>
      <c r="C14" s="249"/>
      <c r="D14" s="249"/>
      <c r="E14" s="205" t="s">
        <v>317</v>
      </c>
      <c r="F14" s="205" t="s">
        <v>317</v>
      </c>
      <c r="G14" s="220" t="s">
        <v>317</v>
      </c>
      <c r="H14" s="360" t="s">
        <v>18</v>
      </c>
      <c r="I14" s="224" t="s">
        <v>88</v>
      </c>
      <c r="J14" s="224" t="s">
        <v>88</v>
      </c>
      <c r="K14" s="260" t="s">
        <v>41</v>
      </c>
      <c r="L14" s="257"/>
      <c r="M14" s="33"/>
    </row>
    <row r="15" spans="1:43" ht="15.6" x14ac:dyDescent="0.3">
      <c r="A15" s="187" t="s">
        <v>221</v>
      </c>
      <c r="B15" s="239"/>
      <c r="C15" s="239"/>
      <c r="D15" s="239"/>
      <c r="E15" s="261" t="s">
        <v>80</v>
      </c>
      <c r="F15" s="261" t="s">
        <v>80</v>
      </c>
      <c r="G15" s="223" t="s">
        <v>20</v>
      </c>
      <c r="H15" s="262" t="s">
        <v>12</v>
      </c>
      <c r="I15" s="262" t="s">
        <v>12</v>
      </c>
      <c r="J15" s="262" t="s">
        <v>12</v>
      </c>
      <c r="K15" s="263" t="s">
        <v>84</v>
      </c>
      <c r="L15" s="255"/>
      <c r="M15" s="33"/>
    </row>
    <row r="16" spans="1:43" ht="15.6" x14ac:dyDescent="0.3">
      <c r="A16" s="187" t="s">
        <v>221</v>
      </c>
      <c r="B16" s="239"/>
      <c r="C16" s="239"/>
      <c r="D16" s="239"/>
      <c r="E16" s="199" t="s">
        <v>41</v>
      </c>
      <c r="F16" s="199" t="s">
        <v>41</v>
      </c>
      <c r="G16" s="199" t="s">
        <v>41</v>
      </c>
      <c r="H16" s="199" t="s">
        <v>41</v>
      </c>
      <c r="I16" s="239"/>
      <c r="J16" s="239"/>
      <c r="K16" s="239"/>
      <c r="L16" s="255"/>
      <c r="M16" s="33"/>
    </row>
    <row r="17" spans="1:13" ht="15.6" x14ac:dyDescent="0.3">
      <c r="A17" s="187" t="s">
        <v>221</v>
      </c>
      <c r="B17" s="239"/>
      <c r="C17" s="239"/>
      <c r="D17" s="239"/>
      <c r="E17" s="352" t="s">
        <v>83</v>
      </c>
      <c r="F17" s="352" t="s">
        <v>83</v>
      </c>
      <c r="G17" s="261" t="s">
        <v>80</v>
      </c>
      <c r="H17" s="261" t="s">
        <v>80</v>
      </c>
      <c r="I17" s="239"/>
      <c r="J17" s="239"/>
      <c r="K17" s="239"/>
      <c r="L17" s="255"/>
      <c r="M17" s="33"/>
    </row>
    <row r="18" spans="1:13" ht="15.6" x14ac:dyDescent="0.3">
      <c r="A18" s="201" t="s">
        <v>223</v>
      </c>
      <c r="B18" s="239"/>
      <c r="C18" s="239"/>
      <c r="D18" s="239"/>
      <c r="E18" s="215" t="s">
        <v>88</v>
      </c>
      <c r="F18" s="224" t="s">
        <v>88</v>
      </c>
      <c r="G18" s="215" t="s">
        <v>88</v>
      </c>
      <c r="H18" s="218" t="s">
        <v>16</v>
      </c>
      <c r="I18" s="218" t="s">
        <v>16</v>
      </c>
      <c r="J18" s="218" t="s">
        <v>16</v>
      </c>
      <c r="K18" s="214" t="s">
        <v>34</v>
      </c>
      <c r="L18" s="255"/>
      <c r="M18" s="33"/>
    </row>
    <row r="19" spans="1:13" ht="15.6" x14ac:dyDescent="0.3">
      <c r="A19" s="201" t="s">
        <v>223</v>
      </c>
      <c r="B19" s="239"/>
      <c r="C19" s="239"/>
      <c r="D19" s="239"/>
      <c r="E19" s="264" t="s">
        <v>251</v>
      </c>
      <c r="F19" s="264" t="s">
        <v>251</v>
      </c>
      <c r="G19" s="188" t="s">
        <v>334</v>
      </c>
      <c r="H19" s="188" t="s">
        <v>334</v>
      </c>
      <c r="I19" s="188" t="s">
        <v>32</v>
      </c>
      <c r="J19" s="188" t="s">
        <v>32</v>
      </c>
      <c r="K19" s="199" t="s">
        <v>41</v>
      </c>
      <c r="L19" s="255"/>
      <c r="M19" s="33"/>
    </row>
    <row r="20" spans="1:13" ht="15.6" x14ac:dyDescent="0.3">
      <c r="A20" s="201" t="s">
        <v>223</v>
      </c>
      <c r="B20" s="239"/>
      <c r="C20" s="239"/>
      <c r="D20" s="239"/>
      <c r="E20" s="214" t="s">
        <v>34</v>
      </c>
      <c r="F20" s="188" t="s">
        <v>32</v>
      </c>
      <c r="G20" s="188" t="s">
        <v>32</v>
      </c>
      <c r="H20" s="213" t="s">
        <v>32</v>
      </c>
      <c r="I20" s="239"/>
      <c r="J20" s="239"/>
      <c r="K20" s="239"/>
      <c r="L20" s="255"/>
      <c r="M20" s="33"/>
    </row>
    <row r="21" spans="1:13" ht="15.6" x14ac:dyDescent="0.3">
      <c r="A21" s="201" t="s">
        <v>223</v>
      </c>
      <c r="B21" s="239"/>
      <c r="C21" s="239"/>
      <c r="D21" s="239"/>
      <c r="E21" s="189" t="s">
        <v>37</v>
      </c>
      <c r="F21" s="189" t="s">
        <v>37</v>
      </c>
      <c r="G21" s="189" t="s">
        <v>37</v>
      </c>
      <c r="H21" s="189" t="s">
        <v>37</v>
      </c>
      <c r="I21" s="239"/>
      <c r="J21" s="239"/>
      <c r="K21" s="239"/>
      <c r="L21" s="255"/>
      <c r="M21" s="33"/>
    </row>
    <row r="22" spans="1:13" ht="15.6" x14ac:dyDescent="0.3">
      <c r="A22" s="201" t="s">
        <v>166</v>
      </c>
      <c r="B22" s="249"/>
      <c r="C22" s="249"/>
      <c r="D22" s="249"/>
      <c r="E22" s="224" t="s">
        <v>88</v>
      </c>
      <c r="F22" s="221" t="s">
        <v>7</v>
      </c>
      <c r="G22" s="203" t="s">
        <v>41</v>
      </c>
      <c r="H22" s="210" t="s">
        <v>317</v>
      </c>
      <c r="I22" s="208" t="s">
        <v>80</v>
      </c>
      <c r="J22" s="385" t="s">
        <v>75</v>
      </c>
      <c r="K22" s="205" t="s">
        <v>317</v>
      </c>
      <c r="L22" s="257"/>
      <c r="M22" s="33"/>
    </row>
    <row r="23" spans="1:13" ht="15.6" x14ac:dyDescent="0.3">
      <c r="A23" s="201" t="s">
        <v>290</v>
      </c>
      <c r="B23" s="249"/>
      <c r="C23" s="249"/>
      <c r="D23" s="249"/>
      <c r="E23" s="210" t="s">
        <v>317</v>
      </c>
      <c r="F23" s="220" t="s">
        <v>317</v>
      </c>
      <c r="G23" s="189" t="s">
        <v>37</v>
      </c>
      <c r="H23" s="224" t="s">
        <v>88</v>
      </c>
      <c r="I23" s="205" t="s">
        <v>317</v>
      </c>
      <c r="J23" s="205" t="s">
        <v>317</v>
      </c>
      <c r="K23" s="224" t="s">
        <v>88</v>
      </c>
      <c r="L23" s="257"/>
      <c r="M23" s="33"/>
    </row>
    <row r="24" spans="1:13" ht="15.6" x14ac:dyDescent="0.3">
      <c r="A24" s="201" t="s">
        <v>171</v>
      </c>
      <c r="B24" s="249"/>
      <c r="C24" s="249"/>
      <c r="D24" s="249"/>
      <c r="E24" s="207" t="s">
        <v>34</v>
      </c>
      <c r="F24" s="207" t="s">
        <v>34</v>
      </c>
      <c r="G24" s="205" t="s">
        <v>317</v>
      </c>
      <c r="H24" s="353" t="s">
        <v>83</v>
      </c>
      <c r="I24" s="209" t="s">
        <v>84</v>
      </c>
      <c r="J24" s="203" t="s">
        <v>41</v>
      </c>
      <c r="K24" s="213" t="s">
        <v>32</v>
      </c>
      <c r="L24" s="257"/>
      <c r="M24" s="33"/>
    </row>
    <row r="25" spans="1:13" ht="15.6" x14ac:dyDescent="0.3">
      <c r="A25" s="233"/>
      <c r="B25" s="249"/>
      <c r="C25" s="249"/>
      <c r="D25" s="249"/>
      <c r="E25" s="229"/>
      <c r="F25" s="229"/>
      <c r="G25" s="229"/>
      <c r="H25" s="229"/>
      <c r="I25" s="229"/>
      <c r="J25" s="229"/>
      <c r="K25" s="229"/>
      <c r="L25" s="257"/>
      <c r="M25" s="33"/>
    </row>
    <row r="26" spans="1:13" ht="15.6" x14ac:dyDescent="0.3">
      <c r="A26" s="201" t="s">
        <v>168</v>
      </c>
      <c r="B26" s="209" t="s">
        <v>84</v>
      </c>
      <c r="C26" s="209" t="s">
        <v>84</v>
      </c>
      <c r="D26" s="222" t="s">
        <v>16</v>
      </c>
      <c r="E26" s="249"/>
      <c r="F26" s="249"/>
      <c r="G26" s="249"/>
      <c r="H26" s="249"/>
      <c r="I26" s="249"/>
      <c r="J26" s="249"/>
      <c r="K26" s="249"/>
      <c r="L26" s="257"/>
      <c r="M26" s="33"/>
    </row>
    <row r="27" spans="1:13" ht="15.6" x14ac:dyDescent="0.3">
      <c r="A27" s="187" t="s">
        <v>69</v>
      </c>
      <c r="B27" s="239"/>
      <c r="C27" s="265"/>
      <c r="D27" s="265"/>
      <c r="E27" s="239"/>
      <c r="F27" s="239"/>
      <c r="G27" s="239"/>
      <c r="H27" s="239"/>
      <c r="I27" s="239"/>
      <c r="J27" s="239"/>
      <c r="K27" s="239"/>
      <c r="L27" s="266" t="s">
        <v>34</v>
      </c>
      <c r="M27" s="33"/>
    </row>
    <row r="28" spans="1:13" ht="15.6" x14ac:dyDescent="0.3">
      <c r="A28" s="187" t="s">
        <v>69</v>
      </c>
      <c r="B28" s="239"/>
      <c r="C28" s="265"/>
      <c r="D28" s="265"/>
      <c r="E28" s="239"/>
      <c r="F28" s="239"/>
      <c r="G28" s="239"/>
      <c r="H28" s="239"/>
      <c r="I28" s="239"/>
      <c r="J28" s="239"/>
      <c r="K28" s="239"/>
      <c r="L28" s="266" t="s">
        <v>34</v>
      </c>
      <c r="M28" s="33"/>
    </row>
    <row r="29" spans="1:13" x14ac:dyDescent="0.25">
      <c r="A29" s="230"/>
      <c r="B29" s="230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7" workbookViewId="0">
      <selection activeCell="I16" sqref="I16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32" t="s">
        <v>229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2026/27 Show Season</v>
      </c>
      <c r="J1" s="31"/>
      <c r="K1" s="31"/>
      <c r="L1" s="31"/>
      <c r="M1" s="33"/>
    </row>
    <row r="2" spans="1:43" ht="15.6" x14ac:dyDescent="0.3">
      <c r="A2" s="32" t="s">
        <v>230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7.399999999999999" x14ac:dyDescent="0.3">
      <c r="A3" s="39" t="s">
        <v>348</v>
      </c>
      <c r="B3" s="86"/>
      <c r="C3" s="86"/>
      <c r="D3" s="31"/>
      <c r="E3" s="68" t="s">
        <v>326</v>
      </c>
      <c r="F3" s="37"/>
      <c r="G3" s="33"/>
      <c r="H3" s="33"/>
      <c r="I3" s="33"/>
      <c r="J3" s="33"/>
      <c r="K3" s="33"/>
      <c r="L3" s="33"/>
      <c r="M3" s="33"/>
    </row>
    <row r="4" spans="1:43" ht="15.6" x14ac:dyDescent="0.3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2" thickBot="1" x14ac:dyDescent="0.35">
      <c r="A5" s="26" t="str">
        <f>A3</f>
        <v>Sunday 9/27/2025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6" x14ac:dyDescent="0.3">
      <c r="A6" s="238" t="s">
        <v>173</v>
      </c>
      <c r="B6" s="34"/>
      <c r="C6" s="34"/>
      <c r="D6" s="199" t="s">
        <v>41</v>
      </c>
      <c r="E6" s="190"/>
      <c r="F6" s="190"/>
      <c r="G6" s="190"/>
      <c r="H6" s="190"/>
      <c r="I6" s="190"/>
      <c r="J6" s="190"/>
      <c r="K6" s="190"/>
      <c r="L6" s="191"/>
      <c r="M6" s="33"/>
    </row>
    <row r="7" spans="1:43" ht="15.6" x14ac:dyDescent="0.3">
      <c r="A7" s="187" t="s">
        <v>175</v>
      </c>
      <c r="B7" s="34"/>
      <c r="C7" s="34"/>
      <c r="D7" s="214" t="s">
        <v>34</v>
      </c>
      <c r="E7" s="190"/>
      <c r="F7" s="190"/>
      <c r="G7" s="190"/>
      <c r="H7" s="190"/>
      <c r="I7" s="190"/>
      <c r="J7" s="190"/>
      <c r="K7" s="190"/>
      <c r="L7" s="191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6" x14ac:dyDescent="0.3">
      <c r="A8" s="201" t="s">
        <v>228</v>
      </c>
      <c r="B8" s="231"/>
      <c r="C8" s="231"/>
      <c r="D8" s="202"/>
      <c r="E8" s="205" t="s">
        <v>317</v>
      </c>
      <c r="F8" s="205" t="s">
        <v>317</v>
      </c>
      <c r="G8" s="360" t="s">
        <v>18</v>
      </c>
      <c r="H8" s="360" t="s">
        <v>18</v>
      </c>
      <c r="I8" s="217" t="s">
        <v>20</v>
      </c>
      <c r="J8" s="217" t="s">
        <v>20</v>
      </c>
      <c r="K8" s="202"/>
      <c r="L8" s="206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201" t="s">
        <v>111</v>
      </c>
      <c r="B9" s="231"/>
      <c r="C9" s="231"/>
      <c r="D9" s="221" t="s">
        <v>7</v>
      </c>
      <c r="E9" s="383" t="s">
        <v>75</v>
      </c>
      <c r="F9" s="213" t="s">
        <v>334</v>
      </c>
      <c r="G9" s="207" t="s">
        <v>34</v>
      </c>
      <c r="H9" s="204" t="s">
        <v>12</v>
      </c>
      <c r="I9" s="209" t="s">
        <v>84</v>
      </c>
      <c r="J9" s="211" t="s">
        <v>37</v>
      </c>
      <c r="K9" s="202"/>
      <c r="L9" s="206"/>
      <c r="M9" s="33"/>
      <c r="N9" s="12"/>
      <c r="O9" s="147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1" t="s">
        <v>165</v>
      </c>
      <c r="B10" s="231"/>
      <c r="C10" s="231"/>
      <c r="D10" s="213" t="s">
        <v>334</v>
      </c>
      <c r="E10" s="213" t="s">
        <v>334</v>
      </c>
      <c r="F10" s="383" t="s">
        <v>75</v>
      </c>
      <c r="G10" s="360" t="s">
        <v>18</v>
      </c>
      <c r="H10" s="203" t="s">
        <v>41</v>
      </c>
      <c r="I10" s="211" t="s">
        <v>37</v>
      </c>
      <c r="J10" s="224" t="s">
        <v>88</v>
      </c>
      <c r="K10" s="202"/>
      <c r="L10" s="206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1" t="s">
        <v>169</v>
      </c>
      <c r="B11" s="231"/>
      <c r="C11" s="231"/>
      <c r="D11" s="264" t="s">
        <v>251</v>
      </c>
      <c r="E11" s="202"/>
      <c r="F11" s="202"/>
      <c r="G11" s="202"/>
      <c r="H11" s="202"/>
      <c r="I11" s="202"/>
      <c r="J11" s="202"/>
      <c r="K11" s="202"/>
      <c r="L11" s="206"/>
      <c r="M11" s="33"/>
      <c r="O11" s="15"/>
    </row>
    <row r="12" spans="1:43" ht="15.6" x14ac:dyDescent="0.3">
      <c r="A12" s="201" t="s">
        <v>222</v>
      </c>
      <c r="B12" s="231"/>
      <c r="C12" s="231"/>
      <c r="D12" s="202"/>
      <c r="E12" s="208" t="s">
        <v>80</v>
      </c>
      <c r="F12" s="204" t="s">
        <v>12</v>
      </c>
      <c r="G12" s="204" t="s">
        <v>12</v>
      </c>
      <c r="H12" s="213" t="s">
        <v>334</v>
      </c>
      <c r="I12" s="213" t="s">
        <v>334</v>
      </c>
      <c r="J12" s="202"/>
      <c r="K12" s="202"/>
      <c r="L12" s="206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201" t="s">
        <v>222</v>
      </c>
      <c r="B13" s="34"/>
      <c r="C13" s="34"/>
      <c r="D13" s="190"/>
      <c r="E13" s="215" t="s">
        <v>88</v>
      </c>
      <c r="F13" s="218" t="s">
        <v>16</v>
      </c>
      <c r="G13" s="215" t="s">
        <v>88</v>
      </c>
      <c r="H13" s="215" t="s">
        <v>88</v>
      </c>
      <c r="I13" s="385" t="s">
        <v>75</v>
      </c>
      <c r="J13" s="190"/>
      <c r="K13" s="190"/>
      <c r="L13" s="19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1" t="s">
        <v>222</v>
      </c>
      <c r="B14" s="34"/>
      <c r="C14" s="34"/>
      <c r="D14" s="190"/>
      <c r="E14" s="190"/>
      <c r="F14" s="190"/>
      <c r="G14" s="188" t="s">
        <v>32</v>
      </c>
      <c r="H14" s="188" t="s">
        <v>32</v>
      </c>
      <c r="I14" s="190"/>
      <c r="J14" s="190"/>
      <c r="K14" s="190"/>
      <c r="L14" s="19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201" t="s">
        <v>222</v>
      </c>
      <c r="B15" s="34"/>
      <c r="C15" s="34"/>
      <c r="D15" s="190"/>
      <c r="E15" s="190"/>
      <c r="F15" s="190"/>
      <c r="G15" s="188" t="s">
        <v>334</v>
      </c>
      <c r="H15" s="224" t="s">
        <v>88</v>
      </c>
      <c r="I15" s="190"/>
      <c r="J15" s="190"/>
      <c r="K15" s="190"/>
      <c r="L15" s="19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201" t="s">
        <v>224</v>
      </c>
      <c r="B16" s="34"/>
      <c r="C16" s="34"/>
      <c r="D16" s="190"/>
      <c r="E16" s="214" t="s">
        <v>34</v>
      </c>
      <c r="F16" s="215" t="s">
        <v>88</v>
      </c>
      <c r="G16" s="352" t="s">
        <v>83</v>
      </c>
      <c r="H16" s="352" t="s">
        <v>83</v>
      </c>
      <c r="I16" s="352" t="s">
        <v>83</v>
      </c>
      <c r="J16" s="190"/>
      <c r="K16" s="190"/>
      <c r="L16" s="191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6" x14ac:dyDescent="0.3">
      <c r="A17" s="201" t="s">
        <v>224</v>
      </c>
      <c r="B17" s="34"/>
      <c r="C17" s="34"/>
      <c r="D17" s="190"/>
      <c r="E17" s="264" t="s">
        <v>251</v>
      </c>
      <c r="F17" s="264" t="s">
        <v>251</v>
      </c>
      <c r="G17" s="210" t="s">
        <v>317</v>
      </c>
      <c r="H17" s="214" t="s">
        <v>34</v>
      </c>
      <c r="I17" s="214" t="s">
        <v>34</v>
      </c>
      <c r="J17" s="190"/>
      <c r="K17" s="190"/>
      <c r="L17" s="191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6" x14ac:dyDescent="0.3">
      <c r="A18" s="201" t="s">
        <v>224</v>
      </c>
      <c r="B18" s="34"/>
      <c r="C18" s="34"/>
      <c r="D18" s="190"/>
      <c r="E18" s="190"/>
      <c r="F18" s="190"/>
      <c r="G18" s="220" t="s">
        <v>317</v>
      </c>
      <c r="H18" s="220" t="s">
        <v>317</v>
      </c>
      <c r="I18" s="190"/>
      <c r="J18" s="190"/>
      <c r="K18" s="190"/>
      <c r="L18" s="191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6" x14ac:dyDescent="0.3">
      <c r="A19" s="201" t="s">
        <v>224</v>
      </c>
      <c r="B19" s="34"/>
      <c r="C19" s="34"/>
      <c r="D19" s="190"/>
      <c r="E19" s="190"/>
      <c r="F19" s="190"/>
      <c r="G19" s="199" t="s">
        <v>41</v>
      </c>
      <c r="H19" s="199" t="s">
        <v>41</v>
      </c>
      <c r="I19" s="190"/>
      <c r="J19" s="190"/>
      <c r="K19" s="190"/>
      <c r="L19" s="191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6" x14ac:dyDescent="0.3">
      <c r="A20" s="201" t="s">
        <v>167</v>
      </c>
      <c r="B20" s="231"/>
      <c r="C20" s="231"/>
      <c r="D20" s="202"/>
      <c r="E20" s="223" t="s">
        <v>20</v>
      </c>
      <c r="F20" s="217" t="s">
        <v>20</v>
      </c>
      <c r="G20" s="212" t="s">
        <v>217</v>
      </c>
      <c r="H20" s="209" t="s">
        <v>84</v>
      </c>
      <c r="I20" s="224" t="s">
        <v>88</v>
      </c>
      <c r="J20" s="205" t="s">
        <v>317</v>
      </c>
      <c r="K20" s="202"/>
      <c r="L20" s="206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6" x14ac:dyDescent="0.3">
      <c r="A21" s="201" t="s">
        <v>289</v>
      </c>
      <c r="B21" s="231"/>
      <c r="C21" s="231"/>
      <c r="D21" s="202"/>
      <c r="E21" s="205" t="s">
        <v>317</v>
      </c>
      <c r="F21" s="383" t="s">
        <v>75</v>
      </c>
      <c r="G21" s="204" t="s">
        <v>12</v>
      </c>
      <c r="H21" s="221" t="s">
        <v>7</v>
      </c>
      <c r="I21" s="210" t="s">
        <v>317</v>
      </c>
      <c r="J21" s="202"/>
      <c r="K21" s="202"/>
      <c r="L21" s="206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6" x14ac:dyDescent="0.3">
      <c r="A22" s="201" t="s">
        <v>170</v>
      </c>
      <c r="B22" s="231"/>
      <c r="C22" s="231"/>
      <c r="D22" s="202"/>
      <c r="E22" s="216" t="s">
        <v>251</v>
      </c>
      <c r="F22" s="213" t="s">
        <v>32</v>
      </c>
      <c r="G22" s="213" t="s">
        <v>32</v>
      </c>
      <c r="H22" s="223" t="s">
        <v>20</v>
      </c>
      <c r="I22" s="203" t="s">
        <v>41</v>
      </c>
      <c r="J22" s="203" t="s">
        <v>41</v>
      </c>
      <c r="K22" s="202"/>
      <c r="L22" s="206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6" x14ac:dyDescent="0.3">
      <c r="A23" s="201" t="s">
        <v>182</v>
      </c>
      <c r="B23" s="231"/>
      <c r="C23" s="231"/>
      <c r="D23" s="202"/>
      <c r="E23" s="202"/>
      <c r="F23" s="202"/>
      <c r="G23" s="202"/>
      <c r="H23" s="202"/>
      <c r="I23" s="202"/>
      <c r="J23" s="202"/>
      <c r="K23" s="223" t="s">
        <v>20</v>
      </c>
      <c r="L23" s="223" t="s">
        <v>20</v>
      </c>
      <c r="M23" s="33"/>
    </row>
    <row r="24" spans="1:42" ht="15.6" x14ac:dyDescent="0.3">
      <c r="A24" s="201" t="s">
        <v>182</v>
      </c>
      <c r="B24" s="231"/>
      <c r="C24" s="231"/>
      <c r="D24" s="202"/>
      <c r="E24" s="202"/>
      <c r="F24" s="202"/>
      <c r="G24" s="202"/>
      <c r="H24" s="202"/>
      <c r="I24" s="202"/>
      <c r="J24" s="202"/>
      <c r="K24" s="223" t="s">
        <v>20</v>
      </c>
      <c r="L24" s="223" t="s">
        <v>20</v>
      </c>
      <c r="M24" s="33"/>
    </row>
    <row r="25" spans="1:42" ht="15.6" x14ac:dyDescent="0.3">
      <c r="A25" s="201" t="s">
        <v>182</v>
      </c>
      <c r="B25" s="231"/>
      <c r="C25" s="231"/>
      <c r="D25" s="202"/>
      <c r="E25" s="202"/>
      <c r="F25" s="202"/>
      <c r="G25" s="202"/>
      <c r="H25" s="202"/>
      <c r="I25" s="202"/>
      <c r="J25" s="202"/>
      <c r="K25" s="206"/>
      <c r="L25" s="206"/>
      <c r="M25" s="33"/>
    </row>
    <row r="26" spans="1:42" ht="15.6" x14ac:dyDescent="0.3">
      <c r="A26" s="201" t="s">
        <v>182</v>
      </c>
      <c r="B26" s="231"/>
      <c r="C26" s="231"/>
      <c r="D26" s="202"/>
      <c r="E26" s="202"/>
      <c r="F26" s="202"/>
      <c r="G26" s="202"/>
      <c r="H26" s="202"/>
      <c r="I26" s="202"/>
      <c r="J26" s="202"/>
      <c r="K26" s="206"/>
      <c r="L26" s="206"/>
      <c r="M26" s="33"/>
    </row>
    <row r="27" spans="1:42" ht="15.6" x14ac:dyDescent="0.3">
      <c r="A27" s="201"/>
      <c r="B27" s="231"/>
      <c r="C27" s="231"/>
      <c r="D27" s="202"/>
      <c r="E27" s="202"/>
      <c r="F27" s="202"/>
      <c r="G27" s="202"/>
      <c r="H27" s="202"/>
      <c r="I27" s="202"/>
      <c r="J27" s="202"/>
      <c r="K27" s="206"/>
      <c r="L27" s="206"/>
      <c r="M27" s="33"/>
    </row>
    <row r="28" spans="1:42" ht="15.6" x14ac:dyDescent="0.3">
      <c r="A28" s="201"/>
      <c r="B28" s="231"/>
      <c r="C28" s="231"/>
      <c r="D28" s="202"/>
      <c r="E28" s="202"/>
      <c r="F28" s="202"/>
      <c r="G28" s="202"/>
      <c r="H28" s="202"/>
      <c r="I28" s="202"/>
      <c r="J28" s="202"/>
      <c r="K28" s="206"/>
      <c r="L28" s="206"/>
      <c r="M28" s="33"/>
    </row>
    <row r="29" spans="1:42" x14ac:dyDescent="0.25">
      <c r="A29" s="230"/>
      <c r="B29" s="230"/>
      <c r="C29" s="230"/>
      <c r="D29" s="230"/>
      <c r="E29" s="230"/>
      <c r="F29" s="230"/>
      <c r="G29" s="230"/>
      <c r="H29" s="230"/>
      <c r="I29" s="230"/>
      <c r="J29" s="230"/>
      <c r="K29" s="230"/>
      <c r="L29" s="230"/>
      <c r="M29" s="33"/>
    </row>
    <row r="30" spans="1:42" ht="15" x14ac:dyDescent="0.25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H7" sqref="H7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2026/27 Show Season</v>
      </c>
      <c r="N1" s="67"/>
      <c r="O1" s="67"/>
      <c r="P1" s="67"/>
      <c r="Q1" s="33"/>
    </row>
    <row r="2" spans="1:48" ht="15.6" x14ac:dyDescent="0.3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43" t="s">
        <v>351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2" thickBot="1" x14ac:dyDescent="0.35">
      <c r="A5" s="26" t="str">
        <f>A3</f>
        <v>Friday 01/15/2026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318</v>
      </c>
      <c r="O5" s="27" t="s">
        <v>319</v>
      </c>
      <c r="P5" s="27" t="s">
        <v>320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6" x14ac:dyDescent="0.3">
      <c r="A6" s="159" t="s">
        <v>157</v>
      </c>
      <c r="B6" s="160" t="s">
        <v>34</v>
      </c>
      <c r="C6" s="160" t="s">
        <v>34</v>
      </c>
      <c r="D6" s="160" t="s">
        <v>34</v>
      </c>
      <c r="E6" s="160" t="s">
        <v>34</v>
      </c>
      <c r="F6" s="160" t="s">
        <v>34</v>
      </c>
      <c r="G6" s="160" t="s">
        <v>34</v>
      </c>
      <c r="H6" s="160" t="s">
        <v>34</v>
      </c>
      <c r="I6" s="160" t="s">
        <v>34</v>
      </c>
      <c r="J6" s="161"/>
      <c r="K6" s="161"/>
      <c r="L6" s="161"/>
      <c r="M6" s="161"/>
      <c r="N6" s="161"/>
      <c r="O6" s="161"/>
      <c r="P6" s="24"/>
      <c r="Q6" s="33"/>
    </row>
    <row r="7" spans="1:48" ht="15.6" x14ac:dyDescent="0.3">
      <c r="A7" s="159" t="s">
        <v>340</v>
      </c>
      <c r="B7" s="162"/>
      <c r="C7" s="162"/>
      <c r="D7" s="163" t="s">
        <v>37</v>
      </c>
      <c r="E7" s="164" t="s">
        <v>37</v>
      </c>
      <c r="F7" s="366" t="s">
        <v>317</v>
      </c>
      <c r="G7" s="220" t="s">
        <v>317</v>
      </c>
      <c r="H7" s="220" t="s">
        <v>317</v>
      </c>
      <c r="I7" s="361" t="s">
        <v>334</v>
      </c>
      <c r="J7" s="361" t="s">
        <v>334</v>
      </c>
      <c r="K7" s="165" t="s">
        <v>7</v>
      </c>
      <c r="L7" s="166" t="s">
        <v>7</v>
      </c>
      <c r="M7" s="161"/>
      <c r="N7" s="161"/>
      <c r="O7" s="161"/>
      <c r="P7" s="24"/>
      <c r="Q7" s="33"/>
    </row>
    <row r="8" spans="1:48" ht="15.6" x14ac:dyDescent="0.3">
      <c r="A8" s="159" t="s">
        <v>340</v>
      </c>
      <c r="B8" s="162"/>
      <c r="C8" s="162"/>
      <c r="D8" s="162"/>
      <c r="E8" s="167" t="s">
        <v>251</v>
      </c>
      <c r="F8" s="167" t="s">
        <v>251</v>
      </c>
      <c r="G8" s="168" t="s">
        <v>41</v>
      </c>
      <c r="H8" s="168" t="s">
        <v>41</v>
      </c>
      <c r="I8" s="169" t="s">
        <v>317</v>
      </c>
      <c r="J8" s="169" t="s">
        <v>317</v>
      </c>
      <c r="K8" s="170" t="s">
        <v>84</v>
      </c>
      <c r="L8" s="362" t="s">
        <v>18</v>
      </c>
      <c r="M8" s="171" t="s">
        <v>41</v>
      </c>
      <c r="N8" s="161"/>
      <c r="O8" s="161"/>
      <c r="P8" s="24"/>
      <c r="Q8" s="33"/>
    </row>
    <row r="9" spans="1:48" ht="15.6" x14ac:dyDescent="0.3">
      <c r="A9" s="172" t="s">
        <v>91</v>
      </c>
      <c r="B9" s="173"/>
      <c r="C9" s="173"/>
      <c r="D9" s="173"/>
      <c r="E9" s="173"/>
      <c r="F9" s="173"/>
      <c r="G9" s="174" t="s">
        <v>20</v>
      </c>
      <c r="H9" s="174" t="s">
        <v>20</v>
      </c>
      <c r="I9" s="175" t="s">
        <v>80</v>
      </c>
      <c r="J9" s="175" t="s">
        <v>80</v>
      </c>
      <c r="K9" s="175" t="s">
        <v>80</v>
      </c>
      <c r="L9" s="175" t="s">
        <v>80</v>
      </c>
      <c r="M9" s="176" t="s">
        <v>80</v>
      </c>
      <c r="N9" s="177" t="s">
        <v>80</v>
      </c>
      <c r="O9" s="177" t="s">
        <v>80</v>
      </c>
      <c r="P9" s="24"/>
      <c r="Q9" s="33"/>
    </row>
    <row r="10" spans="1:48" ht="15.6" x14ac:dyDescent="0.3">
      <c r="A10" s="172" t="s">
        <v>163</v>
      </c>
      <c r="B10" s="173"/>
      <c r="C10" s="173"/>
      <c r="D10" s="173"/>
      <c r="E10" s="173"/>
      <c r="F10" s="173"/>
      <c r="G10" s="178" t="s">
        <v>37</v>
      </c>
      <c r="H10" s="178" t="s">
        <v>37</v>
      </c>
      <c r="I10" s="179" t="s">
        <v>37</v>
      </c>
      <c r="J10" s="179" t="s">
        <v>37</v>
      </c>
      <c r="K10" s="180" t="s">
        <v>41</v>
      </c>
      <c r="L10" s="180" t="s">
        <v>41</v>
      </c>
      <c r="M10" s="181" t="s">
        <v>41</v>
      </c>
      <c r="N10" s="171" t="s">
        <v>41</v>
      </c>
      <c r="O10" s="171" t="s">
        <v>41</v>
      </c>
      <c r="P10" s="24"/>
      <c r="Q10" s="33"/>
    </row>
    <row r="11" spans="1:48" ht="15.6" x14ac:dyDescent="0.3">
      <c r="A11" s="182" t="s">
        <v>238</v>
      </c>
      <c r="B11" s="182"/>
      <c r="C11" s="182"/>
      <c r="D11" s="182"/>
      <c r="E11" s="183" t="s">
        <v>20</v>
      </c>
      <c r="F11" s="183" t="s">
        <v>20</v>
      </c>
      <c r="G11" s="184" t="s">
        <v>88</v>
      </c>
      <c r="H11" s="184" t="s">
        <v>88</v>
      </c>
      <c r="I11" s="184" t="s">
        <v>88</v>
      </c>
      <c r="J11" s="184" t="s">
        <v>88</v>
      </c>
      <c r="K11" s="184" t="s">
        <v>88</v>
      </c>
      <c r="L11" s="185" t="s">
        <v>88</v>
      </c>
      <c r="M11" s="185" t="s">
        <v>88</v>
      </c>
      <c r="N11" s="186"/>
      <c r="O11" s="161"/>
      <c r="P11" s="23"/>
      <c r="Q11" s="33"/>
    </row>
    <row r="12" spans="1:4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5">
      <c r="A13" s="12"/>
      <c r="B13" s="12"/>
      <c r="C13" s="12"/>
      <c r="D13" s="12"/>
      <c r="E13" s="12"/>
      <c r="F13" s="12"/>
    </row>
    <row r="16" spans="1:48" x14ac:dyDescent="0.25">
      <c r="H16" s="13" t="s">
        <v>266</v>
      </c>
    </row>
  </sheetData>
  <phoneticPr fontId="0" type="noConversion"/>
  <printOptions horizontalCentered="1" gridLines="1"/>
  <pageMargins left="0.5" right="0.25" top="1" bottom="1" header="0.5" footer="0.5"/>
  <pageSetup scale="8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F23" sqref="F23"/>
    </sheetView>
  </sheetViews>
  <sheetFormatPr defaultRowHeight="13.2" x14ac:dyDescent="0.25"/>
  <cols>
    <col min="1" max="1" width="41.6640625" customWidth="1"/>
    <col min="13" max="13" width="3.44140625" customWidth="1"/>
    <col min="14" max="14" width="34.44140625" bestFit="1" customWidth="1"/>
  </cols>
  <sheetData>
    <row r="1" spans="1:43" ht="15.6" x14ac:dyDescent="0.3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2026/27 Show Season</v>
      </c>
      <c r="J1" s="31"/>
      <c r="K1" s="31"/>
      <c r="L1" s="33"/>
      <c r="M1" s="33"/>
    </row>
    <row r="2" spans="1:43" ht="15.6" x14ac:dyDescent="0.3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44" t="s">
        <v>349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30" t="str">
        <f>A3</f>
        <v>Saturday 01/16/2026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87" t="s">
        <v>340</v>
      </c>
      <c r="B6" s="188" t="s">
        <v>32</v>
      </c>
      <c r="C6" s="189" t="s">
        <v>37</v>
      </c>
      <c r="D6" s="189" t="s">
        <v>37</v>
      </c>
      <c r="E6" s="190"/>
      <c r="F6" s="190"/>
      <c r="G6" s="190"/>
      <c r="H6" s="190"/>
      <c r="I6" s="190"/>
      <c r="J6" s="190"/>
      <c r="K6" s="190"/>
      <c r="L6" s="19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87" t="s">
        <v>340</v>
      </c>
      <c r="B7" s="352" t="s">
        <v>83</v>
      </c>
      <c r="C7" s="189" t="s">
        <v>37</v>
      </c>
      <c r="D7" s="189" t="s">
        <v>37</v>
      </c>
      <c r="E7" s="190"/>
      <c r="F7" s="190"/>
      <c r="G7" s="190"/>
      <c r="H7" s="190"/>
      <c r="I7" s="190"/>
      <c r="J7" s="190"/>
      <c r="K7" s="190"/>
      <c r="L7" s="19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192" t="s">
        <v>172</v>
      </c>
      <c r="B8" s="193" t="s">
        <v>317</v>
      </c>
      <c r="C8" s="194" t="s">
        <v>251</v>
      </c>
      <c r="D8" s="195" t="s">
        <v>41</v>
      </c>
      <c r="E8" s="196"/>
      <c r="F8" s="197"/>
      <c r="G8" s="197"/>
      <c r="H8" s="197"/>
      <c r="I8" s="197"/>
      <c r="J8" s="197"/>
      <c r="K8" s="197"/>
      <c r="L8" s="198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87" t="s">
        <v>174</v>
      </c>
      <c r="B9" s="199" t="s">
        <v>41</v>
      </c>
      <c r="C9" s="188" t="s">
        <v>32</v>
      </c>
      <c r="D9" s="188" t="s">
        <v>334</v>
      </c>
      <c r="E9" s="200"/>
      <c r="F9" s="190"/>
      <c r="G9" s="190"/>
      <c r="H9" s="190"/>
      <c r="I9" s="190"/>
      <c r="J9" s="190"/>
      <c r="K9" s="190"/>
      <c r="L9" s="19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1" t="s">
        <v>176</v>
      </c>
      <c r="B10" s="202"/>
      <c r="C10" s="202"/>
      <c r="D10" s="202"/>
      <c r="E10" s="203" t="s">
        <v>41</v>
      </c>
      <c r="F10" s="203" t="s">
        <v>41</v>
      </c>
      <c r="G10" s="204" t="s">
        <v>12</v>
      </c>
      <c r="H10" s="204" t="s">
        <v>12</v>
      </c>
      <c r="I10" s="205" t="s">
        <v>317</v>
      </c>
      <c r="J10" s="364" t="s">
        <v>75</v>
      </c>
      <c r="K10" s="205" t="s">
        <v>317</v>
      </c>
      <c r="L10" s="206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1" t="s">
        <v>102</v>
      </c>
      <c r="B11" s="207" t="s">
        <v>34</v>
      </c>
      <c r="C11" s="208" t="s">
        <v>80</v>
      </c>
      <c r="D11" s="208" t="s">
        <v>80</v>
      </c>
      <c r="E11" s="208" t="s">
        <v>80</v>
      </c>
      <c r="F11" s="208" t="s">
        <v>80</v>
      </c>
      <c r="G11" s="208" t="s">
        <v>80</v>
      </c>
      <c r="H11" s="209" t="s">
        <v>84</v>
      </c>
      <c r="I11" s="208" t="s">
        <v>80</v>
      </c>
      <c r="J11" s="208" t="s">
        <v>80</v>
      </c>
      <c r="K11" s="208" t="s">
        <v>80</v>
      </c>
      <c r="L11" s="206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1" t="s">
        <v>164</v>
      </c>
      <c r="B12" s="210" t="s">
        <v>317</v>
      </c>
      <c r="C12" s="210" t="s">
        <v>317</v>
      </c>
      <c r="D12" s="205" t="s">
        <v>317</v>
      </c>
      <c r="E12" s="205" t="s">
        <v>317</v>
      </c>
      <c r="F12" s="205" t="s">
        <v>317</v>
      </c>
      <c r="G12" s="220" t="s">
        <v>317</v>
      </c>
      <c r="H12" s="213" t="s">
        <v>334</v>
      </c>
      <c r="I12" s="188" t="s">
        <v>334</v>
      </c>
      <c r="J12" s="211" t="s">
        <v>37</v>
      </c>
      <c r="K12" s="211" t="s">
        <v>37</v>
      </c>
      <c r="L12" s="206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65" t="s">
        <v>283</v>
      </c>
      <c r="B13" s="202"/>
      <c r="C13" s="190"/>
      <c r="D13" s="212" t="s">
        <v>217</v>
      </c>
      <c r="E13" s="212" t="s">
        <v>217</v>
      </c>
      <c r="F13" s="206"/>
      <c r="G13" s="206"/>
      <c r="H13" s="206"/>
      <c r="I13" s="206"/>
      <c r="J13" s="206"/>
      <c r="K13" s="206"/>
      <c r="L13" s="206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1" t="s">
        <v>178</v>
      </c>
      <c r="B14" s="202"/>
      <c r="C14" s="202"/>
      <c r="D14" s="202"/>
      <c r="E14" s="203" t="s">
        <v>41</v>
      </c>
      <c r="F14" s="203" t="s">
        <v>41</v>
      </c>
      <c r="G14" s="213" t="s">
        <v>32</v>
      </c>
      <c r="H14" s="213" t="s">
        <v>32</v>
      </c>
      <c r="I14" s="213" t="s">
        <v>32</v>
      </c>
      <c r="J14" s="203" t="s">
        <v>41</v>
      </c>
      <c r="K14" s="203" t="s">
        <v>41</v>
      </c>
      <c r="L14" s="206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187" t="s">
        <v>178</v>
      </c>
      <c r="B15" s="190"/>
      <c r="C15" s="190"/>
      <c r="D15" s="190"/>
      <c r="E15" s="365" t="s">
        <v>75</v>
      </c>
      <c r="F15" s="365" t="s">
        <v>75</v>
      </c>
      <c r="G15" s="199" t="s">
        <v>41</v>
      </c>
      <c r="H15" s="220" t="s">
        <v>317</v>
      </c>
      <c r="I15" s="220" t="s">
        <v>317</v>
      </c>
      <c r="J15" s="220" t="s">
        <v>317</v>
      </c>
      <c r="K15" s="365" t="s">
        <v>75</v>
      </c>
      <c r="L15" s="19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187" t="s">
        <v>178</v>
      </c>
      <c r="B16" s="190"/>
      <c r="C16" s="190"/>
      <c r="D16" s="190"/>
      <c r="E16" s="352" t="s">
        <v>83</v>
      </c>
      <c r="F16" s="214" t="s">
        <v>34</v>
      </c>
      <c r="G16" s="352" t="s">
        <v>83</v>
      </c>
      <c r="H16" s="352" t="s">
        <v>83</v>
      </c>
      <c r="I16" s="200"/>
      <c r="J16" s="200"/>
      <c r="K16" s="190"/>
      <c r="L16" s="191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6" x14ac:dyDescent="0.3">
      <c r="A17" s="187" t="s">
        <v>178</v>
      </c>
      <c r="B17" s="190"/>
      <c r="C17" s="190"/>
      <c r="D17" s="190"/>
      <c r="E17" s="215" t="s">
        <v>88</v>
      </c>
      <c r="F17" s="215" t="s">
        <v>88</v>
      </c>
      <c r="G17" s="215" t="s">
        <v>88</v>
      </c>
      <c r="H17" s="215" t="s">
        <v>88</v>
      </c>
      <c r="I17" s="190"/>
      <c r="J17" s="190"/>
      <c r="K17" s="190"/>
      <c r="L17" s="191"/>
      <c r="M17" s="33"/>
    </row>
    <row r="18" spans="1:14" ht="15.6" x14ac:dyDescent="0.3">
      <c r="A18" s="201" t="s">
        <v>180</v>
      </c>
      <c r="B18" s="202"/>
      <c r="C18" s="202"/>
      <c r="D18" s="202"/>
      <c r="E18" s="216" t="s">
        <v>251</v>
      </c>
      <c r="F18" s="216" t="s">
        <v>251</v>
      </c>
      <c r="G18" s="188" t="s">
        <v>334</v>
      </c>
      <c r="H18" s="360" t="s">
        <v>18</v>
      </c>
      <c r="I18" s="217" t="s">
        <v>20</v>
      </c>
      <c r="J18" s="213" t="s">
        <v>32</v>
      </c>
      <c r="K18" s="213" t="s">
        <v>32</v>
      </c>
      <c r="L18" s="206"/>
      <c r="M18" s="33"/>
    </row>
    <row r="19" spans="1:14" ht="15.6" x14ac:dyDescent="0.3">
      <c r="A19" s="187" t="s">
        <v>180</v>
      </c>
      <c r="B19" s="190"/>
      <c r="C19" s="190"/>
      <c r="D19" s="190"/>
      <c r="E19" s="188" t="s">
        <v>32</v>
      </c>
      <c r="F19" s="188" t="s">
        <v>32</v>
      </c>
      <c r="G19" s="188" t="s">
        <v>32</v>
      </c>
      <c r="H19" s="189" t="s">
        <v>37</v>
      </c>
      <c r="I19" s="189" t="s">
        <v>37</v>
      </c>
      <c r="J19" s="363" t="s">
        <v>18</v>
      </c>
      <c r="K19" s="363" t="s">
        <v>18</v>
      </c>
      <c r="L19" s="191"/>
      <c r="M19" s="33"/>
      <c r="N19" s="12"/>
    </row>
    <row r="20" spans="1:14" ht="15.6" x14ac:dyDescent="0.3">
      <c r="A20" s="187" t="s">
        <v>180</v>
      </c>
      <c r="B20" s="190"/>
      <c r="C20" s="190"/>
      <c r="D20" s="190"/>
      <c r="E20" s="218" t="s">
        <v>16</v>
      </c>
      <c r="F20" s="218" t="s">
        <v>16</v>
      </c>
      <c r="G20" s="215" t="s">
        <v>88</v>
      </c>
      <c r="H20" s="219" t="s">
        <v>7</v>
      </c>
      <c r="I20" s="190"/>
      <c r="J20" s="190"/>
      <c r="K20" s="190"/>
      <c r="L20" s="191"/>
      <c r="M20" s="33"/>
    </row>
    <row r="21" spans="1:14" ht="15.6" x14ac:dyDescent="0.3">
      <c r="A21" s="187" t="s">
        <v>180</v>
      </c>
      <c r="B21" s="190"/>
      <c r="C21" s="190"/>
      <c r="D21" s="190"/>
      <c r="E21" s="220" t="s">
        <v>317</v>
      </c>
      <c r="F21" s="220" t="s">
        <v>317</v>
      </c>
      <c r="G21" s="220" t="s">
        <v>317</v>
      </c>
      <c r="H21" s="220" t="s">
        <v>317</v>
      </c>
      <c r="I21" s="190"/>
      <c r="J21" s="190"/>
      <c r="K21" s="190"/>
      <c r="L21" s="191"/>
      <c r="M21" s="33"/>
    </row>
    <row r="22" spans="1:14" ht="15.6" x14ac:dyDescent="0.3">
      <c r="A22" s="201" t="s">
        <v>166</v>
      </c>
      <c r="B22" s="202"/>
      <c r="C22" s="202"/>
      <c r="D22" s="202"/>
      <c r="E22" s="213" t="s">
        <v>334</v>
      </c>
      <c r="F22" s="221" t="s">
        <v>7</v>
      </c>
      <c r="G22" s="221" t="s">
        <v>7</v>
      </c>
      <c r="H22" s="222" t="s">
        <v>16</v>
      </c>
      <c r="I22" s="222" t="s">
        <v>16</v>
      </c>
      <c r="J22" s="205" t="s">
        <v>317</v>
      </c>
      <c r="K22" s="210" t="s">
        <v>317</v>
      </c>
      <c r="L22" s="206"/>
      <c r="M22" s="33"/>
    </row>
    <row r="23" spans="1:14" ht="15.6" x14ac:dyDescent="0.3">
      <c r="A23" s="201" t="s">
        <v>290</v>
      </c>
      <c r="B23" s="202"/>
      <c r="C23" s="202"/>
      <c r="D23" s="202"/>
      <c r="E23" s="209" t="s">
        <v>84</v>
      </c>
      <c r="F23" s="220" t="s">
        <v>317</v>
      </c>
      <c r="G23" s="223" t="s">
        <v>20</v>
      </c>
      <c r="H23" s="364" t="s">
        <v>75</v>
      </c>
      <c r="I23" s="204" t="s">
        <v>12</v>
      </c>
      <c r="J23" s="204" t="s">
        <v>12</v>
      </c>
      <c r="K23" s="354" t="s">
        <v>83</v>
      </c>
      <c r="L23" s="206"/>
      <c r="M23" s="33"/>
    </row>
    <row r="24" spans="1:14" ht="15.6" x14ac:dyDescent="0.3">
      <c r="A24" s="201" t="s">
        <v>171</v>
      </c>
      <c r="B24" s="202"/>
      <c r="C24" s="202"/>
      <c r="D24" s="202"/>
      <c r="E24" s="210" t="s">
        <v>317</v>
      </c>
      <c r="F24" s="210" t="s">
        <v>317</v>
      </c>
      <c r="G24" s="222" t="s">
        <v>16</v>
      </c>
      <c r="H24" s="203" t="s">
        <v>41</v>
      </c>
      <c r="I24" s="203" t="s">
        <v>41</v>
      </c>
      <c r="J24" s="203" t="s">
        <v>41</v>
      </c>
      <c r="K24" s="224" t="s">
        <v>88</v>
      </c>
      <c r="L24" s="206"/>
      <c r="M24" s="33"/>
    </row>
    <row r="25" spans="1:14" ht="15.6" x14ac:dyDescent="0.3">
      <c r="A25" s="201" t="s">
        <v>168</v>
      </c>
      <c r="B25" s="209" t="s">
        <v>84</v>
      </c>
      <c r="C25" s="209" t="s">
        <v>84</v>
      </c>
      <c r="D25" s="364" t="s">
        <v>75</v>
      </c>
      <c r="E25" s="202"/>
      <c r="F25" s="202"/>
      <c r="G25" s="202"/>
      <c r="H25" s="202"/>
      <c r="I25" s="202"/>
      <c r="J25" s="202"/>
      <c r="K25" s="202"/>
      <c r="L25" s="206"/>
      <c r="M25" s="33"/>
    </row>
    <row r="26" spans="1:14" ht="15.6" x14ac:dyDescent="0.3">
      <c r="A26" s="201" t="s">
        <v>69</v>
      </c>
      <c r="B26" s="202"/>
      <c r="C26" s="202"/>
      <c r="D26" s="202"/>
      <c r="E26" s="202"/>
      <c r="F26" s="202"/>
      <c r="G26" s="202"/>
      <c r="H26" s="202"/>
      <c r="I26" s="202"/>
      <c r="J26" s="202"/>
      <c r="K26" s="202"/>
      <c r="L26" s="225" t="s">
        <v>32</v>
      </c>
      <c r="M26" s="33"/>
    </row>
    <row r="27" spans="1:14" ht="15.6" x14ac:dyDescent="0.3">
      <c r="A27" s="226" t="s">
        <v>69</v>
      </c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228" t="s">
        <v>32</v>
      </c>
      <c r="M27" s="33"/>
    </row>
    <row r="28" spans="1:14" ht="15.6" x14ac:dyDescent="0.3">
      <c r="A28" s="34" t="s">
        <v>336</v>
      </c>
      <c r="B28" s="190"/>
      <c r="C28" s="190"/>
      <c r="D28" s="190"/>
      <c r="E28" s="229"/>
      <c r="F28" s="229"/>
      <c r="G28" s="229"/>
      <c r="H28" s="229"/>
      <c r="I28" s="229"/>
      <c r="J28" s="229"/>
      <c r="K28" s="229"/>
      <c r="L28" s="202"/>
      <c r="M28" s="33"/>
    </row>
    <row r="29" spans="1:14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5">
      <c r="A30" s="12"/>
    </row>
  </sheetData>
  <phoneticPr fontId="0" type="noConversion"/>
  <printOptions horizontalCentered="1" gridLines="1"/>
  <pageMargins left="0.5" right="0.25" top="1" bottom="1" header="0.5" footer="0.5"/>
  <pageSetup scale="95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J10" sqref="J10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2026/27 Show Season</v>
      </c>
      <c r="I1" s="31"/>
      <c r="J1" s="31"/>
      <c r="K1" s="31"/>
      <c r="L1" s="33"/>
    </row>
    <row r="2" spans="1:42" ht="15.6" x14ac:dyDescent="0.3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39" t="s">
        <v>350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6" x14ac:dyDescent="0.3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6" x14ac:dyDescent="0.3">
      <c r="A5" s="32" t="str">
        <f>A3</f>
        <v>Sunday 01/17/2026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5">
      <c r="A6" s="29" t="s">
        <v>173</v>
      </c>
      <c r="B6" s="90"/>
      <c r="C6" s="90"/>
      <c r="D6" s="154" t="s">
        <v>34</v>
      </c>
      <c r="E6" s="76"/>
      <c r="F6" s="25"/>
      <c r="G6" s="25"/>
      <c r="H6" s="25"/>
      <c r="I6" s="25"/>
      <c r="J6" s="25"/>
      <c r="K6" s="77"/>
      <c r="L6" s="77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6" x14ac:dyDescent="0.3">
      <c r="A7" s="187" t="s">
        <v>175</v>
      </c>
      <c r="B7" s="34"/>
      <c r="C7" s="34"/>
      <c r="D7" s="352" t="s">
        <v>83</v>
      </c>
      <c r="E7" s="200"/>
      <c r="F7" s="190"/>
      <c r="G7" s="190"/>
      <c r="H7" s="190"/>
      <c r="I7" s="190"/>
      <c r="J7" s="190"/>
      <c r="K7" s="191"/>
      <c r="L7" s="191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6" x14ac:dyDescent="0.3">
      <c r="A8" s="201" t="s">
        <v>177</v>
      </c>
      <c r="B8" s="231"/>
      <c r="C8" s="231"/>
      <c r="D8" s="202"/>
      <c r="E8" s="360" t="s">
        <v>18</v>
      </c>
      <c r="F8" s="203" t="s">
        <v>41</v>
      </c>
      <c r="G8" s="203" t="s">
        <v>41</v>
      </c>
      <c r="H8" s="360" t="s">
        <v>18</v>
      </c>
      <c r="I8" s="353" t="s">
        <v>83</v>
      </c>
      <c r="J8" s="205" t="s">
        <v>317</v>
      </c>
      <c r="K8" s="206"/>
      <c r="L8" s="206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6" x14ac:dyDescent="0.3">
      <c r="A9" s="201" t="s">
        <v>111</v>
      </c>
      <c r="B9" s="231"/>
      <c r="C9" s="231"/>
      <c r="D9" s="221" t="s">
        <v>7</v>
      </c>
      <c r="E9" s="364" t="s">
        <v>75</v>
      </c>
      <c r="F9" s="207" t="s">
        <v>34</v>
      </c>
      <c r="G9" s="207" t="s">
        <v>34</v>
      </c>
      <c r="H9" s="204" t="s">
        <v>12</v>
      </c>
      <c r="I9" s="205" t="s">
        <v>317</v>
      </c>
      <c r="J9" s="213" t="s">
        <v>334</v>
      </c>
      <c r="K9" s="206"/>
      <c r="L9" s="206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6" x14ac:dyDescent="0.3">
      <c r="A10" s="201" t="s">
        <v>165</v>
      </c>
      <c r="B10" s="231"/>
      <c r="C10" s="231"/>
      <c r="D10" s="222" t="s">
        <v>16</v>
      </c>
      <c r="E10" s="211" t="s">
        <v>37</v>
      </c>
      <c r="F10" s="220" t="s">
        <v>317</v>
      </c>
      <c r="G10" s="223" t="s">
        <v>20</v>
      </c>
      <c r="H10" s="205" t="s">
        <v>317</v>
      </c>
      <c r="I10" s="211" t="s">
        <v>37</v>
      </c>
      <c r="J10" s="220" t="s">
        <v>317</v>
      </c>
      <c r="K10" s="206"/>
      <c r="L10" s="206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6" x14ac:dyDescent="0.3">
      <c r="A11" s="201" t="s">
        <v>179</v>
      </c>
      <c r="B11" s="231"/>
      <c r="C11" s="231"/>
      <c r="D11" s="202"/>
      <c r="E11" s="216" t="s">
        <v>251</v>
      </c>
      <c r="F11" s="216" t="s">
        <v>251</v>
      </c>
      <c r="G11" s="204" t="s">
        <v>12</v>
      </c>
      <c r="H11" s="204" t="s">
        <v>12</v>
      </c>
      <c r="I11" s="213" t="s">
        <v>334</v>
      </c>
      <c r="J11" s="206"/>
      <c r="K11" s="206"/>
      <c r="L11" s="206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6" x14ac:dyDescent="0.3">
      <c r="A12" s="187" t="s">
        <v>179</v>
      </c>
      <c r="B12" s="34"/>
      <c r="C12" s="34"/>
      <c r="D12" s="190"/>
      <c r="E12" s="220" t="s">
        <v>317</v>
      </c>
      <c r="F12" s="220" t="s">
        <v>317</v>
      </c>
      <c r="G12" s="220" t="s">
        <v>317</v>
      </c>
      <c r="H12" s="220" t="s">
        <v>317</v>
      </c>
      <c r="I12" s="365" t="s">
        <v>75</v>
      </c>
      <c r="J12" s="191"/>
      <c r="K12" s="191"/>
      <c r="L12" s="191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6" x14ac:dyDescent="0.3">
      <c r="A13" s="187" t="s">
        <v>179</v>
      </c>
      <c r="B13" s="34"/>
      <c r="C13" s="34"/>
      <c r="D13" s="190"/>
      <c r="E13" s="190"/>
      <c r="F13" s="190"/>
      <c r="G13" s="213" t="s">
        <v>32</v>
      </c>
      <c r="H13" s="188" t="s">
        <v>32</v>
      </c>
      <c r="I13" s="190"/>
      <c r="J13" s="190"/>
      <c r="K13" s="191"/>
      <c r="L13" s="191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6" x14ac:dyDescent="0.3">
      <c r="A14" s="187" t="s">
        <v>179</v>
      </c>
      <c r="B14" s="34"/>
      <c r="C14" s="34"/>
      <c r="D14" s="190"/>
      <c r="E14" s="190"/>
      <c r="F14" s="190"/>
      <c r="G14" s="232" t="s">
        <v>20</v>
      </c>
      <c r="H14" s="352" t="s">
        <v>83</v>
      </c>
      <c r="I14" s="190"/>
      <c r="J14" s="190"/>
      <c r="K14" s="191"/>
      <c r="L14" s="191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6" x14ac:dyDescent="0.3">
      <c r="A15" s="201" t="s">
        <v>181</v>
      </c>
      <c r="B15" s="231"/>
      <c r="C15" s="231"/>
      <c r="D15" s="202"/>
      <c r="E15" s="213" t="s">
        <v>334</v>
      </c>
      <c r="F15" s="213" t="s">
        <v>334</v>
      </c>
      <c r="G15" s="213" t="s">
        <v>334</v>
      </c>
      <c r="H15" s="203" t="s">
        <v>41</v>
      </c>
      <c r="I15" s="203" t="s">
        <v>41</v>
      </c>
      <c r="J15" s="206"/>
      <c r="K15" s="206"/>
      <c r="L15" s="206"/>
    </row>
    <row r="16" spans="1:42" ht="15.6" x14ac:dyDescent="0.3">
      <c r="A16" s="187" t="s">
        <v>181</v>
      </c>
      <c r="B16" s="34"/>
      <c r="C16" s="34"/>
      <c r="D16" s="190"/>
      <c r="E16" s="215" t="s">
        <v>88</v>
      </c>
      <c r="F16" s="215" t="s">
        <v>88</v>
      </c>
      <c r="G16" s="199" t="s">
        <v>41</v>
      </c>
      <c r="H16" s="215" t="s">
        <v>88</v>
      </c>
      <c r="I16" s="363" t="s">
        <v>18</v>
      </c>
      <c r="J16" s="191"/>
      <c r="K16" s="191"/>
      <c r="L16" s="191"/>
      <c r="N16" s="15"/>
    </row>
    <row r="17" spans="1:12" ht="15.6" x14ac:dyDescent="0.3">
      <c r="A17" s="187" t="s">
        <v>181</v>
      </c>
      <c r="B17" s="34"/>
      <c r="C17" s="34"/>
      <c r="D17" s="190"/>
      <c r="E17" s="190"/>
      <c r="F17" s="190"/>
      <c r="G17" s="214" t="s">
        <v>34</v>
      </c>
      <c r="H17" s="214" t="s">
        <v>34</v>
      </c>
      <c r="I17" s="190"/>
      <c r="J17" s="190"/>
      <c r="K17" s="191"/>
      <c r="L17" s="191"/>
    </row>
    <row r="18" spans="1:12" ht="15.6" x14ac:dyDescent="0.3">
      <c r="A18" s="187" t="s">
        <v>181</v>
      </c>
      <c r="B18" s="34"/>
      <c r="C18" s="34"/>
      <c r="D18" s="190"/>
      <c r="E18" s="190"/>
      <c r="F18" s="190"/>
      <c r="G18" s="215" t="s">
        <v>88</v>
      </c>
      <c r="H18" s="210" t="s">
        <v>317</v>
      </c>
      <c r="I18" s="190"/>
      <c r="J18" s="190"/>
      <c r="K18" s="191"/>
      <c r="L18" s="191"/>
    </row>
    <row r="19" spans="1:12" ht="15.6" x14ac:dyDescent="0.3">
      <c r="A19" s="201" t="s">
        <v>167</v>
      </c>
      <c r="B19" s="231"/>
      <c r="C19" s="231"/>
      <c r="D19" s="202"/>
      <c r="E19" s="213" t="s">
        <v>32</v>
      </c>
      <c r="F19" s="213" t="s">
        <v>32</v>
      </c>
      <c r="G19" s="353" t="s">
        <v>83</v>
      </c>
      <c r="H19" s="209" t="s">
        <v>84</v>
      </c>
      <c r="I19" s="204" t="s">
        <v>12</v>
      </c>
      <c r="J19" s="204" t="s">
        <v>12</v>
      </c>
      <c r="K19" s="206"/>
      <c r="L19" s="206"/>
    </row>
    <row r="20" spans="1:12" ht="15.6" x14ac:dyDescent="0.3">
      <c r="A20" s="201" t="s">
        <v>289</v>
      </c>
      <c r="B20" s="231"/>
      <c r="C20" s="231"/>
      <c r="D20" s="202"/>
      <c r="E20" s="204" t="s">
        <v>12</v>
      </c>
      <c r="F20" s="204" t="s">
        <v>12</v>
      </c>
      <c r="G20" s="364" t="s">
        <v>75</v>
      </c>
      <c r="H20" s="213" t="s">
        <v>334</v>
      </c>
      <c r="I20" s="205" t="s">
        <v>317</v>
      </c>
      <c r="J20" s="206"/>
      <c r="K20" s="206"/>
      <c r="L20" s="206"/>
    </row>
    <row r="21" spans="1:12" ht="15.6" x14ac:dyDescent="0.3">
      <c r="A21" s="201" t="s">
        <v>170</v>
      </c>
      <c r="B21" s="231"/>
      <c r="C21" s="231"/>
      <c r="D21" s="202"/>
      <c r="E21" s="219" t="s">
        <v>7</v>
      </c>
      <c r="F21" s="222" t="s">
        <v>16</v>
      </c>
      <c r="G21" s="222" t="s">
        <v>16</v>
      </c>
      <c r="H21" s="203" t="s">
        <v>41</v>
      </c>
      <c r="I21" s="203" t="s">
        <v>41</v>
      </c>
      <c r="J21" s="213" t="s">
        <v>32</v>
      </c>
      <c r="K21" s="206"/>
      <c r="L21" s="206"/>
    </row>
    <row r="22" spans="1:12" ht="15.6" x14ac:dyDescent="0.3">
      <c r="A22" s="367"/>
      <c r="B22" s="231"/>
      <c r="C22" s="231"/>
      <c r="D22" s="202"/>
      <c r="E22" s="368"/>
      <c r="F22" s="368"/>
      <c r="G22" s="368"/>
      <c r="H22" s="368"/>
      <c r="I22" s="368"/>
      <c r="J22" s="368"/>
      <c r="K22" s="206"/>
      <c r="L22" s="206"/>
    </row>
    <row r="23" spans="1:12" ht="15.6" x14ac:dyDescent="0.3">
      <c r="A23" s="201" t="s">
        <v>169</v>
      </c>
      <c r="B23" s="231"/>
      <c r="C23" s="231"/>
      <c r="D23" s="213" t="s">
        <v>334</v>
      </c>
      <c r="E23" s="202"/>
      <c r="F23" s="202"/>
      <c r="G23" s="202"/>
      <c r="H23" s="202"/>
      <c r="I23" s="202"/>
      <c r="J23" s="202"/>
      <c r="K23" s="206"/>
      <c r="L23" s="206"/>
    </row>
    <row r="24" spans="1:12" ht="15.6" x14ac:dyDescent="0.3">
      <c r="A24" s="201" t="s">
        <v>182</v>
      </c>
      <c r="B24" s="231"/>
      <c r="C24" s="231"/>
      <c r="D24" s="202"/>
      <c r="E24" s="202"/>
      <c r="F24" s="202"/>
      <c r="G24" s="202"/>
      <c r="H24" s="202"/>
      <c r="I24" s="202"/>
      <c r="J24" s="202"/>
      <c r="K24" s="225" t="s">
        <v>334</v>
      </c>
      <c r="L24" s="225" t="s">
        <v>334</v>
      </c>
    </row>
    <row r="25" spans="1:12" ht="15.6" x14ac:dyDescent="0.3">
      <c r="A25" s="187" t="s">
        <v>182</v>
      </c>
      <c r="B25" s="34"/>
      <c r="C25" s="34"/>
      <c r="D25" s="190"/>
      <c r="E25" s="190"/>
      <c r="F25" s="190"/>
      <c r="G25" s="202"/>
      <c r="H25" s="202"/>
      <c r="I25" s="190"/>
      <c r="J25" s="190"/>
      <c r="K25" s="234" t="s">
        <v>20</v>
      </c>
      <c r="L25" s="234" t="s">
        <v>20</v>
      </c>
    </row>
    <row r="26" spans="1:12" ht="15.6" x14ac:dyDescent="0.3">
      <c r="A26" s="187" t="s">
        <v>182</v>
      </c>
      <c r="B26" s="34"/>
      <c r="C26" s="34"/>
      <c r="D26" s="200"/>
      <c r="E26" s="200"/>
      <c r="F26" s="200"/>
      <c r="G26" s="200"/>
      <c r="H26" s="200"/>
      <c r="I26" s="200"/>
      <c r="J26" s="200"/>
      <c r="K26" s="234" t="s">
        <v>20</v>
      </c>
      <c r="L26" s="234" t="s">
        <v>20</v>
      </c>
    </row>
    <row r="27" spans="1:12" ht="15.6" x14ac:dyDescent="0.3">
      <c r="A27" s="187" t="s">
        <v>182</v>
      </c>
      <c r="B27" s="34"/>
      <c r="C27" s="34"/>
      <c r="D27" s="200"/>
      <c r="E27" s="200"/>
      <c r="F27" s="200"/>
      <c r="G27" s="200"/>
      <c r="H27" s="200"/>
      <c r="I27" s="200"/>
      <c r="J27" s="200"/>
    </row>
    <row r="28" spans="1:12" ht="15.6" x14ac:dyDescent="0.3">
      <c r="A28" s="187" t="s">
        <v>182</v>
      </c>
      <c r="B28" s="34"/>
      <c r="C28" s="34"/>
      <c r="D28" s="200"/>
      <c r="E28" s="200"/>
      <c r="F28" s="200"/>
      <c r="G28" s="200"/>
      <c r="H28" s="200"/>
      <c r="I28" s="200"/>
      <c r="J28" s="200"/>
    </row>
    <row r="29" spans="1:12" ht="15.6" x14ac:dyDescent="0.3">
      <c r="A29" s="226"/>
      <c r="B29" s="235"/>
      <c r="C29" s="235"/>
      <c r="D29" s="236"/>
      <c r="E29" s="236"/>
      <c r="F29" s="236"/>
      <c r="G29" s="236"/>
      <c r="H29" s="236"/>
      <c r="I29" s="236"/>
      <c r="J29" s="236"/>
      <c r="K29" s="369"/>
      <c r="L29" s="369"/>
    </row>
    <row r="30" spans="1:12" x14ac:dyDescent="0.25">
      <c r="A30" s="230"/>
      <c r="B30" s="230"/>
      <c r="C30" s="230"/>
      <c r="D30" s="230"/>
      <c r="E30" s="230"/>
      <c r="F30" s="230"/>
      <c r="G30" s="230"/>
      <c r="H30" s="230"/>
      <c r="I30" s="230"/>
      <c r="J30" s="230"/>
      <c r="K30" s="230"/>
      <c r="L30" s="230"/>
    </row>
    <row r="31" spans="1:12" ht="15" x14ac:dyDescent="0.25">
      <c r="A31" s="12"/>
      <c r="B31" s="12"/>
      <c r="C31" s="12"/>
    </row>
    <row r="33" spans="12:12" ht="15" x14ac:dyDescent="0.25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3"/>
    </row>
    <row r="2" spans="1:26" ht="26.25" customHeight="1" x14ac:dyDescent="0.4">
      <c r="A2" s="149" t="s">
        <v>133</v>
      </c>
      <c r="B2" s="16"/>
      <c r="C2" s="370" t="s">
        <v>18</v>
      </c>
      <c r="D2" s="17"/>
    </row>
    <row r="3" spans="1:26" ht="20.25" customHeight="1" x14ac:dyDescent="0.3">
      <c r="A3" s="20" t="s">
        <v>112</v>
      </c>
      <c r="B3" s="378" t="str">
        <f>VLOOKUP(ClubSumSymbol,ClubList,2,FALSE)</f>
        <v>Trinity River Express</v>
      </c>
      <c r="C3" s="379"/>
      <c r="D3" s="379"/>
      <c r="E3" s="379"/>
      <c r="F3" s="379"/>
      <c r="G3" s="379"/>
    </row>
    <row r="4" spans="1:26" x14ac:dyDescent="0.25">
      <c r="A4" t="s">
        <v>206</v>
      </c>
      <c r="C4" s="2" t="str">
        <f>VLOOKUP(ClubSumSymbol,ClubList,7,FALSE)</f>
        <v>Terry Bork</v>
      </c>
    </row>
    <row r="5" spans="1:26" x14ac:dyDescent="0.25">
      <c r="A5" t="s">
        <v>207</v>
      </c>
      <c r="B5" s="45">
        <f>VLOOKUP(ClubSumSymbol,ClubList,8,FALSE)</f>
        <v>0</v>
      </c>
      <c r="C5" s="2"/>
    </row>
    <row r="6" spans="1:26" ht="15.6" x14ac:dyDescent="0.3">
      <c r="H6" s="47" t="s">
        <v>191</v>
      </c>
      <c r="I6" s="122" t="str">
        <f>Issue</f>
        <v>2026/27 Show Season</v>
      </c>
    </row>
    <row r="7" spans="1:26" x14ac:dyDescent="0.25">
      <c r="B7" s="123" t="s">
        <v>296</v>
      </c>
      <c r="C7" s="123" t="s">
        <v>297</v>
      </c>
      <c r="D7" s="124" t="s">
        <v>141</v>
      </c>
      <c r="E7" s="124" t="s">
        <v>192</v>
      </c>
      <c r="F7" s="124" t="s">
        <v>103</v>
      </c>
    </row>
    <row r="8" spans="1:26" x14ac:dyDescent="0.25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119"/>
      <c r="B11" s="119"/>
      <c r="C11" s="119"/>
      <c r="D11" s="119"/>
      <c r="E11" s="120" t="s">
        <v>294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8" thickBot="1" x14ac:dyDescent="0.3">
      <c r="A13" s="118" t="s">
        <v>295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5">
      <c r="A14" s="121" t="s">
        <v>276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8" thickBot="1" x14ac:dyDescent="0.3">
      <c r="A16" s="118" t="s">
        <v>347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318</v>
      </c>
      <c r="O16" s="118" t="s">
        <v>319</v>
      </c>
      <c r="P16" s="118" t="s">
        <v>320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5">
      <c r="A17" s="121" t="s">
        <v>340</v>
      </c>
      <c r="B17" s="121" t="s">
        <v>325</v>
      </c>
      <c r="C17" s="121" t="s">
        <v>325</v>
      </c>
      <c r="D17" s="121" t="s">
        <v>325</v>
      </c>
      <c r="E17" s="121" t="s">
        <v>325</v>
      </c>
      <c r="F17" s="121" t="s">
        <v>325</v>
      </c>
      <c r="G17" s="121" t="s">
        <v>325</v>
      </c>
      <c r="H17" s="121" t="s">
        <v>325</v>
      </c>
      <c r="I17" s="121" t="s">
        <v>325</v>
      </c>
      <c r="J17" s="121" t="s">
        <v>325</v>
      </c>
      <c r="K17" s="121" t="s">
        <v>325</v>
      </c>
      <c r="L17" s="121" t="s">
        <v>325</v>
      </c>
      <c r="M17" s="371" t="s">
        <v>18</v>
      </c>
      <c r="N17" s="121" t="s">
        <v>325</v>
      </c>
      <c r="O17" s="121" t="s">
        <v>325</v>
      </c>
      <c r="P17" s="121" t="s">
        <v>325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8" thickBot="1" x14ac:dyDescent="0.3">
      <c r="A19" s="118" t="s">
        <v>346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5">
      <c r="A20" s="121" t="s">
        <v>220</v>
      </c>
      <c r="B20" s="121" t="s">
        <v>325</v>
      </c>
      <c r="C20" s="121" t="s">
        <v>325</v>
      </c>
      <c r="D20" s="121" t="s">
        <v>325</v>
      </c>
      <c r="E20" s="371" t="s">
        <v>18</v>
      </c>
      <c r="F20" s="371" t="s">
        <v>18</v>
      </c>
      <c r="G20" s="121" t="s">
        <v>325</v>
      </c>
      <c r="H20" s="121" t="s">
        <v>325</v>
      </c>
      <c r="I20" s="121" t="s">
        <v>325</v>
      </c>
      <c r="J20" s="371" t="s">
        <v>18</v>
      </c>
      <c r="K20" s="121" t="s">
        <v>325</v>
      </c>
      <c r="L20" s="121" t="s">
        <v>325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5">
      <c r="A21" s="156" t="s">
        <v>221</v>
      </c>
      <c r="B21" s="156" t="s">
        <v>325</v>
      </c>
      <c r="C21" s="156" t="s">
        <v>325</v>
      </c>
      <c r="D21" s="156" t="s">
        <v>325</v>
      </c>
      <c r="E21" s="156" t="s">
        <v>325</v>
      </c>
      <c r="F21" s="156" t="s">
        <v>325</v>
      </c>
      <c r="G21" s="156" t="s">
        <v>325</v>
      </c>
      <c r="H21" s="372" t="s">
        <v>18</v>
      </c>
      <c r="I21" s="156" t="s">
        <v>325</v>
      </c>
      <c r="J21" s="156" t="s">
        <v>325</v>
      </c>
      <c r="K21" s="156" t="s">
        <v>325</v>
      </c>
      <c r="L21" s="156" t="s">
        <v>325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8" thickBot="1" x14ac:dyDescent="0.3">
      <c r="A23" s="118" t="s">
        <v>348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5">
      <c r="A24" s="121" t="s">
        <v>228</v>
      </c>
      <c r="B24" s="121" t="s">
        <v>325</v>
      </c>
      <c r="C24" s="121" t="s">
        <v>325</v>
      </c>
      <c r="D24" s="121" t="s">
        <v>325</v>
      </c>
      <c r="E24" s="121" t="s">
        <v>325</v>
      </c>
      <c r="F24" s="121" t="s">
        <v>325</v>
      </c>
      <c r="G24" s="371" t="s">
        <v>18</v>
      </c>
      <c r="H24" s="371" t="s">
        <v>18</v>
      </c>
      <c r="I24" s="121" t="s">
        <v>325</v>
      </c>
      <c r="J24" s="121" t="s">
        <v>325</v>
      </c>
      <c r="K24" s="121" t="s">
        <v>325</v>
      </c>
      <c r="L24" s="121" t="s">
        <v>325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5">
      <c r="A25" s="156" t="s">
        <v>165</v>
      </c>
      <c r="B25" s="156" t="s">
        <v>325</v>
      </c>
      <c r="C25" s="156" t="s">
        <v>325</v>
      </c>
      <c r="D25" s="156" t="s">
        <v>325</v>
      </c>
      <c r="E25" s="156" t="s">
        <v>325</v>
      </c>
      <c r="F25" s="156" t="s">
        <v>325</v>
      </c>
      <c r="G25" s="372" t="s">
        <v>18</v>
      </c>
      <c r="H25" s="156" t="s">
        <v>325</v>
      </c>
      <c r="I25" s="156" t="s">
        <v>325</v>
      </c>
      <c r="J25" s="156" t="s">
        <v>325</v>
      </c>
      <c r="K25" s="156" t="s">
        <v>325</v>
      </c>
      <c r="L25" s="156" t="s">
        <v>325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5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5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5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5">
      <c r="A29" s="119"/>
      <c r="B29" s="119"/>
      <c r="C29" s="119"/>
      <c r="D29" s="119"/>
      <c r="E29" s="120" t="s">
        <v>339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5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8" thickBot="1" x14ac:dyDescent="0.3">
      <c r="A31" s="118" t="s">
        <v>295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5">
      <c r="A32" s="121" t="s">
        <v>276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5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8" thickBot="1" x14ac:dyDescent="0.3">
      <c r="A34" s="118" t="s">
        <v>351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318</v>
      </c>
      <c r="O34" s="118" t="s">
        <v>319</v>
      </c>
      <c r="P34" s="118" t="s">
        <v>320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5">
      <c r="A35" s="121" t="s">
        <v>340</v>
      </c>
      <c r="B35" s="121" t="s">
        <v>325</v>
      </c>
      <c r="C35" s="121" t="s">
        <v>325</v>
      </c>
      <c r="D35" s="121" t="s">
        <v>325</v>
      </c>
      <c r="E35" s="121" t="s">
        <v>325</v>
      </c>
      <c r="F35" s="121" t="s">
        <v>325</v>
      </c>
      <c r="G35" s="121" t="s">
        <v>325</v>
      </c>
      <c r="H35" s="121" t="s">
        <v>325</v>
      </c>
      <c r="I35" s="121" t="s">
        <v>325</v>
      </c>
      <c r="J35" s="121" t="s">
        <v>325</v>
      </c>
      <c r="K35" s="121" t="s">
        <v>325</v>
      </c>
      <c r="L35" s="371" t="s">
        <v>18</v>
      </c>
      <c r="M35" s="121" t="s">
        <v>325</v>
      </c>
      <c r="N35" s="121" t="s">
        <v>325</v>
      </c>
      <c r="O35" s="121" t="s">
        <v>325</v>
      </c>
      <c r="P35" s="121" t="s">
        <v>325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5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8" thickBot="1" x14ac:dyDescent="0.3">
      <c r="A37" s="118" t="s">
        <v>349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5">
      <c r="A38" s="121" t="s">
        <v>180</v>
      </c>
      <c r="B38" s="121" t="s">
        <v>325</v>
      </c>
      <c r="C38" s="121" t="s">
        <v>325</v>
      </c>
      <c r="D38" s="121" t="s">
        <v>325</v>
      </c>
      <c r="E38" s="121" t="s">
        <v>325</v>
      </c>
      <c r="F38" s="121" t="s">
        <v>325</v>
      </c>
      <c r="G38" s="121" t="s">
        <v>325</v>
      </c>
      <c r="H38" s="371" t="s">
        <v>18</v>
      </c>
      <c r="I38" s="121" t="s">
        <v>325</v>
      </c>
      <c r="J38" s="121" t="s">
        <v>325</v>
      </c>
      <c r="K38" s="121" t="s">
        <v>325</v>
      </c>
      <c r="L38" s="121" t="s">
        <v>325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5">
      <c r="A39" s="156" t="s">
        <v>180</v>
      </c>
      <c r="B39" s="156" t="s">
        <v>325</v>
      </c>
      <c r="C39" s="156" t="s">
        <v>325</v>
      </c>
      <c r="D39" s="156" t="s">
        <v>325</v>
      </c>
      <c r="E39" s="156" t="s">
        <v>325</v>
      </c>
      <c r="F39" s="156" t="s">
        <v>325</v>
      </c>
      <c r="G39" s="156" t="s">
        <v>325</v>
      </c>
      <c r="H39" s="156" t="s">
        <v>325</v>
      </c>
      <c r="I39" s="156" t="s">
        <v>325</v>
      </c>
      <c r="J39" s="372" t="s">
        <v>18</v>
      </c>
      <c r="K39" s="372" t="s">
        <v>18</v>
      </c>
      <c r="L39" s="156" t="s">
        <v>325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5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8" thickBot="1" x14ac:dyDescent="0.3">
      <c r="A41" s="118" t="s">
        <v>350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8" t="s">
        <v>325</v>
      </c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5">
      <c r="A42" s="121" t="s">
        <v>177</v>
      </c>
      <c r="B42" s="121" t="s">
        <v>325</v>
      </c>
      <c r="C42" s="121" t="s">
        <v>325</v>
      </c>
      <c r="D42" s="121" t="s">
        <v>325</v>
      </c>
      <c r="E42" s="371" t="s">
        <v>18</v>
      </c>
      <c r="F42" s="121" t="s">
        <v>325</v>
      </c>
      <c r="G42" s="121" t="s">
        <v>325</v>
      </c>
      <c r="H42" s="371" t="s">
        <v>18</v>
      </c>
      <c r="I42" s="121" t="s">
        <v>325</v>
      </c>
      <c r="J42" s="121" t="s">
        <v>325</v>
      </c>
      <c r="K42" s="121" t="s">
        <v>325</v>
      </c>
      <c r="L42" s="121" t="s">
        <v>325</v>
      </c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5">
      <c r="A43" s="156" t="s">
        <v>181</v>
      </c>
      <c r="B43" s="156" t="s">
        <v>325</v>
      </c>
      <c r="C43" s="156" t="s">
        <v>325</v>
      </c>
      <c r="D43" s="156" t="s">
        <v>325</v>
      </c>
      <c r="E43" s="156" t="s">
        <v>325</v>
      </c>
      <c r="F43" s="156" t="s">
        <v>325</v>
      </c>
      <c r="G43" s="156" t="s">
        <v>325</v>
      </c>
      <c r="H43" s="156" t="s">
        <v>325</v>
      </c>
      <c r="I43" s="372" t="s">
        <v>18</v>
      </c>
      <c r="J43" s="156" t="s">
        <v>325</v>
      </c>
      <c r="K43" s="156" t="s">
        <v>325</v>
      </c>
      <c r="L43" s="156" t="s">
        <v>325</v>
      </c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5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5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5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5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5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5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5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5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5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5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5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5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5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5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5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5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5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5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5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5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5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5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5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5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5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5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5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5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5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5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5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5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5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5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5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5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5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5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5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5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5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5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5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5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5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5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5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5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5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5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5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5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5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5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5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5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5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5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5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5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5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5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5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5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5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5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5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5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5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5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5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5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5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5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5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5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5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5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5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5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5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5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5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5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5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5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5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5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5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5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5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5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5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5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5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5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5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5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5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5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5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5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5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5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5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5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5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5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5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5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5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5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5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5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5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5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5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5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5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5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5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5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5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5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5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5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5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5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5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5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5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5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5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5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5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5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5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5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5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5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5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5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5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5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5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5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5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5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5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5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5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5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5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5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5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5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5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5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5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5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5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5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5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5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5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5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5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5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5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5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5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5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5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5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5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5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5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5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5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5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5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5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5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5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5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5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5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5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5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5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5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5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5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5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5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5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5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5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5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5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5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5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5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5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5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5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5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5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5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5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5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5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5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5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5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5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5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5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5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5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5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5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5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5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5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5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5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5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5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5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5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5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5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5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5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5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5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5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5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5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5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5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5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5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5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5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5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5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5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5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5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5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5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5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5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5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5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5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5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5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5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5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5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5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5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5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5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5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5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5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5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5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5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5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5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5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5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5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5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5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5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5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5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5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5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5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5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5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5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5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5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5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5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5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5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5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5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5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5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5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5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5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5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5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5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5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5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5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5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5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5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5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5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5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5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5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5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5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5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5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5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5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5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5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5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5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5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5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5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5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5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5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5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5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5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5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5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5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5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5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5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5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5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5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5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5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5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5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5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5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5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5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5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5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5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5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5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5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5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5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5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5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5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5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5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5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5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5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5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5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5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5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5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5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5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5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5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5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5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5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5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5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5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5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5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5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5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5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5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5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5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5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5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5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5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5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5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5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5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5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5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5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5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5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5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5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5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5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5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5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5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5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5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5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5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5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5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5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5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5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5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5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5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5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5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5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5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5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5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5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5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5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5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5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5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5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5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5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5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5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5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5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5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5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5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5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5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5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5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5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5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5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5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5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5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5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5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5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5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5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5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5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5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5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5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5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5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5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5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5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5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5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5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5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5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5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5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5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5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5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5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5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5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5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5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5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5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5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5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5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5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5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5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5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5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5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5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5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5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5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5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5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5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5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5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5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5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5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5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5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5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5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5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5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5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5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5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5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5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5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5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5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5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5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5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5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5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5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5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5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5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5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5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5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5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5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5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5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5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5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5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5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5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5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5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5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5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5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5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259080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47" customWidth="1"/>
    <col min="2" max="2" width="7.88671875" style="47" customWidth="1"/>
    <col min="3" max="3" width="39.109375" style="50" bestFit="1" customWidth="1"/>
    <col min="4" max="4" width="4.33203125" style="47" customWidth="1"/>
    <col min="5" max="6" width="11.44140625" style="47" customWidth="1"/>
    <col min="7" max="7" width="20" style="47" customWidth="1"/>
    <col min="8" max="8" width="11.44140625" style="47" customWidth="1"/>
    <col min="9" max="9" width="4.33203125" style="47" customWidth="1"/>
    <col min="10" max="16384" width="9.109375" style="47"/>
  </cols>
  <sheetData>
    <row r="1" spans="1:26" s="12" customFormat="1" ht="15" x14ac:dyDescent="0.25">
      <c r="A1" s="150" t="s">
        <v>191</v>
      </c>
      <c r="B1" s="12" t="str">
        <f>Issue</f>
        <v>2026/27 Show Season</v>
      </c>
      <c r="C1" s="51"/>
    </row>
    <row r="2" spans="1:26" x14ac:dyDescent="0.3">
      <c r="H2" s="75"/>
      <c r="I2"/>
    </row>
    <row r="3" spans="1:26" ht="24.6" x14ac:dyDescent="0.4">
      <c r="B3" s="136"/>
      <c r="C3" s="346" t="s">
        <v>255</v>
      </c>
      <c r="D3" s="53"/>
      <c r="E3" s="54" t="str">
        <f>VLOOKUP(SelShowDay,ShowDates,3,FALSE)</f>
        <v>Friday 9/25/2026</v>
      </c>
      <c r="F3" s="53"/>
      <c r="G3" s="53"/>
      <c r="H3" s="83" t="s">
        <v>320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x14ac:dyDescent="0.3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 t="s">
        <v>132</v>
      </c>
      <c r="N6" s="45" t="s">
        <v>318</v>
      </c>
      <c r="O6" s="45" t="s">
        <v>319</v>
      </c>
      <c r="P6" s="45" t="s">
        <v>320</v>
      </c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1B376AB7-4BD5-4565-A716-A1047858F2D4}">
      <formula1>B6:P6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2</xdr:row>
                <xdr:rowOff>266700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91440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235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278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279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251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280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129540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235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278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2" thickBot="1" x14ac:dyDescent="0.35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 t="s">
        <v>279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92</v>
      </c>
      <c r="C23" s="48" t="s">
        <v>251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93</v>
      </c>
      <c r="C25" s="48" t="s">
        <v>251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94</v>
      </c>
      <c r="C27" s="48" t="s">
        <v>251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95</v>
      </c>
      <c r="C29" s="48" t="s">
        <v>334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98</v>
      </c>
      <c r="C35" s="48" t="s">
        <v>317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99</v>
      </c>
      <c r="C37" s="48" t="s">
        <v>334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2" thickBot="1" x14ac:dyDescent="0.35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101</v>
      </c>
      <c r="C41" s="48" t="s">
        <v>317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 t="s">
        <v>280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94</v>
      </c>
      <c r="C45" s="48" t="s">
        <v>217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95</v>
      </c>
      <c r="C47" s="48" t="s">
        <v>334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2" thickBot="1" x14ac:dyDescent="0.35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2" thickBot="1" x14ac:dyDescent="0.35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317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2026/2027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317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317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334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251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317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251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217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334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317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65" customWidth="1"/>
    <col min="3" max="3" width="5.21875" style="65" customWidth="1"/>
    <col min="4" max="26" width="5.21875" customWidth="1"/>
    <col min="27" max="29" width="5.21875" style="65" customWidth="1"/>
    <col min="30" max="31" width="5.109375" style="65" customWidth="1"/>
    <col min="32" max="32" width="5.109375" customWidth="1"/>
  </cols>
  <sheetData>
    <row r="1" spans="1:29" x14ac:dyDescent="0.25">
      <c r="A1"/>
      <c r="B1"/>
      <c r="C1"/>
    </row>
    <row r="2" spans="1:29" x14ac:dyDescent="0.25">
      <c r="A2"/>
      <c r="B2" t="s">
        <v>185</v>
      </c>
    </row>
    <row r="3" spans="1:29" x14ac:dyDescent="0.25">
      <c r="A3"/>
      <c r="B3"/>
      <c r="C3"/>
    </row>
    <row r="4" spans="1:29" ht="18" thickBot="1" x14ac:dyDescent="0.35">
      <c r="B4" s="66" t="s">
        <v>302</v>
      </c>
    </row>
    <row r="5" spans="1:29" ht="67.2" x14ac:dyDescent="0.3">
      <c r="A5" s="127"/>
      <c r="B5" s="128" t="s">
        <v>353</v>
      </c>
      <c r="C5" s="129" t="s">
        <v>4</v>
      </c>
      <c r="D5" s="130" t="s">
        <v>215</v>
      </c>
      <c r="E5" s="130" t="s">
        <v>16</v>
      </c>
      <c r="F5" s="130" t="s">
        <v>75</v>
      </c>
      <c r="G5" s="130" t="s">
        <v>12</v>
      </c>
      <c r="H5" s="130" t="s">
        <v>32</v>
      </c>
      <c r="I5" s="130" t="s">
        <v>317</v>
      </c>
      <c r="J5" s="130" t="s">
        <v>25</v>
      </c>
      <c r="K5" s="130" t="s">
        <v>81</v>
      </c>
      <c r="L5" s="130" t="s">
        <v>80</v>
      </c>
      <c r="M5" s="130" t="s">
        <v>217</v>
      </c>
      <c r="N5" s="130" t="s">
        <v>337</v>
      </c>
      <c r="O5" s="130" t="s">
        <v>144</v>
      </c>
      <c r="P5" s="130" t="s">
        <v>20</v>
      </c>
      <c r="Q5" s="130" t="s">
        <v>83</v>
      </c>
      <c r="R5" s="130" t="s">
        <v>251</v>
      </c>
      <c r="S5" s="130" t="s">
        <v>88</v>
      </c>
      <c r="T5" s="130" t="s">
        <v>84</v>
      </c>
      <c r="U5" s="130" t="s">
        <v>34</v>
      </c>
      <c r="V5" s="130" t="s">
        <v>334</v>
      </c>
      <c r="W5" s="130" t="s">
        <v>41</v>
      </c>
      <c r="X5" s="130" t="s">
        <v>212</v>
      </c>
      <c r="Y5" s="130" t="s">
        <v>37</v>
      </c>
      <c r="Z5" s="130" t="s">
        <v>7</v>
      </c>
      <c r="AA5" s="129" t="s">
        <v>18</v>
      </c>
      <c r="AB5" s="129" t="s">
        <v>103</v>
      </c>
      <c r="AC5" s="386" t="s">
        <v>184</v>
      </c>
    </row>
    <row r="6" spans="1:29" x14ac:dyDescent="0.25">
      <c r="A6" s="131" t="s">
        <v>6</v>
      </c>
      <c r="B6" s="132" t="s">
        <v>269</v>
      </c>
      <c r="C6" s="132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2"/>
      <c r="AB6" s="132">
        <v>4</v>
      </c>
      <c r="AC6" s="387">
        <v>0</v>
      </c>
    </row>
    <row r="7" spans="1:29" x14ac:dyDescent="0.25">
      <c r="A7" s="131" t="s">
        <v>8</v>
      </c>
      <c r="B7" s="132" t="s">
        <v>270</v>
      </c>
      <c r="C7" s="132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2"/>
      <c r="AB7" s="132">
        <v>2</v>
      </c>
      <c r="AC7" s="387">
        <v>0</v>
      </c>
    </row>
    <row r="8" spans="1:29" x14ac:dyDescent="0.25">
      <c r="A8" s="131" t="s">
        <v>9</v>
      </c>
      <c r="B8" s="132" t="s">
        <v>271</v>
      </c>
      <c r="C8" s="132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2"/>
      <c r="AB8" s="132">
        <v>2</v>
      </c>
      <c r="AC8" s="387">
        <v>0</v>
      </c>
    </row>
    <row r="9" spans="1:29" x14ac:dyDescent="0.25">
      <c r="A9" s="131" t="s">
        <v>9</v>
      </c>
      <c r="B9" s="132" t="s">
        <v>335</v>
      </c>
      <c r="C9" s="132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>
        <v>9</v>
      </c>
      <c r="S9" s="18"/>
      <c r="T9" s="18"/>
      <c r="U9" s="18"/>
      <c r="V9" s="18"/>
      <c r="W9" s="18"/>
      <c r="X9" s="18"/>
      <c r="Y9" s="18"/>
      <c r="Z9" s="18"/>
      <c r="AA9" s="132"/>
      <c r="AB9" s="132">
        <v>9</v>
      </c>
      <c r="AC9" s="387">
        <v>0</v>
      </c>
    </row>
    <row r="10" spans="1:29" x14ac:dyDescent="0.25">
      <c r="A10" s="131" t="s">
        <v>10</v>
      </c>
      <c r="B10" s="132" t="s">
        <v>272</v>
      </c>
      <c r="C10" s="132">
        <v>2</v>
      </c>
      <c r="D10" s="18"/>
      <c r="E10" s="18"/>
      <c r="F10" s="18"/>
      <c r="G10" s="18"/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2"/>
      <c r="AB10" s="132">
        <v>2</v>
      </c>
      <c r="AC10" s="387">
        <v>0</v>
      </c>
    </row>
    <row r="11" spans="1:29" x14ac:dyDescent="0.25">
      <c r="A11" s="131" t="s">
        <v>11</v>
      </c>
      <c r="B11" s="132" t="s">
        <v>285</v>
      </c>
      <c r="C11" s="132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2"/>
      <c r="AB11" s="132">
        <v>8</v>
      </c>
      <c r="AC11" s="387">
        <v>0</v>
      </c>
    </row>
    <row r="12" spans="1:29" x14ac:dyDescent="0.25">
      <c r="A12" s="131"/>
      <c r="B12" s="132"/>
      <c r="C12" s="132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2"/>
      <c r="AB12" s="132"/>
      <c r="AC12" s="387">
        <v>0</v>
      </c>
    </row>
    <row r="13" spans="1:29" x14ac:dyDescent="0.25">
      <c r="A13" s="131" t="s">
        <v>13</v>
      </c>
      <c r="B13" s="132" t="s">
        <v>273</v>
      </c>
      <c r="C13" s="132">
        <v>6</v>
      </c>
      <c r="D13" s="18"/>
      <c r="E13" s="18"/>
      <c r="F13" s="18"/>
      <c r="G13" s="18">
        <v>6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2"/>
      <c r="AB13" s="132">
        <v>6</v>
      </c>
      <c r="AC13" s="387">
        <v>0</v>
      </c>
    </row>
    <row r="14" spans="1:29" x14ac:dyDescent="0.25">
      <c r="A14" s="131" t="s">
        <v>14</v>
      </c>
      <c r="B14" s="132"/>
      <c r="C14" s="132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2"/>
      <c r="AB14" s="132"/>
      <c r="AC14" s="387">
        <v>0</v>
      </c>
    </row>
    <row r="15" spans="1:29" x14ac:dyDescent="0.25">
      <c r="A15" s="131" t="s">
        <v>15</v>
      </c>
      <c r="B15" s="132"/>
      <c r="C15" s="132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2"/>
      <c r="AB15" s="132"/>
      <c r="AC15" s="387">
        <v>0</v>
      </c>
    </row>
    <row r="16" spans="1:29" x14ac:dyDescent="0.25">
      <c r="A16" s="131" t="s">
        <v>209</v>
      </c>
      <c r="B16" s="132" t="s">
        <v>210</v>
      </c>
      <c r="C16" s="132">
        <v>8</v>
      </c>
      <c r="D16" s="18"/>
      <c r="E16" s="18">
        <v>8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2"/>
      <c r="AB16" s="132">
        <v>8</v>
      </c>
      <c r="AC16" s="387">
        <v>0</v>
      </c>
    </row>
    <row r="17" spans="1:29" x14ac:dyDescent="0.25">
      <c r="A17" s="131" t="s">
        <v>17</v>
      </c>
      <c r="B17" s="132" t="s">
        <v>286</v>
      </c>
      <c r="C17" s="132">
        <v>10</v>
      </c>
      <c r="D17" s="18"/>
      <c r="E17" s="18"/>
      <c r="F17" s="18"/>
      <c r="G17" s="18"/>
      <c r="H17" s="18">
        <v>10</v>
      </c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2"/>
      <c r="AB17" s="132">
        <v>10</v>
      </c>
      <c r="AC17" s="387">
        <v>0</v>
      </c>
    </row>
    <row r="18" spans="1:29" x14ac:dyDescent="0.25">
      <c r="A18" s="131" t="s">
        <v>19</v>
      </c>
      <c r="B18" s="132"/>
      <c r="C18" s="132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2"/>
      <c r="AB18" s="132"/>
      <c r="AC18" s="387">
        <v>0</v>
      </c>
    </row>
    <row r="19" spans="1:29" x14ac:dyDescent="0.25">
      <c r="A19" s="131" t="s">
        <v>21</v>
      </c>
      <c r="B19" s="132"/>
      <c r="C19" s="132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2"/>
      <c r="AB19" s="132"/>
      <c r="AC19" s="387">
        <v>0</v>
      </c>
    </row>
    <row r="20" spans="1:29" x14ac:dyDescent="0.25">
      <c r="A20" s="131" t="s">
        <v>22</v>
      </c>
      <c r="B20" s="132" t="s">
        <v>23</v>
      </c>
      <c r="C20" s="132">
        <v>8</v>
      </c>
      <c r="D20" s="18"/>
      <c r="E20" s="18"/>
      <c r="F20" s="18"/>
      <c r="G20" s="18"/>
      <c r="H20" s="18"/>
      <c r="I20" s="18"/>
      <c r="J20" s="18">
        <v>8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2"/>
      <c r="AB20" s="132">
        <v>8</v>
      </c>
      <c r="AC20" s="387">
        <v>0</v>
      </c>
    </row>
    <row r="21" spans="1:29" x14ac:dyDescent="0.25">
      <c r="A21" s="131" t="s">
        <v>24</v>
      </c>
      <c r="B21" s="132" t="s">
        <v>332</v>
      </c>
      <c r="C21" s="132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>
        <v>4</v>
      </c>
      <c r="AA21" s="132"/>
      <c r="AB21" s="132">
        <v>4</v>
      </c>
      <c r="AC21" s="387">
        <v>0</v>
      </c>
    </row>
    <row r="22" spans="1:29" x14ac:dyDescent="0.25">
      <c r="A22" s="131" t="s">
        <v>26</v>
      </c>
      <c r="B22" s="132" t="s">
        <v>27</v>
      </c>
      <c r="C22" s="132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>
        <v>12</v>
      </c>
      <c r="AA22" s="132"/>
      <c r="AB22" s="132">
        <v>12</v>
      </c>
      <c r="AC22" s="387">
        <v>0</v>
      </c>
    </row>
    <row r="23" spans="1:29" x14ac:dyDescent="0.25">
      <c r="A23" s="131" t="s">
        <v>28</v>
      </c>
      <c r="B23" s="132"/>
      <c r="C23" s="132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2"/>
      <c r="AB23" s="132"/>
      <c r="AC23" s="387">
        <v>0</v>
      </c>
    </row>
    <row r="24" spans="1:29" x14ac:dyDescent="0.25">
      <c r="A24" s="131" t="s">
        <v>29</v>
      </c>
      <c r="B24" s="132"/>
      <c r="C24" s="132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2"/>
      <c r="AB24" s="132"/>
      <c r="AC24" s="387">
        <v>0</v>
      </c>
    </row>
    <row r="25" spans="1:29" x14ac:dyDescent="0.25">
      <c r="A25" s="131" t="s">
        <v>30</v>
      </c>
      <c r="B25" s="132" t="s">
        <v>31</v>
      </c>
      <c r="C25" s="132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>
        <v>10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2"/>
      <c r="AB25" s="132">
        <v>10</v>
      </c>
      <c r="AC25" s="387">
        <v>0</v>
      </c>
    </row>
    <row r="26" spans="1:29" x14ac:dyDescent="0.25">
      <c r="A26" s="131" t="s">
        <v>33</v>
      </c>
      <c r="B26" s="132" t="s">
        <v>345</v>
      </c>
      <c r="C26" s="132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>
        <v>6</v>
      </c>
      <c r="AA26" s="132"/>
      <c r="AB26" s="132">
        <v>6</v>
      </c>
      <c r="AC26" s="387">
        <v>0</v>
      </c>
    </row>
    <row r="27" spans="1:29" x14ac:dyDescent="0.25">
      <c r="A27" s="131" t="s">
        <v>35</v>
      </c>
      <c r="B27" s="132" t="s">
        <v>36</v>
      </c>
      <c r="C27" s="132">
        <v>4</v>
      </c>
      <c r="D27" s="18"/>
      <c r="E27" s="18"/>
      <c r="F27" s="18"/>
      <c r="G27" s="18"/>
      <c r="H27" s="18"/>
      <c r="I27" s="18"/>
      <c r="J27" s="18"/>
      <c r="K27" s="18">
        <v>4</v>
      </c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2"/>
      <c r="AB27" s="132">
        <v>4</v>
      </c>
      <c r="AC27" s="387">
        <v>0</v>
      </c>
    </row>
    <row r="28" spans="1:29" x14ac:dyDescent="0.25">
      <c r="A28" s="131" t="s">
        <v>38</v>
      </c>
      <c r="B28" s="132"/>
      <c r="C28" s="132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2"/>
      <c r="AB28" s="132"/>
      <c r="AC28" s="387">
        <v>0</v>
      </c>
    </row>
    <row r="29" spans="1:29" x14ac:dyDescent="0.25">
      <c r="A29" s="131" t="s">
        <v>211</v>
      </c>
      <c r="B29" s="132" t="s">
        <v>287</v>
      </c>
      <c r="C29" s="132">
        <v>0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2"/>
      <c r="AB29" s="132"/>
      <c r="AC29" s="387">
        <v>0</v>
      </c>
    </row>
    <row r="30" spans="1:29" x14ac:dyDescent="0.25">
      <c r="A30" s="131"/>
      <c r="B30" s="132" t="s">
        <v>288</v>
      </c>
      <c r="C30" s="132">
        <v>0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2"/>
      <c r="AB30" s="132"/>
      <c r="AC30" s="387">
        <v>0</v>
      </c>
    </row>
    <row r="31" spans="1:29" x14ac:dyDescent="0.25">
      <c r="A31" s="131" t="s">
        <v>39</v>
      </c>
      <c r="B31" s="132" t="s">
        <v>40</v>
      </c>
      <c r="C31" s="132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>
        <v>1</v>
      </c>
      <c r="X31" s="18"/>
      <c r="Y31" s="18"/>
      <c r="Z31" s="18"/>
      <c r="AA31" s="132"/>
      <c r="AB31" s="132">
        <v>1</v>
      </c>
      <c r="AC31" s="387">
        <v>0</v>
      </c>
    </row>
    <row r="32" spans="1:29" x14ac:dyDescent="0.25">
      <c r="A32" s="131" t="s">
        <v>42</v>
      </c>
      <c r="B32" s="132" t="s">
        <v>43</v>
      </c>
      <c r="C32" s="132">
        <v>12</v>
      </c>
      <c r="D32" s="18"/>
      <c r="E32" s="18"/>
      <c r="F32" s="18"/>
      <c r="G32" s="18"/>
      <c r="H32" s="18"/>
      <c r="I32" s="18"/>
      <c r="J32" s="18"/>
      <c r="K32" s="18">
        <v>12</v>
      </c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2"/>
      <c r="AB32" s="132">
        <v>12</v>
      </c>
      <c r="AC32" s="387">
        <v>0</v>
      </c>
    </row>
    <row r="33" spans="1:29" x14ac:dyDescent="0.25">
      <c r="A33" s="131" t="s">
        <v>44</v>
      </c>
      <c r="B33" s="132" t="s">
        <v>276</v>
      </c>
      <c r="C33" s="132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32">
        <v>1</v>
      </c>
      <c r="AB33" s="132">
        <v>1</v>
      </c>
      <c r="AC33" s="387">
        <v>0</v>
      </c>
    </row>
    <row r="34" spans="1:29" x14ac:dyDescent="0.25">
      <c r="A34" s="131" t="s">
        <v>45</v>
      </c>
      <c r="B34" s="132" t="s">
        <v>46</v>
      </c>
      <c r="C34" s="132">
        <v>2</v>
      </c>
      <c r="D34" s="18"/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32"/>
      <c r="AB34" s="132">
        <v>2</v>
      </c>
      <c r="AC34" s="387">
        <v>0</v>
      </c>
    </row>
    <row r="35" spans="1:29" x14ac:dyDescent="0.25">
      <c r="A35" s="131" t="s">
        <v>47</v>
      </c>
      <c r="B35" s="132" t="s">
        <v>277</v>
      </c>
      <c r="C35" s="132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>
        <v>2</v>
      </c>
      <c r="W35" s="18"/>
      <c r="X35" s="18"/>
      <c r="Y35" s="18"/>
      <c r="Z35" s="18"/>
      <c r="AA35" s="132"/>
      <c r="AB35" s="132">
        <v>2</v>
      </c>
      <c r="AC35" s="387">
        <v>0</v>
      </c>
    </row>
    <row r="36" spans="1:29" x14ac:dyDescent="0.25">
      <c r="A36" s="131" t="s">
        <v>48</v>
      </c>
      <c r="B36" s="132" t="s">
        <v>284</v>
      </c>
      <c r="C36" s="132">
        <v>2</v>
      </c>
      <c r="D36" s="18"/>
      <c r="E36" s="18"/>
      <c r="F36" s="18"/>
      <c r="G36" s="18"/>
      <c r="H36" s="18"/>
      <c r="I36" s="18">
        <v>2</v>
      </c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32"/>
      <c r="AB36" s="132">
        <v>2</v>
      </c>
      <c r="AC36" s="387">
        <v>0</v>
      </c>
    </row>
    <row r="37" spans="1:29" x14ac:dyDescent="0.25">
      <c r="A37" s="131" t="s">
        <v>50</v>
      </c>
      <c r="B37" s="132" t="s">
        <v>324</v>
      </c>
      <c r="C37" s="132">
        <v>12</v>
      </c>
      <c r="D37" s="18"/>
      <c r="E37" s="18"/>
      <c r="F37" s="18"/>
      <c r="G37" s="18"/>
      <c r="H37" s="18"/>
      <c r="I37" s="18"/>
      <c r="J37" s="18">
        <v>12</v>
      </c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2"/>
      <c r="AB37" s="132">
        <v>12</v>
      </c>
      <c r="AC37" s="387">
        <v>0</v>
      </c>
    </row>
    <row r="38" spans="1:29" x14ac:dyDescent="0.25">
      <c r="A38" s="131"/>
      <c r="B38" s="132"/>
      <c r="C38" s="132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2"/>
      <c r="AB38" s="132"/>
      <c r="AC38" s="387">
        <v>0</v>
      </c>
    </row>
    <row r="39" spans="1:29" x14ac:dyDescent="0.25">
      <c r="A39" s="131" t="s">
        <v>194</v>
      </c>
      <c r="B39" s="132" t="s">
        <v>195</v>
      </c>
      <c r="C39" s="132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>
        <v>1</v>
      </c>
      <c r="U39" s="18"/>
      <c r="V39" s="18"/>
      <c r="W39" s="18"/>
      <c r="X39" s="18"/>
      <c r="Y39" s="18"/>
      <c r="Z39" s="18"/>
      <c r="AA39" s="132"/>
      <c r="AB39" s="132">
        <v>1</v>
      </c>
      <c r="AC39" s="387">
        <v>0</v>
      </c>
    </row>
    <row r="40" spans="1:29" x14ac:dyDescent="0.25">
      <c r="A40" s="131" t="s">
        <v>196</v>
      </c>
      <c r="B40" s="132" t="s">
        <v>197</v>
      </c>
      <c r="C40" s="132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>
        <v>1</v>
      </c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2"/>
      <c r="AB40" s="132">
        <v>1</v>
      </c>
      <c r="AC40" s="387">
        <v>0</v>
      </c>
    </row>
    <row r="41" spans="1:29" x14ac:dyDescent="0.25">
      <c r="A41" s="131"/>
      <c r="B41" s="132"/>
      <c r="C41" s="132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2"/>
      <c r="AB41" s="132"/>
      <c r="AC41" s="387"/>
    </row>
    <row r="42" spans="1:29" ht="13.8" thickBot="1" x14ac:dyDescent="0.3">
      <c r="A42" s="133"/>
      <c r="B42" s="134" t="s">
        <v>298</v>
      </c>
      <c r="C42" s="135">
        <v>129</v>
      </c>
      <c r="D42" s="61">
        <v>0</v>
      </c>
      <c r="E42" s="61">
        <v>8</v>
      </c>
      <c r="F42" s="61">
        <v>0</v>
      </c>
      <c r="G42" s="61">
        <v>6</v>
      </c>
      <c r="H42" s="61">
        <v>12</v>
      </c>
      <c r="I42" s="61">
        <v>4</v>
      </c>
      <c r="J42" s="61">
        <v>20</v>
      </c>
      <c r="K42" s="61">
        <v>16</v>
      </c>
      <c r="L42" s="61">
        <v>0</v>
      </c>
      <c r="M42" s="61">
        <v>11</v>
      </c>
      <c r="N42" s="61">
        <v>0</v>
      </c>
      <c r="O42" s="61">
        <v>16</v>
      </c>
      <c r="P42" s="61">
        <v>0</v>
      </c>
      <c r="Q42" s="61">
        <v>0</v>
      </c>
      <c r="R42" s="61">
        <v>9</v>
      </c>
      <c r="S42" s="61">
        <v>0</v>
      </c>
      <c r="T42" s="61">
        <v>1</v>
      </c>
      <c r="U42" s="61">
        <v>0</v>
      </c>
      <c r="V42" s="61">
        <v>2</v>
      </c>
      <c r="W42" s="61">
        <v>1</v>
      </c>
      <c r="X42" s="61">
        <v>0</v>
      </c>
      <c r="Y42" s="61">
        <v>0</v>
      </c>
      <c r="Z42" s="61">
        <v>22</v>
      </c>
      <c r="AA42" s="135">
        <v>1</v>
      </c>
      <c r="AB42" s="135">
        <v>129</v>
      </c>
      <c r="AC42" s="388">
        <v>0</v>
      </c>
    </row>
    <row r="46" spans="1:29" ht="18" thickBot="1" x14ac:dyDescent="0.35">
      <c r="B46" s="66" t="s">
        <v>299</v>
      </c>
    </row>
    <row r="47" spans="1:29" ht="67.2" x14ac:dyDescent="0.3">
      <c r="A47" s="127"/>
      <c r="B47" s="128" t="s">
        <v>353</v>
      </c>
      <c r="C47" s="129" t="s">
        <v>4</v>
      </c>
      <c r="D47" s="130" t="s">
        <v>215</v>
      </c>
      <c r="E47" s="130" t="s">
        <v>16</v>
      </c>
      <c r="F47" s="130" t="s">
        <v>75</v>
      </c>
      <c r="G47" s="130" t="s">
        <v>12</v>
      </c>
      <c r="H47" s="130" t="s">
        <v>32</v>
      </c>
      <c r="I47" s="130" t="s">
        <v>317</v>
      </c>
      <c r="J47" s="130" t="s">
        <v>25</v>
      </c>
      <c r="K47" s="130" t="s">
        <v>81</v>
      </c>
      <c r="L47" s="130" t="s">
        <v>80</v>
      </c>
      <c r="M47" s="130" t="s">
        <v>217</v>
      </c>
      <c r="N47" s="130" t="s">
        <v>337</v>
      </c>
      <c r="O47" s="130" t="s">
        <v>144</v>
      </c>
      <c r="P47" s="130" t="s">
        <v>20</v>
      </c>
      <c r="Q47" s="130" t="s">
        <v>83</v>
      </c>
      <c r="R47" s="130" t="s">
        <v>251</v>
      </c>
      <c r="S47" s="130" t="s">
        <v>88</v>
      </c>
      <c r="T47" s="130" t="s">
        <v>84</v>
      </c>
      <c r="U47" s="130" t="s">
        <v>34</v>
      </c>
      <c r="V47" s="130" t="s">
        <v>334</v>
      </c>
      <c r="W47" s="130" t="s">
        <v>41</v>
      </c>
      <c r="X47" s="130" t="s">
        <v>212</v>
      </c>
      <c r="Y47" s="130" t="s">
        <v>37</v>
      </c>
      <c r="Z47" s="130" t="s">
        <v>7</v>
      </c>
      <c r="AA47" s="129" t="s">
        <v>18</v>
      </c>
      <c r="AB47" s="129" t="s">
        <v>103</v>
      </c>
      <c r="AC47" s="386" t="s">
        <v>184</v>
      </c>
    </row>
    <row r="48" spans="1:29" x14ac:dyDescent="0.25">
      <c r="A48" s="131"/>
      <c r="B48" s="132"/>
      <c r="C48" s="132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2"/>
      <c r="AB48" s="132">
        <v>0</v>
      </c>
      <c r="AC48" s="387">
        <v>0</v>
      </c>
    </row>
    <row r="49" spans="1:29" x14ac:dyDescent="0.25">
      <c r="A49" s="131"/>
      <c r="B49" s="132"/>
      <c r="C49" s="132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2"/>
      <c r="AB49" s="132">
        <v>0</v>
      </c>
      <c r="AC49" s="387">
        <v>0</v>
      </c>
    </row>
    <row r="50" spans="1:29" x14ac:dyDescent="0.25">
      <c r="A50" s="131" t="s">
        <v>49</v>
      </c>
      <c r="B50" s="132" t="s">
        <v>157</v>
      </c>
      <c r="C50" s="132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>
        <v>9</v>
      </c>
      <c r="V50" s="18"/>
      <c r="W50" s="18"/>
      <c r="X50" s="18"/>
      <c r="Y50" s="18"/>
      <c r="Z50" s="18"/>
      <c r="AA50" s="132"/>
      <c r="AB50" s="132">
        <v>9</v>
      </c>
      <c r="AC50" s="387">
        <v>0</v>
      </c>
    </row>
    <row r="51" spans="1:29" x14ac:dyDescent="0.25">
      <c r="A51" s="131" t="s">
        <v>52</v>
      </c>
      <c r="B51" s="132" t="s">
        <v>340</v>
      </c>
      <c r="C51" s="132">
        <v>24</v>
      </c>
      <c r="D51" s="18"/>
      <c r="E51" s="18">
        <v>3</v>
      </c>
      <c r="F51" s="18">
        <v>2</v>
      </c>
      <c r="G51" s="18">
        <v>1</v>
      </c>
      <c r="H51" s="18"/>
      <c r="I51" s="18">
        <v>1</v>
      </c>
      <c r="J51" s="18"/>
      <c r="K51" s="18"/>
      <c r="L51" s="18"/>
      <c r="M51" s="18"/>
      <c r="N51" s="18"/>
      <c r="O51" s="18"/>
      <c r="P51" s="18"/>
      <c r="Q51" s="18">
        <v>3</v>
      </c>
      <c r="R51" s="18">
        <v>1</v>
      </c>
      <c r="S51" s="18"/>
      <c r="T51" s="18">
        <v>1</v>
      </c>
      <c r="U51" s="18"/>
      <c r="V51" s="18">
        <v>1</v>
      </c>
      <c r="W51" s="18">
        <v>3</v>
      </c>
      <c r="X51" s="18"/>
      <c r="Y51" s="18">
        <v>5</v>
      </c>
      <c r="Z51" s="18">
        <v>2</v>
      </c>
      <c r="AA51" s="132">
        <v>1</v>
      </c>
      <c r="AB51" s="132">
        <v>24</v>
      </c>
      <c r="AC51" s="387">
        <v>0</v>
      </c>
    </row>
    <row r="52" spans="1:29" x14ac:dyDescent="0.25">
      <c r="A52" s="131" t="s">
        <v>291</v>
      </c>
      <c r="B52" s="132"/>
      <c r="C52" s="132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2"/>
      <c r="AB52" s="132">
        <v>0</v>
      </c>
      <c r="AC52" s="387">
        <v>0</v>
      </c>
    </row>
    <row r="53" spans="1:29" x14ac:dyDescent="0.25">
      <c r="A53" s="131" t="s">
        <v>236</v>
      </c>
      <c r="B53" s="132" t="s">
        <v>283</v>
      </c>
      <c r="C53" s="132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>
        <v>2</v>
      </c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2"/>
      <c r="AB53" s="132">
        <v>2</v>
      </c>
      <c r="AC53" s="387">
        <v>0</v>
      </c>
    </row>
    <row r="54" spans="1:29" x14ac:dyDescent="0.25">
      <c r="A54" s="131" t="s">
        <v>105</v>
      </c>
      <c r="B54" s="132" t="s">
        <v>172</v>
      </c>
      <c r="C54" s="132">
        <v>3</v>
      </c>
      <c r="D54" s="18"/>
      <c r="E54" s="18"/>
      <c r="F54" s="18"/>
      <c r="G54" s="18">
        <v>1</v>
      </c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1</v>
      </c>
      <c r="T54" s="18"/>
      <c r="U54" s="18"/>
      <c r="V54" s="18">
        <v>1</v>
      </c>
      <c r="W54" s="18"/>
      <c r="X54" s="18"/>
      <c r="Y54" s="18"/>
      <c r="Z54" s="18"/>
      <c r="AA54" s="132"/>
      <c r="AB54" s="132">
        <v>3</v>
      </c>
      <c r="AC54" s="387">
        <v>0</v>
      </c>
    </row>
    <row r="55" spans="1:29" x14ac:dyDescent="0.25">
      <c r="A55" s="131" t="s">
        <v>104</v>
      </c>
      <c r="B55" s="132" t="s">
        <v>173</v>
      </c>
      <c r="C55" s="132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>
        <v>1</v>
      </c>
      <c r="X55" s="18"/>
      <c r="Y55" s="18"/>
      <c r="Z55" s="18"/>
      <c r="AA55" s="132"/>
      <c r="AB55" s="132">
        <v>1</v>
      </c>
      <c r="AC55" s="387">
        <v>0</v>
      </c>
    </row>
    <row r="56" spans="1:29" x14ac:dyDescent="0.25">
      <c r="A56" s="131" t="s">
        <v>106</v>
      </c>
      <c r="B56" s="132" t="s">
        <v>174</v>
      </c>
      <c r="C56" s="132">
        <v>3</v>
      </c>
      <c r="D56" s="18"/>
      <c r="E56" s="18"/>
      <c r="F56" s="18"/>
      <c r="G56" s="18"/>
      <c r="H56" s="18"/>
      <c r="I56" s="18">
        <v>3</v>
      </c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2"/>
      <c r="AB56" s="132">
        <v>3</v>
      </c>
      <c r="AC56" s="387">
        <v>0</v>
      </c>
    </row>
    <row r="57" spans="1:29" x14ac:dyDescent="0.25">
      <c r="A57" s="131" t="s">
        <v>107</v>
      </c>
      <c r="B57" s="132" t="s">
        <v>175</v>
      </c>
      <c r="C57" s="132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>
        <v>1</v>
      </c>
      <c r="V57" s="18"/>
      <c r="W57" s="18"/>
      <c r="X57" s="18"/>
      <c r="Y57" s="18"/>
      <c r="Z57" s="18"/>
      <c r="AA57" s="132"/>
      <c r="AB57" s="132">
        <v>1</v>
      </c>
      <c r="AC57" s="387">
        <v>0</v>
      </c>
    </row>
    <row r="58" spans="1:29" x14ac:dyDescent="0.25">
      <c r="A58" s="131" t="s">
        <v>130</v>
      </c>
      <c r="B58" s="132" t="s">
        <v>220</v>
      </c>
      <c r="C58" s="132">
        <v>7</v>
      </c>
      <c r="D58" s="18"/>
      <c r="E58" s="18"/>
      <c r="F58" s="18"/>
      <c r="G58" s="18">
        <v>1</v>
      </c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>
        <v>3</v>
      </c>
      <c r="Z58" s="18"/>
      <c r="AA58" s="132">
        <v>3</v>
      </c>
      <c r="AB58" s="132">
        <v>7</v>
      </c>
      <c r="AC58" s="387">
        <v>0</v>
      </c>
    </row>
    <row r="59" spans="1:29" x14ac:dyDescent="0.25">
      <c r="A59" s="131" t="s">
        <v>131</v>
      </c>
      <c r="B59" s="132" t="s">
        <v>228</v>
      </c>
      <c r="C59" s="132">
        <v>6</v>
      </c>
      <c r="D59" s="18"/>
      <c r="E59" s="18"/>
      <c r="F59" s="18"/>
      <c r="G59" s="18"/>
      <c r="H59" s="18"/>
      <c r="I59" s="18">
        <v>2</v>
      </c>
      <c r="J59" s="18"/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32">
        <v>2</v>
      </c>
      <c r="AB59" s="132">
        <v>6</v>
      </c>
      <c r="AC59" s="387">
        <v>0</v>
      </c>
    </row>
    <row r="60" spans="1:29" x14ac:dyDescent="0.25">
      <c r="A60" s="131" t="s">
        <v>53</v>
      </c>
      <c r="B60" s="132" t="s">
        <v>91</v>
      </c>
      <c r="C60" s="132">
        <v>7</v>
      </c>
      <c r="D60" s="18"/>
      <c r="E60" s="18"/>
      <c r="F60" s="18"/>
      <c r="G60" s="18"/>
      <c r="H60" s="18"/>
      <c r="I60" s="18"/>
      <c r="J60" s="18"/>
      <c r="K60" s="18"/>
      <c r="L60" s="18">
        <v>7</v>
      </c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2"/>
      <c r="AB60" s="132">
        <v>7</v>
      </c>
      <c r="AC60" s="387">
        <v>0</v>
      </c>
    </row>
    <row r="61" spans="1:29" x14ac:dyDescent="0.25">
      <c r="A61" s="131" t="s">
        <v>54</v>
      </c>
      <c r="B61" s="132" t="s">
        <v>102</v>
      </c>
      <c r="C61" s="132">
        <v>10</v>
      </c>
      <c r="D61" s="18"/>
      <c r="E61" s="18">
        <v>3</v>
      </c>
      <c r="F61" s="18">
        <v>1</v>
      </c>
      <c r="G61" s="18"/>
      <c r="H61" s="18"/>
      <c r="I61" s="18"/>
      <c r="J61" s="18"/>
      <c r="K61" s="18"/>
      <c r="L61" s="18">
        <v>3</v>
      </c>
      <c r="M61" s="18"/>
      <c r="N61" s="18"/>
      <c r="O61" s="18"/>
      <c r="P61" s="18">
        <v>1</v>
      </c>
      <c r="Q61" s="18"/>
      <c r="R61" s="18"/>
      <c r="S61" s="18"/>
      <c r="T61" s="18">
        <v>1</v>
      </c>
      <c r="U61" s="18"/>
      <c r="V61" s="18"/>
      <c r="W61" s="18"/>
      <c r="X61" s="18"/>
      <c r="Y61" s="18"/>
      <c r="Z61" s="18">
        <v>1</v>
      </c>
      <c r="AA61" s="132"/>
      <c r="AB61" s="132">
        <v>10</v>
      </c>
      <c r="AC61" s="387">
        <v>0</v>
      </c>
    </row>
    <row r="62" spans="1:29" x14ac:dyDescent="0.25">
      <c r="A62" s="131" t="s">
        <v>55</v>
      </c>
      <c r="B62" s="132" t="s">
        <v>111</v>
      </c>
      <c r="C62" s="132">
        <v>7</v>
      </c>
      <c r="D62" s="18"/>
      <c r="E62" s="18"/>
      <c r="F62" s="18">
        <v>1</v>
      </c>
      <c r="G62" s="18">
        <v>1</v>
      </c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>
        <v>1</v>
      </c>
      <c r="U62" s="18">
        <v>1</v>
      </c>
      <c r="V62" s="18">
        <v>1</v>
      </c>
      <c r="W62" s="18"/>
      <c r="X62" s="18"/>
      <c r="Y62" s="18">
        <v>1</v>
      </c>
      <c r="Z62" s="18">
        <v>1</v>
      </c>
      <c r="AA62" s="132"/>
      <c r="AB62" s="132">
        <v>7</v>
      </c>
      <c r="AC62" s="387">
        <v>0</v>
      </c>
    </row>
    <row r="63" spans="1:29" x14ac:dyDescent="0.25">
      <c r="A63" s="131" t="s">
        <v>56</v>
      </c>
      <c r="B63" s="132" t="s">
        <v>163</v>
      </c>
      <c r="C63" s="132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>
        <v>5</v>
      </c>
      <c r="X63" s="18"/>
      <c r="Y63" s="18">
        <v>4</v>
      </c>
      <c r="Z63" s="18"/>
      <c r="AA63" s="132"/>
      <c r="AB63" s="132">
        <v>9</v>
      </c>
      <c r="AC63" s="387">
        <v>0</v>
      </c>
    </row>
    <row r="64" spans="1:29" x14ac:dyDescent="0.25">
      <c r="A64" s="131" t="s">
        <v>57</v>
      </c>
      <c r="B64" s="132" t="s">
        <v>164</v>
      </c>
      <c r="C64" s="132">
        <v>10</v>
      </c>
      <c r="D64" s="18"/>
      <c r="E64" s="18"/>
      <c r="F64" s="18"/>
      <c r="G64" s="18"/>
      <c r="H64" s="18"/>
      <c r="I64" s="18">
        <v>2</v>
      </c>
      <c r="J64" s="18"/>
      <c r="K64" s="18"/>
      <c r="L64" s="18"/>
      <c r="M64" s="18"/>
      <c r="N64" s="18"/>
      <c r="O64" s="18"/>
      <c r="P64" s="18"/>
      <c r="Q64" s="18"/>
      <c r="R64" s="18">
        <v>3</v>
      </c>
      <c r="S64" s="18">
        <v>2</v>
      </c>
      <c r="T64" s="18">
        <v>1</v>
      </c>
      <c r="U64" s="18"/>
      <c r="V64" s="18">
        <v>2</v>
      </c>
      <c r="W64" s="18"/>
      <c r="X64" s="18"/>
      <c r="Y64" s="18"/>
      <c r="Z64" s="18"/>
      <c r="AA64" s="132"/>
      <c r="AB64" s="132">
        <v>10</v>
      </c>
      <c r="AC64" s="387">
        <v>0</v>
      </c>
    </row>
    <row r="65" spans="1:29" x14ac:dyDescent="0.25">
      <c r="A65" s="131" t="s">
        <v>58</v>
      </c>
      <c r="B65" s="132" t="s">
        <v>165</v>
      </c>
      <c r="C65" s="132">
        <v>7</v>
      </c>
      <c r="D65" s="18"/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>
        <v>1</v>
      </c>
      <c r="T65" s="18"/>
      <c r="U65" s="18"/>
      <c r="V65" s="18">
        <v>2</v>
      </c>
      <c r="W65" s="18">
        <v>1</v>
      </c>
      <c r="X65" s="18"/>
      <c r="Y65" s="18">
        <v>1</v>
      </c>
      <c r="Z65" s="18"/>
      <c r="AA65" s="132">
        <v>1</v>
      </c>
      <c r="AB65" s="132">
        <v>7</v>
      </c>
      <c r="AC65" s="387">
        <v>0</v>
      </c>
    </row>
    <row r="66" spans="1:29" x14ac:dyDescent="0.25">
      <c r="A66" s="131" t="s">
        <v>59</v>
      </c>
      <c r="B66" s="132" t="s">
        <v>221</v>
      </c>
      <c r="C66" s="132">
        <v>22</v>
      </c>
      <c r="D66" s="18"/>
      <c r="E66" s="18"/>
      <c r="F66" s="18"/>
      <c r="G66" s="18">
        <v>3</v>
      </c>
      <c r="H66" s="18"/>
      <c r="I66" s="18">
        <v>3</v>
      </c>
      <c r="J66" s="18"/>
      <c r="K66" s="18"/>
      <c r="L66" s="18">
        <v>4</v>
      </c>
      <c r="M66" s="18"/>
      <c r="N66" s="18"/>
      <c r="O66" s="18"/>
      <c r="P66" s="18">
        <v>1</v>
      </c>
      <c r="Q66" s="18">
        <v>2</v>
      </c>
      <c r="R66" s="18"/>
      <c r="S66" s="18">
        <v>2</v>
      </c>
      <c r="T66" s="18">
        <v>1</v>
      </c>
      <c r="U66" s="18"/>
      <c r="V66" s="18"/>
      <c r="W66" s="18">
        <v>5</v>
      </c>
      <c r="X66" s="18"/>
      <c r="Y66" s="18"/>
      <c r="Z66" s="18"/>
      <c r="AA66" s="132">
        <v>1</v>
      </c>
      <c r="AB66" s="132">
        <v>22</v>
      </c>
      <c r="AC66" s="387">
        <v>0</v>
      </c>
    </row>
    <row r="67" spans="1:29" x14ac:dyDescent="0.25">
      <c r="A67" s="131" t="s">
        <v>59</v>
      </c>
      <c r="B67" s="132" t="s">
        <v>222</v>
      </c>
      <c r="C67" s="132">
        <v>14</v>
      </c>
      <c r="D67" s="18"/>
      <c r="E67" s="18">
        <v>1</v>
      </c>
      <c r="F67" s="18">
        <v>1</v>
      </c>
      <c r="G67" s="18">
        <v>2</v>
      </c>
      <c r="H67" s="18">
        <v>2</v>
      </c>
      <c r="I67" s="18"/>
      <c r="J67" s="18"/>
      <c r="K67" s="18"/>
      <c r="L67" s="18">
        <v>1</v>
      </c>
      <c r="M67" s="18"/>
      <c r="N67" s="18"/>
      <c r="O67" s="18"/>
      <c r="P67" s="18"/>
      <c r="Q67" s="18"/>
      <c r="R67" s="18"/>
      <c r="S67" s="18">
        <v>4</v>
      </c>
      <c r="T67" s="18"/>
      <c r="U67" s="18"/>
      <c r="V67" s="18">
        <v>3</v>
      </c>
      <c r="W67" s="18"/>
      <c r="X67" s="18"/>
      <c r="Y67" s="18"/>
      <c r="Z67" s="18"/>
      <c r="AA67" s="132"/>
      <c r="AB67" s="132">
        <v>14</v>
      </c>
      <c r="AC67" s="387">
        <v>0</v>
      </c>
    </row>
    <row r="68" spans="1:29" x14ac:dyDescent="0.25">
      <c r="A68" s="131" t="s">
        <v>225</v>
      </c>
      <c r="B68" s="132" t="s">
        <v>223</v>
      </c>
      <c r="C68" s="132">
        <v>22</v>
      </c>
      <c r="D68" s="18"/>
      <c r="E68" s="18">
        <v>3</v>
      </c>
      <c r="F68" s="18"/>
      <c r="G68" s="18"/>
      <c r="H68" s="18">
        <v>5</v>
      </c>
      <c r="I68" s="18"/>
      <c r="J68" s="18"/>
      <c r="K68" s="18"/>
      <c r="L68" s="18"/>
      <c r="M68" s="18"/>
      <c r="N68" s="18"/>
      <c r="O68" s="18"/>
      <c r="P68" s="18"/>
      <c r="Q68" s="18"/>
      <c r="R68" s="18">
        <v>2</v>
      </c>
      <c r="S68" s="18">
        <v>3</v>
      </c>
      <c r="T68" s="18"/>
      <c r="U68" s="18">
        <v>2</v>
      </c>
      <c r="V68" s="18">
        <v>2</v>
      </c>
      <c r="W68" s="18">
        <v>1</v>
      </c>
      <c r="X68" s="18"/>
      <c r="Y68" s="18">
        <v>4</v>
      </c>
      <c r="Z68" s="18"/>
      <c r="AA68" s="132"/>
      <c r="AB68" s="132">
        <v>22</v>
      </c>
      <c r="AC68" s="387">
        <v>0</v>
      </c>
    </row>
    <row r="69" spans="1:29" x14ac:dyDescent="0.25">
      <c r="A69" s="131" t="s">
        <v>225</v>
      </c>
      <c r="B69" s="132" t="s">
        <v>224</v>
      </c>
      <c r="C69" s="132">
        <v>14</v>
      </c>
      <c r="D69" s="18"/>
      <c r="E69" s="18"/>
      <c r="F69" s="18"/>
      <c r="G69" s="18"/>
      <c r="H69" s="18"/>
      <c r="I69" s="18">
        <v>3</v>
      </c>
      <c r="J69" s="18"/>
      <c r="K69" s="18"/>
      <c r="L69" s="18"/>
      <c r="M69" s="18"/>
      <c r="N69" s="18"/>
      <c r="O69" s="18"/>
      <c r="P69" s="18"/>
      <c r="Q69" s="18">
        <v>3</v>
      </c>
      <c r="R69" s="18">
        <v>2</v>
      </c>
      <c r="S69" s="18">
        <v>1</v>
      </c>
      <c r="T69" s="18"/>
      <c r="U69" s="18">
        <v>3</v>
      </c>
      <c r="V69" s="18"/>
      <c r="W69" s="18">
        <v>2</v>
      </c>
      <c r="X69" s="18"/>
      <c r="Y69" s="18"/>
      <c r="Z69" s="18"/>
      <c r="AA69" s="132"/>
      <c r="AB69" s="132">
        <v>14</v>
      </c>
      <c r="AC69" s="387">
        <v>0</v>
      </c>
    </row>
    <row r="70" spans="1:29" x14ac:dyDescent="0.25">
      <c r="A70" s="131" t="s">
        <v>60</v>
      </c>
      <c r="B70" s="132" t="s">
        <v>166</v>
      </c>
      <c r="C70" s="132">
        <v>7</v>
      </c>
      <c r="D70" s="18"/>
      <c r="E70" s="18"/>
      <c r="F70" s="18">
        <v>1</v>
      </c>
      <c r="G70" s="18"/>
      <c r="H70" s="18"/>
      <c r="I70" s="18">
        <v>2</v>
      </c>
      <c r="J70" s="18"/>
      <c r="K70" s="18"/>
      <c r="L70" s="18">
        <v>1</v>
      </c>
      <c r="M70" s="18"/>
      <c r="N70" s="18"/>
      <c r="O70" s="18"/>
      <c r="P70" s="18"/>
      <c r="Q70" s="18"/>
      <c r="R70" s="18"/>
      <c r="S70" s="18">
        <v>1</v>
      </c>
      <c r="T70" s="18"/>
      <c r="U70" s="18"/>
      <c r="V70" s="18"/>
      <c r="W70" s="18">
        <v>1</v>
      </c>
      <c r="X70" s="18"/>
      <c r="Y70" s="18"/>
      <c r="Z70" s="18">
        <v>1</v>
      </c>
      <c r="AA70" s="132"/>
      <c r="AB70" s="132">
        <v>7</v>
      </c>
      <c r="AC70" s="387">
        <v>0</v>
      </c>
    </row>
    <row r="71" spans="1:29" x14ac:dyDescent="0.25">
      <c r="A71" s="131" t="s">
        <v>60</v>
      </c>
      <c r="B71" s="132" t="s">
        <v>167</v>
      </c>
      <c r="C71" s="132">
        <v>6</v>
      </c>
      <c r="D71" s="18"/>
      <c r="E71" s="18"/>
      <c r="F71" s="18"/>
      <c r="G71" s="18"/>
      <c r="H71" s="18"/>
      <c r="I71" s="18">
        <v>1</v>
      </c>
      <c r="J71" s="18"/>
      <c r="K71" s="18"/>
      <c r="L71" s="18"/>
      <c r="M71" s="18">
        <v>1</v>
      </c>
      <c r="N71" s="18"/>
      <c r="O71" s="18"/>
      <c r="P71" s="18">
        <v>2</v>
      </c>
      <c r="Q71" s="18"/>
      <c r="R71" s="18"/>
      <c r="S71" s="18">
        <v>1</v>
      </c>
      <c r="T71" s="18">
        <v>1</v>
      </c>
      <c r="U71" s="18"/>
      <c r="V71" s="18"/>
      <c r="W71" s="18"/>
      <c r="X71" s="18"/>
      <c r="Y71" s="18"/>
      <c r="Z71" s="18"/>
      <c r="AA71" s="132"/>
      <c r="AB71" s="132">
        <v>6</v>
      </c>
      <c r="AC71" s="387">
        <v>0</v>
      </c>
    </row>
    <row r="72" spans="1:29" x14ac:dyDescent="0.25">
      <c r="A72" s="131" t="s">
        <v>183</v>
      </c>
      <c r="B72" s="132" t="s">
        <v>290</v>
      </c>
      <c r="C72" s="132">
        <v>7</v>
      </c>
      <c r="D72" s="18"/>
      <c r="E72" s="18"/>
      <c r="F72" s="18"/>
      <c r="G72" s="18"/>
      <c r="H72" s="18"/>
      <c r="I72" s="18">
        <v>4</v>
      </c>
      <c r="J72" s="18"/>
      <c r="K72" s="18"/>
      <c r="L72" s="18"/>
      <c r="M72" s="18"/>
      <c r="N72" s="18"/>
      <c r="O72" s="18"/>
      <c r="P72" s="18"/>
      <c r="Q72" s="18"/>
      <c r="R72" s="18"/>
      <c r="S72" s="18">
        <v>2</v>
      </c>
      <c r="T72" s="18"/>
      <c r="U72" s="18"/>
      <c r="V72" s="18"/>
      <c r="W72" s="18"/>
      <c r="X72" s="18"/>
      <c r="Y72" s="18">
        <v>1</v>
      </c>
      <c r="Z72" s="18"/>
      <c r="AA72" s="132"/>
      <c r="AB72" s="132">
        <v>7</v>
      </c>
      <c r="AC72" s="387">
        <v>0</v>
      </c>
    </row>
    <row r="73" spans="1:29" x14ac:dyDescent="0.25">
      <c r="A73" s="131" t="s">
        <v>122</v>
      </c>
      <c r="B73" s="132" t="s">
        <v>289</v>
      </c>
      <c r="C73" s="132">
        <v>5</v>
      </c>
      <c r="D73" s="18"/>
      <c r="E73" s="18"/>
      <c r="F73" s="18">
        <v>1</v>
      </c>
      <c r="G73" s="18">
        <v>1</v>
      </c>
      <c r="H73" s="18"/>
      <c r="I73" s="18">
        <v>2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>
        <v>1</v>
      </c>
      <c r="AA73" s="132"/>
      <c r="AB73" s="132">
        <v>5</v>
      </c>
      <c r="AC73" s="387">
        <v>0</v>
      </c>
    </row>
    <row r="74" spans="1:29" x14ac:dyDescent="0.25">
      <c r="A74" s="131" t="s">
        <v>61</v>
      </c>
      <c r="B74" s="132" t="s">
        <v>171</v>
      </c>
      <c r="C74" s="132">
        <v>7</v>
      </c>
      <c r="D74" s="18"/>
      <c r="E74" s="18"/>
      <c r="F74" s="18"/>
      <c r="G74" s="18"/>
      <c r="H74" s="18">
        <v>1</v>
      </c>
      <c r="I74" s="18">
        <v>1</v>
      </c>
      <c r="J74" s="18"/>
      <c r="K74" s="18"/>
      <c r="L74" s="18"/>
      <c r="M74" s="18"/>
      <c r="N74" s="18"/>
      <c r="O74" s="18"/>
      <c r="P74" s="18"/>
      <c r="Q74" s="18">
        <v>1</v>
      </c>
      <c r="R74" s="18"/>
      <c r="S74" s="18"/>
      <c r="T74" s="18">
        <v>1</v>
      </c>
      <c r="U74" s="18">
        <v>2</v>
      </c>
      <c r="V74" s="18"/>
      <c r="W74" s="18">
        <v>1</v>
      </c>
      <c r="X74" s="18"/>
      <c r="Y74" s="18"/>
      <c r="Z74" s="18"/>
      <c r="AA74" s="132"/>
      <c r="AB74" s="132">
        <v>7</v>
      </c>
      <c r="AC74" s="387">
        <v>0</v>
      </c>
    </row>
    <row r="75" spans="1:29" x14ac:dyDescent="0.25">
      <c r="A75" s="131" t="s">
        <v>61</v>
      </c>
      <c r="B75" s="132" t="s">
        <v>170</v>
      </c>
      <c r="C75" s="132">
        <v>6</v>
      </c>
      <c r="D75" s="18"/>
      <c r="E75" s="18"/>
      <c r="F75" s="18"/>
      <c r="G75" s="18"/>
      <c r="H75" s="18">
        <v>2</v>
      </c>
      <c r="I75" s="18"/>
      <c r="J75" s="18"/>
      <c r="K75" s="18"/>
      <c r="L75" s="18"/>
      <c r="M75" s="18"/>
      <c r="N75" s="18"/>
      <c r="O75" s="18"/>
      <c r="P75" s="18">
        <v>1</v>
      </c>
      <c r="Q75" s="18"/>
      <c r="R75" s="18">
        <v>1</v>
      </c>
      <c r="S75" s="18"/>
      <c r="T75" s="18"/>
      <c r="U75" s="18"/>
      <c r="V75" s="18"/>
      <c r="W75" s="18">
        <v>2</v>
      </c>
      <c r="X75" s="18"/>
      <c r="Y75" s="18"/>
      <c r="Z75" s="18"/>
      <c r="AA75" s="132"/>
      <c r="AB75" s="132">
        <v>6</v>
      </c>
      <c r="AC75" s="387">
        <v>0</v>
      </c>
    </row>
    <row r="76" spans="1:29" x14ac:dyDescent="0.25">
      <c r="A76" s="131" t="s">
        <v>246</v>
      </c>
      <c r="B76" s="132" t="s">
        <v>248</v>
      </c>
      <c r="C76" s="132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2"/>
      <c r="AB76" s="132">
        <v>0</v>
      </c>
      <c r="AC76" s="387">
        <v>0</v>
      </c>
    </row>
    <row r="77" spans="1:29" x14ac:dyDescent="0.25">
      <c r="A77" s="131" t="s">
        <v>247</v>
      </c>
      <c r="B77" s="132" t="s">
        <v>249</v>
      </c>
      <c r="C77" s="132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2"/>
      <c r="AB77" s="132">
        <v>0</v>
      </c>
      <c r="AC77" s="387">
        <v>0</v>
      </c>
    </row>
    <row r="78" spans="1:29" x14ac:dyDescent="0.25">
      <c r="A78" s="131" t="s">
        <v>108</v>
      </c>
      <c r="B78" s="132" t="s">
        <v>168</v>
      </c>
      <c r="C78" s="132">
        <v>3</v>
      </c>
      <c r="D78" s="18"/>
      <c r="E78" s="18">
        <v>1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>
        <v>2</v>
      </c>
      <c r="U78" s="18"/>
      <c r="V78" s="18"/>
      <c r="W78" s="18"/>
      <c r="X78" s="18"/>
      <c r="Y78" s="18"/>
      <c r="Z78" s="18"/>
      <c r="AA78" s="132"/>
      <c r="AB78" s="132">
        <v>3</v>
      </c>
      <c r="AC78" s="387">
        <v>0</v>
      </c>
    </row>
    <row r="79" spans="1:29" x14ac:dyDescent="0.25">
      <c r="A79" s="131" t="s">
        <v>109</v>
      </c>
      <c r="B79" s="132" t="s">
        <v>169</v>
      </c>
      <c r="C79" s="132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>
        <v>1</v>
      </c>
      <c r="S79" s="18"/>
      <c r="T79" s="18"/>
      <c r="U79" s="18"/>
      <c r="V79" s="18"/>
      <c r="W79" s="18"/>
      <c r="X79" s="18"/>
      <c r="Y79" s="18"/>
      <c r="Z79" s="18"/>
      <c r="AA79" s="132"/>
      <c r="AB79" s="132">
        <v>1</v>
      </c>
      <c r="AC79" s="387">
        <v>0</v>
      </c>
    </row>
    <row r="80" spans="1:29" x14ac:dyDescent="0.25">
      <c r="A80" s="131" t="s">
        <v>237</v>
      </c>
      <c r="B80" s="132" t="s">
        <v>238</v>
      </c>
      <c r="C80" s="132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2"/>
      <c r="AB80" s="132">
        <v>9</v>
      </c>
      <c r="AC80" s="387">
        <v>0</v>
      </c>
    </row>
    <row r="81" spans="1:29" x14ac:dyDescent="0.25">
      <c r="A81" s="131" t="s">
        <v>226</v>
      </c>
      <c r="B81" s="132" t="s">
        <v>69</v>
      </c>
      <c r="C81" s="132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>
        <v>2</v>
      </c>
      <c r="V81" s="18"/>
      <c r="W81" s="18"/>
      <c r="X81" s="18"/>
      <c r="Y81" s="18"/>
      <c r="Z81" s="18"/>
      <c r="AA81" s="132"/>
      <c r="AB81" s="132">
        <v>2</v>
      </c>
      <c r="AC81" s="387">
        <v>0</v>
      </c>
    </row>
    <row r="82" spans="1:29" x14ac:dyDescent="0.25">
      <c r="A82" s="131" t="s">
        <v>227</v>
      </c>
      <c r="B82" s="132" t="s">
        <v>182</v>
      </c>
      <c r="C82" s="132">
        <v>6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32"/>
      <c r="AB82" s="132">
        <v>4</v>
      </c>
      <c r="AC82" s="387">
        <v>-2</v>
      </c>
    </row>
    <row r="83" spans="1:29" x14ac:dyDescent="0.25">
      <c r="A83" s="131"/>
      <c r="B83" s="132"/>
      <c r="C83" s="132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2"/>
      <c r="AB83" s="132"/>
      <c r="AC83" s="387"/>
    </row>
    <row r="84" spans="1:29" x14ac:dyDescent="0.25">
      <c r="A84" s="131"/>
      <c r="B84" s="137" t="s">
        <v>303</v>
      </c>
      <c r="C84" s="132">
        <v>237</v>
      </c>
      <c r="D84" s="18">
        <v>0</v>
      </c>
      <c r="E84" s="18">
        <v>11</v>
      </c>
      <c r="F84" s="18">
        <v>8</v>
      </c>
      <c r="G84" s="18">
        <v>10</v>
      </c>
      <c r="H84" s="18">
        <v>10</v>
      </c>
      <c r="I84" s="18">
        <v>24</v>
      </c>
      <c r="J84" s="18">
        <v>0</v>
      </c>
      <c r="K84" s="18">
        <v>0</v>
      </c>
      <c r="L84" s="18">
        <v>16</v>
      </c>
      <c r="M84" s="18">
        <v>3</v>
      </c>
      <c r="N84" s="18">
        <v>0</v>
      </c>
      <c r="O84" s="18">
        <v>0</v>
      </c>
      <c r="P84" s="18">
        <v>20</v>
      </c>
      <c r="Q84" s="18">
        <v>9</v>
      </c>
      <c r="R84" s="18">
        <v>10</v>
      </c>
      <c r="S84" s="18">
        <v>18</v>
      </c>
      <c r="T84" s="18">
        <v>9</v>
      </c>
      <c r="U84" s="18">
        <v>20</v>
      </c>
      <c r="V84" s="18">
        <v>12</v>
      </c>
      <c r="W84" s="18">
        <v>22</v>
      </c>
      <c r="X84" s="18">
        <v>0</v>
      </c>
      <c r="Y84" s="18">
        <v>19</v>
      </c>
      <c r="Z84" s="18">
        <v>6</v>
      </c>
      <c r="AA84" s="132">
        <v>8</v>
      </c>
      <c r="AB84" s="132">
        <v>235</v>
      </c>
      <c r="AC84" s="387">
        <v>-2</v>
      </c>
    </row>
    <row r="85" spans="1:29" x14ac:dyDescent="0.25">
      <c r="A85" s="131"/>
      <c r="B85" s="132"/>
      <c r="C85" s="132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2"/>
      <c r="AB85" s="132"/>
      <c r="AC85" s="387"/>
    </row>
    <row r="86" spans="1:29" ht="13.8" thickBot="1" x14ac:dyDescent="0.3">
      <c r="A86" s="133"/>
      <c r="B86" s="134" t="s">
        <v>304</v>
      </c>
      <c r="C86" s="135">
        <v>366</v>
      </c>
      <c r="D86" s="61">
        <v>0</v>
      </c>
      <c r="E86" s="61">
        <v>19</v>
      </c>
      <c r="F86" s="61">
        <v>8</v>
      </c>
      <c r="G86" s="61">
        <v>16</v>
      </c>
      <c r="H86" s="61">
        <v>22</v>
      </c>
      <c r="I86" s="61">
        <v>28</v>
      </c>
      <c r="J86" s="61">
        <v>20</v>
      </c>
      <c r="K86" s="61">
        <v>16</v>
      </c>
      <c r="L86" s="61">
        <v>16</v>
      </c>
      <c r="M86" s="61">
        <v>14</v>
      </c>
      <c r="N86" s="61">
        <v>0</v>
      </c>
      <c r="O86" s="61">
        <v>16</v>
      </c>
      <c r="P86" s="61">
        <v>20</v>
      </c>
      <c r="Q86" s="61">
        <v>9</v>
      </c>
      <c r="R86" s="61">
        <v>19</v>
      </c>
      <c r="S86" s="61">
        <v>18</v>
      </c>
      <c r="T86" s="61">
        <v>10</v>
      </c>
      <c r="U86" s="61">
        <v>20</v>
      </c>
      <c r="V86" s="61">
        <v>14</v>
      </c>
      <c r="W86" s="61">
        <v>23</v>
      </c>
      <c r="X86" s="61">
        <v>0</v>
      </c>
      <c r="Y86" s="61">
        <v>19</v>
      </c>
      <c r="Z86" s="61">
        <v>28</v>
      </c>
      <c r="AA86" s="135">
        <v>9</v>
      </c>
      <c r="AB86" s="135">
        <v>364</v>
      </c>
      <c r="AC86" s="388">
        <v>-2</v>
      </c>
    </row>
    <row r="90" spans="1:29" ht="18" thickBot="1" x14ac:dyDescent="0.35">
      <c r="B90" s="66" t="s">
        <v>305</v>
      </c>
    </row>
    <row r="91" spans="1:29" ht="67.2" x14ac:dyDescent="0.3">
      <c r="A91" s="127"/>
      <c r="B91" s="128" t="s">
        <v>353</v>
      </c>
      <c r="C91" s="129" t="s">
        <v>4</v>
      </c>
      <c r="D91" s="130" t="s">
        <v>215</v>
      </c>
      <c r="E91" s="130" t="s">
        <v>16</v>
      </c>
      <c r="F91" s="130" t="s">
        <v>75</v>
      </c>
      <c r="G91" s="130" t="s">
        <v>12</v>
      </c>
      <c r="H91" s="130" t="s">
        <v>32</v>
      </c>
      <c r="I91" s="130" t="s">
        <v>317</v>
      </c>
      <c r="J91" s="130" t="s">
        <v>25</v>
      </c>
      <c r="K91" s="130" t="s">
        <v>81</v>
      </c>
      <c r="L91" s="130" t="s">
        <v>80</v>
      </c>
      <c r="M91" s="130" t="s">
        <v>217</v>
      </c>
      <c r="N91" s="130" t="s">
        <v>337</v>
      </c>
      <c r="O91" s="130" t="s">
        <v>144</v>
      </c>
      <c r="P91" s="130" t="s">
        <v>20</v>
      </c>
      <c r="Q91" s="130" t="s">
        <v>83</v>
      </c>
      <c r="R91" s="130" t="s">
        <v>251</v>
      </c>
      <c r="S91" s="130" t="s">
        <v>88</v>
      </c>
      <c r="T91" s="130" t="s">
        <v>84</v>
      </c>
      <c r="U91" s="130" t="s">
        <v>34</v>
      </c>
      <c r="V91" s="130" t="s">
        <v>334</v>
      </c>
      <c r="W91" s="130" t="s">
        <v>41</v>
      </c>
      <c r="X91" s="130" t="s">
        <v>212</v>
      </c>
      <c r="Y91" s="130" t="s">
        <v>37</v>
      </c>
      <c r="Z91" s="130" t="s">
        <v>7</v>
      </c>
      <c r="AA91" s="129" t="s">
        <v>18</v>
      </c>
      <c r="AB91" s="129" t="s">
        <v>103</v>
      </c>
      <c r="AC91" s="386" t="s">
        <v>184</v>
      </c>
    </row>
    <row r="92" spans="1:29" x14ac:dyDescent="0.25">
      <c r="A92" s="131" t="s">
        <v>6</v>
      </c>
      <c r="B92" s="132" t="s">
        <v>269</v>
      </c>
      <c r="C92" s="132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2"/>
      <c r="AB92" s="132">
        <v>4</v>
      </c>
      <c r="AC92" s="387">
        <v>0</v>
      </c>
    </row>
    <row r="93" spans="1:29" x14ac:dyDescent="0.25">
      <c r="A93" s="131" t="s">
        <v>8</v>
      </c>
      <c r="B93" s="132" t="s">
        <v>270</v>
      </c>
      <c r="C93" s="132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2"/>
      <c r="AB93" s="132">
        <v>2</v>
      </c>
      <c r="AC93" s="387">
        <v>0</v>
      </c>
    </row>
    <row r="94" spans="1:29" x14ac:dyDescent="0.25">
      <c r="A94" s="131"/>
      <c r="B94" s="132" t="s">
        <v>271</v>
      </c>
      <c r="C94" s="132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2"/>
      <c r="AB94" s="132">
        <v>2</v>
      </c>
      <c r="AC94" s="387">
        <v>0</v>
      </c>
    </row>
    <row r="95" spans="1:29" x14ac:dyDescent="0.25">
      <c r="A95" s="131" t="s">
        <v>9</v>
      </c>
      <c r="B95" s="132" t="s">
        <v>335</v>
      </c>
      <c r="C95" s="132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>
        <v>9</v>
      </c>
      <c r="S95" s="18"/>
      <c r="T95" s="18"/>
      <c r="U95" s="18"/>
      <c r="V95" s="18"/>
      <c r="W95" s="18"/>
      <c r="X95" s="18"/>
      <c r="Y95" s="18"/>
      <c r="Z95" s="18"/>
      <c r="AA95" s="132"/>
      <c r="AB95" s="132">
        <v>9</v>
      </c>
      <c r="AC95" s="387">
        <v>0</v>
      </c>
    </row>
    <row r="96" spans="1:29" x14ac:dyDescent="0.25">
      <c r="A96" s="131" t="s">
        <v>10</v>
      </c>
      <c r="B96" s="132" t="s">
        <v>272</v>
      </c>
      <c r="C96" s="132">
        <v>2</v>
      </c>
      <c r="D96" s="18"/>
      <c r="E96" s="18"/>
      <c r="F96" s="18"/>
      <c r="G96" s="18"/>
      <c r="H96" s="18">
        <v>2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2"/>
      <c r="AB96" s="132">
        <v>2</v>
      </c>
      <c r="AC96" s="387">
        <v>0</v>
      </c>
    </row>
    <row r="97" spans="1:29" x14ac:dyDescent="0.25">
      <c r="A97" s="131" t="s">
        <v>11</v>
      </c>
      <c r="B97" s="132" t="s">
        <v>285</v>
      </c>
      <c r="C97" s="132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2"/>
      <c r="AB97" s="132">
        <v>2</v>
      </c>
      <c r="AC97" s="387">
        <v>0</v>
      </c>
    </row>
    <row r="98" spans="1:29" x14ac:dyDescent="0.25">
      <c r="A98" s="131" t="s">
        <v>13</v>
      </c>
      <c r="B98" s="132" t="s">
        <v>273</v>
      </c>
      <c r="C98" s="132">
        <v>6</v>
      </c>
      <c r="D98" s="18"/>
      <c r="E98" s="18"/>
      <c r="F98" s="18"/>
      <c r="G98" s="18">
        <v>6</v>
      </c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2"/>
      <c r="AB98" s="132">
        <v>6</v>
      </c>
      <c r="AC98" s="387">
        <v>0</v>
      </c>
    </row>
    <row r="99" spans="1:29" x14ac:dyDescent="0.25">
      <c r="A99" s="131"/>
      <c r="B99" s="132"/>
      <c r="C99" s="132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2"/>
      <c r="AB99" s="132"/>
      <c r="AC99" s="387">
        <v>0</v>
      </c>
    </row>
    <row r="100" spans="1:29" x14ac:dyDescent="0.25">
      <c r="A100" s="131"/>
      <c r="B100" s="132"/>
      <c r="C100" s="132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2"/>
      <c r="AB100" s="132"/>
      <c r="AC100" s="387">
        <v>0</v>
      </c>
    </row>
    <row r="101" spans="1:29" x14ac:dyDescent="0.25">
      <c r="A101" s="131" t="s">
        <v>209</v>
      </c>
      <c r="B101" s="132" t="s">
        <v>210</v>
      </c>
      <c r="C101" s="132">
        <v>8</v>
      </c>
      <c r="D101" s="18"/>
      <c r="E101" s="18">
        <v>8</v>
      </c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2"/>
      <c r="AB101" s="132">
        <v>8</v>
      </c>
      <c r="AC101" s="387">
        <v>0</v>
      </c>
    </row>
    <row r="102" spans="1:29" x14ac:dyDescent="0.25">
      <c r="A102" s="131" t="s">
        <v>17</v>
      </c>
      <c r="B102" s="132" t="s">
        <v>286</v>
      </c>
      <c r="C102" s="132">
        <v>10</v>
      </c>
      <c r="D102" s="18"/>
      <c r="E102" s="18"/>
      <c r="F102" s="18"/>
      <c r="G102" s="18"/>
      <c r="H102" s="18">
        <v>10</v>
      </c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2"/>
      <c r="AB102" s="132">
        <v>10</v>
      </c>
      <c r="AC102" s="387">
        <v>0</v>
      </c>
    </row>
    <row r="103" spans="1:29" x14ac:dyDescent="0.25">
      <c r="A103" s="131"/>
      <c r="B103" s="132"/>
      <c r="C103" s="132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2"/>
      <c r="AB103" s="132"/>
      <c r="AC103" s="387">
        <v>0</v>
      </c>
    </row>
    <row r="104" spans="1:29" x14ac:dyDescent="0.25">
      <c r="A104" s="131" t="s">
        <v>22</v>
      </c>
      <c r="B104" s="132" t="s">
        <v>23</v>
      </c>
      <c r="C104" s="132">
        <v>8</v>
      </c>
      <c r="D104" s="18"/>
      <c r="E104" s="18"/>
      <c r="F104" s="18"/>
      <c r="G104" s="18"/>
      <c r="H104" s="18"/>
      <c r="I104" s="18"/>
      <c r="J104" s="18">
        <v>8</v>
      </c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2"/>
      <c r="AB104" s="132">
        <v>8</v>
      </c>
      <c r="AC104" s="387">
        <v>0</v>
      </c>
    </row>
    <row r="105" spans="1:29" x14ac:dyDescent="0.25">
      <c r="A105" s="131" t="s">
        <v>24</v>
      </c>
      <c r="B105" s="132" t="s">
        <v>274</v>
      </c>
      <c r="C105" s="132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>
        <v>4</v>
      </c>
      <c r="V105" s="18"/>
      <c r="W105" s="18"/>
      <c r="X105" s="18"/>
      <c r="Y105" s="18"/>
      <c r="Z105" s="18"/>
      <c r="AA105" s="132"/>
      <c r="AB105" s="132">
        <v>4</v>
      </c>
      <c r="AC105" s="387">
        <v>0</v>
      </c>
    </row>
    <row r="106" spans="1:29" x14ac:dyDescent="0.25">
      <c r="A106" s="131" t="s">
        <v>26</v>
      </c>
      <c r="B106" s="132" t="s">
        <v>27</v>
      </c>
      <c r="C106" s="132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>
        <v>12</v>
      </c>
      <c r="V106" s="18"/>
      <c r="W106" s="18"/>
      <c r="X106" s="18"/>
      <c r="Y106" s="18"/>
      <c r="Z106" s="18"/>
      <c r="AA106" s="132"/>
      <c r="AB106" s="132">
        <v>12</v>
      </c>
      <c r="AC106" s="387">
        <v>0</v>
      </c>
    </row>
    <row r="107" spans="1:29" x14ac:dyDescent="0.25">
      <c r="A107" s="131"/>
      <c r="B107" s="132"/>
      <c r="C107" s="132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2"/>
      <c r="AB107" s="132"/>
      <c r="AC107" s="387">
        <v>0</v>
      </c>
    </row>
    <row r="108" spans="1:29" x14ac:dyDescent="0.25">
      <c r="A108" s="131"/>
      <c r="B108" s="132"/>
      <c r="C108" s="132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2"/>
      <c r="AB108" s="132"/>
      <c r="AC108" s="387">
        <v>0</v>
      </c>
    </row>
    <row r="109" spans="1:29" x14ac:dyDescent="0.25">
      <c r="A109" s="131" t="s">
        <v>30</v>
      </c>
      <c r="B109" s="132" t="s">
        <v>64</v>
      </c>
      <c r="C109" s="132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>
        <v>1</v>
      </c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2"/>
      <c r="AB109" s="132">
        <v>1</v>
      </c>
      <c r="AC109" s="387">
        <v>0</v>
      </c>
    </row>
    <row r="110" spans="1:29" x14ac:dyDescent="0.25">
      <c r="A110" s="131" t="s">
        <v>33</v>
      </c>
      <c r="B110" s="132" t="s">
        <v>275</v>
      </c>
      <c r="C110" s="132">
        <v>6</v>
      </c>
      <c r="D110" s="18"/>
      <c r="E110" s="18"/>
      <c r="F110" s="18"/>
      <c r="G110" s="18"/>
      <c r="H110" s="18"/>
      <c r="I110" s="18"/>
      <c r="J110" s="18">
        <v>6</v>
      </c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2"/>
      <c r="AB110" s="132">
        <v>6</v>
      </c>
      <c r="AC110" s="387">
        <v>0</v>
      </c>
    </row>
    <row r="111" spans="1:29" x14ac:dyDescent="0.25">
      <c r="A111" s="131" t="s">
        <v>35</v>
      </c>
      <c r="B111" s="132" t="s">
        <v>36</v>
      </c>
      <c r="C111" s="132">
        <v>4</v>
      </c>
      <c r="D111" s="18"/>
      <c r="E111" s="18"/>
      <c r="F111" s="18"/>
      <c r="G111" s="18"/>
      <c r="H111" s="18"/>
      <c r="I111" s="18"/>
      <c r="J111" s="18"/>
      <c r="K111" s="18">
        <v>4</v>
      </c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2"/>
      <c r="AB111" s="132">
        <v>4</v>
      </c>
      <c r="AC111" s="387">
        <v>0</v>
      </c>
    </row>
    <row r="112" spans="1:29" x14ac:dyDescent="0.25">
      <c r="A112" s="131" t="s">
        <v>38</v>
      </c>
      <c r="B112" s="132" t="s">
        <v>288</v>
      </c>
      <c r="C112" s="132">
        <v>0</v>
      </c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2"/>
      <c r="AB112" s="132"/>
      <c r="AC112" s="387">
        <v>0</v>
      </c>
    </row>
    <row r="113" spans="1:29" x14ac:dyDescent="0.25">
      <c r="A113" s="131" t="s">
        <v>211</v>
      </c>
      <c r="B113" s="132" t="s">
        <v>287</v>
      </c>
      <c r="C113" s="132">
        <v>0</v>
      </c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2"/>
      <c r="AB113" s="132"/>
      <c r="AC113" s="387">
        <v>0</v>
      </c>
    </row>
    <row r="114" spans="1:29" x14ac:dyDescent="0.25">
      <c r="A114" s="131" t="s">
        <v>39</v>
      </c>
      <c r="B114" s="132" t="s">
        <v>40</v>
      </c>
      <c r="C114" s="132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>
        <v>1</v>
      </c>
      <c r="X114" s="18"/>
      <c r="Y114" s="18"/>
      <c r="Z114" s="18"/>
      <c r="AA114" s="132"/>
      <c r="AB114" s="132">
        <v>1</v>
      </c>
      <c r="AC114" s="387">
        <v>0</v>
      </c>
    </row>
    <row r="115" spans="1:29" x14ac:dyDescent="0.25">
      <c r="A115" s="131" t="s">
        <v>42</v>
      </c>
      <c r="B115" s="132" t="s">
        <v>65</v>
      </c>
      <c r="C115" s="132">
        <v>12</v>
      </c>
      <c r="D115" s="18"/>
      <c r="E115" s="18"/>
      <c r="F115" s="18"/>
      <c r="G115" s="18"/>
      <c r="H115" s="18"/>
      <c r="I115" s="18"/>
      <c r="J115" s="18"/>
      <c r="K115" s="18">
        <v>12</v>
      </c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2"/>
      <c r="AB115" s="132">
        <v>12</v>
      </c>
      <c r="AC115" s="387">
        <v>0</v>
      </c>
    </row>
    <row r="116" spans="1:29" x14ac:dyDescent="0.25">
      <c r="A116" s="131" t="s">
        <v>44</v>
      </c>
      <c r="B116" s="132" t="s">
        <v>276</v>
      </c>
      <c r="C116" s="132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32">
        <v>1</v>
      </c>
      <c r="AB116" s="132">
        <v>1</v>
      </c>
      <c r="AC116" s="387">
        <v>0</v>
      </c>
    </row>
    <row r="117" spans="1:29" x14ac:dyDescent="0.25">
      <c r="A117" s="131" t="s">
        <v>45</v>
      </c>
      <c r="B117" s="132" t="s">
        <v>46</v>
      </c>
      <c r="C117" s="132">
        <v>2</v>
      </c>
      <c r="D117" s="18"/>
      <c r="E117" s="18"/>
      <c r="F117" s="18"/>
      <c r="G117" s="18"/>
      <c r="H117" s="18"/>
      <c r="I117" s="18">
        <v>2</v>
      </c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32"/>
      <c r="AB117" s="132">
        <v>2</v>
      </c>
      <c r="AC117" s="387">
        <v>0</v>
      </c>
    </row>
    <row r="118" spans="1:29" x14ac:dyDescent="0.25">
      <c r="A118" s="131" t="s">
        <v>47</v>
      </c>
      <c r="B118" s="132" t="s">
        <v>277</v>
      </c>
      <c r="C118" s="132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>
        <v>2</v>
      </c>
      <c r="W118" s="18"/>
      <c r="X118" s="18"/>
      <c r="Y118" s="18"/>
      <c r="Z118" s="18"/>
      <c r="AA118" s="132"/>
      <c r="AB118" s="132">
        <v>2</v>
      </c>
      <c r="AC118" s="387">
        <v>0</v>
      </c>
    </row>
    <row r="119" spans="1:29" x14ac:dyDescent="0.25">
      <c r="A119" s="131" t="s">
        <v>48</v>
      </c>
      <c r="B119" s="132" t="s">
        <v>284</v>
      </c>
      <c r="C119" s="132">
        <v>2</v>
      </c>
      <c r="D119" s="18"/>
      <c r="E119" s="18"/>
      <c r="F119" s="18"/>
      <c r="G119" s="18"/>
      <c r="H119" s="18"/>
      <c r="I119" s="18">
        <v>2</v>
      </c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32"/>
      <c r="AB119" s="132">
        <v>2</v>
      </c>
      <c r="AC119" s="387">
        <v>0</v>
      </c>
    </row>
    <row r="120" spans="1:29" x14ac:dyDescent="0.25">
      <c r="A120" s="131" t="s">
        <v>50</v>
      </c>
      <c r="B120" s="132" t="s">
        <v>324</v>
      </c>
      <c r="C120" s="132">
        <v>8</v>
      </c>
      <c r="D120" s="18"/>
      <c r="E120" s="18"/>
      <c r="F120" s="18"/>
      <c r="G120" s="18"/>
      <c r="H120" s="18"/>
      <c r="I120" s="18"/>
      <c r="J120" s="18">
        <v>8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2"/>
      <c r="AB120" s="132">
        <v>8</v>
      </c>
      <c r="AC120" s="387">
        <v>0</v>
      </c>
    </row>
    <row r="121" spans="1:29" x14ac:dyDescent="0.25">
      <c r="A121" s="131"/>
      <c r="B121" s="132"/>
      <c r="C121" s="132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2"/>
      <c r="AB121" s="132"/>
      <c r="AC121" s="387">
        <v>0</v>
      </c>
    </row>
    <row r="122" spans="1:29" x14ac:dyDescent="0.25">
      <c r="A122" s="131" t="s">
        <v>194</v>
      </c>
      <c r="B122" s="132" t="s">
        <v>195</v>
      </c>
      <c r="C122" s="132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>
        <v>1</v>
      </c>
      <c r="U122" s="18"/>
      <c r="V122" s="18"/>
      <c r="W122" s="18"/>
      <c r="X122" s="18"/>
      <c r="Y122" s="18"/>
      <c r="Z122" s="18"/>
      <c r="AA122" s="132"/>
      <c r="AB122" s="132">
        <v>1</v>
      </c>
      <c r="AC122" s="387">
        <v>0</v>
      </c>
    </row>
    <row r="123" spans="1:29" x14ac:dyDescent="0.25">
      <c r="A123" s="131" t="s">
        <v>196</v>
      </c>
      <c r="B123" s="132" t="s">
        <v>197</v>
      </c>
      <c r="C123" s="132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>
        <v>1</v>
      </c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2"/>
      <c r="AB123" s="132">
        <v>1</v>
      </c>
      <c r="AC123" s="387">
        <v>0</v>
      </c>
    </row>
    <row r="124" spans="1:29" x14ac:dyDescent="0.25">
      <c r="A124" s="131"/>
      <c r="B124" s="132"/>
      <c r="C124" s="132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2"/>
      <c r="AB124" s="132"/>
      <c r="AC124" s="387"/>
    </row>
    <row r="125" spans="1:29" ht="13.8" thickBot="1" x14ac:dyDescent="0.3">
      <c r="A125" s="133"/>
      <c r="B125" s="134" t="s">
        <v>306</v>
      </c>
      <c r="C125" s="135">
        <v>110</v>
      </c>
      <c r="D125" s="61">
        <v>0</v>
      </c>
      <c r="E125" s="61">
        <v>8</v>
      </c>
      <c r="F125" s="61">
        <v>0</v>
      </c>
      <c r="G125" s="61">
        <v>6</v>
      </c>
      <c r="H125" s="61">
        <v>12</v>
      </c>
      <c r="I125" s="61">
        <v>4</v>
      </c>
      <c r="J125" s="61">
        <v>22</v>
      </c>
      <c r="K125" s="61">
        <v>16</v>
      </c>
      <c r="L125" s="61">
        <v>0</v>
      </c>
      <c r="M125" s="61">
        <v>2</v>
      </c>
      <c r="N125" s="61">
        <v>0</v>
      </c>
      <c r="O125" s="61">
        <v>10</v>
      </c>
      <c r="P125" s="61">
        <v>0</v>
      </c>
      <c r="Q125" s="61">
        <v>0</v>
      </c>
      <c r="R125" s="61">
        <v>9</v>
      </c>
      <c r="S125" s="61">
        <v>0</v>
      </c>
      <c r="T125" s="61">
        <v>1</v>
      </c>
      <c r="U125" s="61">
        <v>16</v>
      </c>
      <c r="V125" s="61">
        <v>2</v>
      </c>
      <c r="W125" s="61">
        <v>1</v>
      </c>
      <c r="X125" s="61">
        <v>0</v>
      </c>
      <c r="Y125" s="61">
        <v>0</v>
      </c>
      <c r="Z125" s="61">
        <v>0</v>
      </c>
      <c r="AA125" s="135">
        <v>1</v>
      </c>
      <c r="AB125" s="135">
        <v>110</v>
      </c>
      <c r="AC125" s="388">
        <v>0</v>
      </c>
    </row>
    <row r="129" spans="1:29" ht="18" thickBot="1" x14ac:dyDescent="0.35">
      <c r="B129" s="66" t="s">
        <v>307</v>
      </c>
    </row>
    <row r="130" spans="1:29" ht="67.2" x14ac:dyDescent="0.3">
      <c r="A130" s="127"/>
      <c r="B130" s="128" t="s">
        <v>353</v>
      </c>
      <c r="C130" s="129" t="s">
        <v>4</v>
      </c>
      <c r="D130" s="130" t="s">
        <v>215</v>
      </c>
      <c r="E130" s="130" t="s">
        <v>16</v>
      </c>
      <c r="F130" s="130" t="s">
        <v>75</v>
      </c>
      <c r="G130" s="130" t="s">
        <v>12</v>
      </c>
      <c r="H130" s="130" t="s">
        <v>32</v>
      </c>
      <c r="I130" s="130" t="s">
        <v>317</v>
      </c>
      <c r="J130" s="130" t="s">
        <v>25</v>
      </c>
      <c r="K130" s="130" t="s">
        <v>81</v>
      </c>
      <c r="L130" s="130" t="s">
        <v>80</v>
      </c>
      <c r="M130" s="130" t="s">
        <v>217</v>
      </c>
      <c r="N130" s="130" t="s">
        <v>337</v>
      </c>
      <c r="O130" s="130" t="s">
        <v>144</v>
      </c>
      <c r="P130" s="130" t="s">
        <v>20</v>
      </c>
      <c r="Q130" s="130" t="s">
        <v>83</v>
      </c>
      <c r="R130" s="130" t="s">
        <v>251</v>
      </c>
      <c r="S130" s="130" t="s">
        <v>88</v>
      </c>
      <c r="T130" s="130" t="s">
        <v>84</v>
      </c>
      <c r="U130" s="130" t="s">
        <v>34</v>
      </c>
      <c r="V130" s="130" t="s">
        <v>334</v>
      </c>
      <c r="W130" s="130" t="s">
        <v>41</v>
      </c>
      <c r="X130" s="130" t="s">
        <v>212</v>
      </c>
      <c r="Y130" s="130" t="s">
        <v>37</v>
      </c>
      <c r="Z130" s="130" t="s">
        <v>7</v>
      </c>
      <c r="AA130" s="129" t="s">
        <v>18</v>
      </c>
      <c r="AB130" s="129" t="s">
        <v>103</v>
      </c>
      <c r="AC130" s="386" t="s">
        <v>184</v>
      </c>
    </row>
    <row r="131" spans="1:29" x14ac:dyDescent="0.25">
      <c r="A131" s="131" t="s">
        <v>49</v>
      </c>
      <c r="B131" s="132" t="s">
        <v>157</v>
      </c>
      <c r="C131" s="132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>
        <v>8</v>
      </c>
      <c r="V131" s="18"/>
      <c r="W131" s="18"/>
      <c r="X131" s="18"/>
      <c r="Y131" s="18"/>
      <c r="Z131" s="18"/>
      <c r="AA131" s="132"/>
      <c r="AB131" s="132">
        <v>8</v>
      </c>
      <c r="AC131" s="387">
        <v>0</v>
      </c>
    </row>
    <row r="132" spans="1:29" x14ac:dyDescent="0.25">
      <c r="A132" s="131" t="s">
        <v>52</v>
      </c>
      <c r="B132" s="132" t="s">
        <v>340</v>
      </c>
      <c r="C132" s="132">
        <v>24</v>
      </c>
      <c r="D132" s="18"/>
      <c r="E132" s="18"/>
      <c r="F132" s="18"/>
      <c r="G132" s="18"/>
      <c r="H132" s="18">
        <v>1</v>
      </c>
      <c r="I132" s="18">
        <v>5</v>
      </c>
      <c r="J132" s="18"/>
      <c r="K132" s="18"/>
      <c r="L132" s="18"/>
      <c r="M132" s="18"/>
      <c r="N132" s="18"/>
      <c r="O132" s="18"/>
      <c r="P132" s="18"/>
      <c r="Q132" s="18">
        <v>1</v>
      </c>
      <c r="R132" s="18">
        <v>2</v>
      </c>
      <c r="S132" s="18"/>
      <c r="T132" s="18">
        <v>1</v>
      </c>
      <c r="U132" s="18"/>
      <c r="V132" s="18">
        <v>2</v>
      </c>
      <c r="W132" s="18">
        <v>3</v>
      </c>
      <c r="X132" s="18"/>
      <c r="Y132" s="18">
        <v>6</v>
      </c>
      <c r="Z132" s="18">
        <v>2</v>
      </c>
      <c r="AA132" s="132">
        <v>1</v>
      </c>
      <c r="AB132" s="132">
        <v>24</v>
      </c>
      <c r="AC132" s="387">
        <v>0</v>
      </c>
    </row>
    <row r="133" spans="1:29" x14ac:dyDescent="0.25">
      <c r="A133" s="131" t="s">
        <v>236</v>
      </c>
      <c r="B133" s="132"/>
      <c r="C133" s="132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2"/>
      <c r="AB133" s="132">
        <v>0</v>
      </c>
      <c r="AC133" s="387">
        <v>0</v>
      </c>
    </row>
    <row r="134" spans="1:29" x14ac:dyDescent="0.25">
      <c r="A134" s="131" t="s">
        <v>300</v>
      </c>
      <c r="B134" s="132" t="s">
        <v>283</v>
      </c>
      <c r="C134" s="132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>
        <v>2</v>
      </c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2"/>
      <c r="AB134" s="132">
        <v>2</v>
      </c>
      <c r="AC134" s="387">
        <v>0</v>
      </c>
    </row>
    <row r="135" spans="1:29" x14ac:dyDescent="0.25">
      <c r="A135" s="131" t="s">
        <v>105</v>
      </c>
      <c r="B135" s="132" t="s">
        <v>172</v>
      </c>
      <c r="C135" s="132">
        <v>3</v>
      </c>
      <c r="D135" s="18"/>
      <c r="E135" s="18"/>
      <c r="F135" s="18"/>
      <c r="G135" s="18"/>
      <c r="H135" s="18"/>
      <c r="I135" s="18">
        <v>1</v>
      </c>
      <c r="J135" s="18"/>
      <c r="K135" s="18"/>
      <c r="L135" s="18"/>
      <c r="M135" s="18"/>
      <c r="N135" s="18"/>
      <c r="O135" s="18"/>
      <c r="P135" s="18"/>
      <c r="Q135" s="18"/>
      <c r="R135" s="18">
        <v>1</v>
      </c>
      <c r="S135" s="18"/>
      <c r="T135" s="18"/>
      <c r="U135" s="18"/>
      <c r="V135" s="18"/>
      <c r="W135" s="18">
        <v>1</v>
      </c>
      <c r="X135" s="18"/>
      <c r="Y135" s="18"/>
      <c r="Z135" s="18"/>
      <c r="AA135" s="132"/>
      <c r="AB135" s="132">
        <v>3</v>
      </c>
      <c r="AC135" s="387">
        <v>0</v>
      </c>
    </row>
    <row r="136" spans="1:29" x14ac:dyDescent="0.25">
      <c r="A136" s="131" t="s">
        <v>104</v>
      </c>
      <c r="B136" s="132" t="s">
        <v>173</v>
      </c>
      <c r="C136" s="132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>
        <v>1</v>
      </c>
      <c r="V136" s="18"/>
      <c r="W136" s="18"/>
      <c r="X136" s="18"/>
      <c r="Y136" s="18"/>
      <c r="Z136" s="18"/>
      <c r="AA136" s="132"/>
      <c r="AB136" s="132">
        <v>1</v>
      </c>
      <c r="AC136" s="387">
        <v>0</v>
      </c>
    </row>
    <row r="137" spans="1:29" x14ac:dyDescent="0.25">
      <c r="A137" s="131" t="s">
        <v>106</v>
      </c>
      <c r="B137" s="132" t="s">
        <v>174</v>
      </c>
      <c r="C137" s="132">
        <v>3</v>
      </c>
      <c r="D137" s="18"/>
      <c r="E137" s="18"/>
      <c r="F137" s="18"/>
      <c r="G137" s="18"/>
      <c r="H137" s="18">
        <v>1</v>
      </c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>
        <v>1</v>
      </c>
      <c r="X137" s="18"/>
      <c r="Y137" s="18"/>
      <c r="Z137" s="18"/>
      <c r="AA137" s="132"/>
      <c r="AB137" s="132">
        <v>3</v>
      </c>
      <c r="AC137" s="387">
        <v>0</v>
      </c>
    </row>
    <row r="138" spans="1:29" x14ac:dyDescent="0.25">
      <c r="A138" s="131" t="s">
        <v>107</v>
      </c>
      <c r="B138" s="132" t="s">
        <v>175</v>
      </c>
      <c r="C138" s="132">
        <v>1</v>
      </c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>
        <v>1</v>
      </c>
      <c r="R138" s="18"/>
      <c r="S138" s="18"/>
      <c r="T138" s="18"/>
      <c r="U138" s="18"/>
      <c r="V138" s="18"/>
      <c r="W138" s="18"/>
      <c r="X138" s="18"/>
      <c r="Y138" s="18"/>
      <c r="Z138" s="18"/>
      <c r="AA138" s="132"/>
      <c r="AB138" s="132">
        <v>1</v>
      </c>
      <c r="AC138" s="387">
        <v>0</v>
      </c>
    </row>
    <row r="139" spans="1:29" x14ac:dyDescent="0.25">
      <c r="A139" s="131" t="s">
        <v>130</v>
      </c>
      <c r="B139" s="132" t="s">
        <v>176</v>
      </c>
      <c r="C139" s="132">
        <v>7</v>
      </c>
      <c r="D139" s="18"/>
      <c r="E139" s="18"/>
      <c r="F139" s="18">
        <v>1</v>
      </c>
      <c r="G139" s="18">
        <v>2</v>
      </c>
      <c r="H139" s="18"/>
      <c r="I139" s="18">
        <v>2</v>
      </c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>
        <v>2</v>
      </c>
      <c r="X139" s="18"/>
      <c r="Y139" s="18"/>
      <c r="Z139" s="18"/>
      <c r="AA139" s="132"/>
      <c r="AB139" s="132">
        <v>7</v>
      </c>
      <c r="AC139" s="387">
        <v>0</v>
      </c>
    </row>
    <row r="140" spans="1:29" x14ac:dyDescent="0.25">
      <c r="A140" s="131" t="s">
        <v>131</v>
      </c>
      <c r="B140" s="132" t="s">
        <v>177</v>
      </c>
      <c r="C140" s="132">
        <v>6</v>
      </c>
      <c r="D140" s="18"/>
      <c r="E140" s="18"/>
      <c r="F140" s="18"/>
      <c r="G140" s="18"/>
      <c r="H140" s="18"/>
      <c r="I140" s="18">
        <v>1</v>
      </c>
      <c r="J140" s="18"/>
      <c r="K140" s="18"/>
      <c r="L140" s="18"/>
      <c r="M140" s="18"/>
      <c r="N140" s="18"/>
      <c r="O140" s="18"/>
      <c r="P140" s="18"/>
      <c r="Q140" s="18">
        <v>1</v>
      </c>
      <c r="R140" s="18"/>
      <c r="S140" s="18"/>
      <c r="T140" s="18"/>
      <c r="U140" s="18"/>
      <c r="V140" s="18"/>
      <c r="W140" s="18">
        <v>2</v>
      </c>
      <c r="X140" s="18"/>
      <c r="Y140" s="18"/>
      <c r="Z140" s="18"/>
      <c r="AA140" s="132">
        <v>2</v>
      </c>
      <c r="AB140" s="132">
        <v>6</v>
      </c>
      <c r="AC140" s="387">
        <v>0</v>
      </c>
    </row>
    <row r="141" spans="1:29" x14ac:dyDescent="0.25">
      <c r="A141" s="131" t="s">
        <v>53</v>
      </c>
      <c r="B141" s="132" t="s">
        <v>91</v>
      </c>
      <c r="C141" s="132">
        <v>9</v>
      </c>
      <c r="D141" s="18"/>
      <c r="E141" s="18"/>
      <c r="F141" s="18"/>
      <c r="G141" s="18"/>
      <c r="H141" s="18"/>
      <c r="I141" s="18"/>
      <c r="J141" s="18"/>
      <c r="K141" s="18"/>
      <c r="L141" s="18">
        <v>7</v>
      </c>
      <c r="M141" s="18"/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2"/>
      <c r="AB141" s="132">
        <v>9</v>
      </c>
      <c r="AC141" s="387">
        <v>0</v>
      </c>
    </row>
    <row r="142" spans="1:29" x14ac:dyDescent="0.25">
      <c r="A142" s="131" t="s">
        <v>54</v>
      </c>
      <c r="B142" s="132" t="s">
        <v>102</v>
      </c>
      <c r="C142" s="132">
        <v>10</v>
      </c>
      <c r="D142" s="18"/>
      <c r="E142" s="18"/>
      <c r="F142" s="18"/>
      <c r="G142" s="18"/>
      <c r="H142" s="18"/>
      <c r="I142" s="18"/>
      <c r="J142" s="18"/>
      <c r="K142" s="18"/>
      <c r="L142" s="18">
        <v>8</v>
      </c>
      <c r="M142" s="18"/>
      <c r="N142" s="18"/>
      <c r="O142" s="18"/>
      <c r="P142" s="18"/>
      <c r="Q142" s="18"/>
      <c r="R142" s="18"/>
      <c r="S142" s="18"/>
      <c r="T142" s="18">
        <v>1</v>
      </c>
      <c r="U142" s="18">
        <v>1</v>
      </c>
      <c r="V142" s="18"/>
      <c r="W142" s="18"/>
      <c r="X142" s="18"/>
      <c r="Y142" s="18"/>
      <c r="Z142" s="18"/>
      <c r="AA142" s="132"/>
      <c r="AB142" s="132">
        <v>10</v>
      </c>
      <c r="AC142" s="387">
        <v>0</v>
      </c>
    </row>
    <row r="143" spans="1:29" x14ac:dyDescent="0.25">
      <c r="A143" s="131" t="s">
        <v>55</v>
      </c>
      <c r="B143" s="132" t="s">
        <v>111</v>
      </c>
      <c r="C143" s="132">
        <v>7</v>
      </c>
      <c r="D143" s="18"/>
      <c r="E143" s="18"/>
      <c r="F143" s="18">
        <v>1</v>
      </c>
      <c r="G143" s="18">
        <v>1</v>
      </c>
      <c r="H143" s="18"/>
      <c r="I143" s="18">
        <v>1</v>
      </c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>
        <v>2</v>
      </c>
      <c r="V143" s="18">
        <v>1</v>
      </c>
      <c r="W143" s="18"/>
      <c r="X143" s="18"/>
      <c r="Y143" s="18"/>
      <c r="Z143" s="18">
        <v>1</v>
      </c>
      <c r="AA143" s="132"/>
      <c r="AB143" s="132">
        <v>7</v>
      </c>
      <c r="AC143" s="387">
        <v>0</v>
      </c>
    </row>
    <row r="144" spans="1:29" x14ac:dyDescent="0.25">
      <c r="A144" s="131" t="s">
        <v>56</v>
      </c>
      <c r="B144" s="132" t="s">
        <v>163</v>
      </c>
      <c r="C144" s="132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>
        <v>5</v>
      </c>
      <c r="X144" s="18"/>
      <c r="Y144" s="18">
        <v>4</v>
      </c>
      <c r="Z144" s="18"/>
      <c r="AA144" s="132"/>
      <c r="AB144" s="132">
        <v>9</v>
      </c>
      <c r="AC144" s="387">
        <v>0</v>
      </c>
    </row>
    <row r="145" spans="1:29" x14ac:dyDescent="0.25">
      <c r="A145" s="131" t="s">
        <v>57</v>
      </c>
      <c r="B145" s="132" t="s">
        <v>164</v>
      </c>
      <c r="C145" s="132">
        <v>10</v>
      </c>
      <c r="D145" s="18"/>
      <c r="E145" s="18"/>
      <c r="F145" s="18"/>
      <c r="G145" s="18"/>
      <c r="H145" s="18"/>
      <c r="I145" s="18">
        <v>6</v>
      </c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>
        <v>2</v>
      </c>
      <c r="W145" s="18"/>
      <c r="X145" s="18"/>
      <c r="Y145" s="18">
        <v>2</v>
      </c>
      <c r="Z145" s="18"/>
      <c r="AA145" s="132"/>
      <c r="AB145" s="132">
        <v>10</v>
      </c>
      <c r="AC145" s="387">
        <v>0</v>
      </c>
    </row>
    <row r="146" spans="1:29" x14ac:dyDescent="0.25">
      <c r="A146" s="131" t="s">
        <v>58</v>
      </c>
      <c r="B146" s="132" t="s">
        <v>165</v>
      </c>
      <c r="C146" s="132">
        <v>7</v>
      </c>
      <c r="D146" s="18"/>
      <c r="E146" s="18">
        <v>1</v>
      </c>
      <c r="F146" s="18"/>
      <c r="G146" s="18"/>
      <c r="H146" s="18"/>
      <c r="I146" s="18">
        <v>3</v>
      </c>
      <c r="J146" s="18"/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/>
      <c r="V146" s="18"/>
      <c r="W146" s="18"/>
      <c r="X146" s="18"/>
      <c r="Y146" s="18">
        <v>2</v>
      </c>
      <c r="Z146" s="18"/>
      <c r="AA146" s="132"/>
      <c r="AB146" s="132">
        <v>7</v>
      </c>
      <c r="AC146" s="387">
        <v>0</v>
      </c>
    </row>
    <row r="147" spans="1:29" x14ac:dyDescent="0.25">
      <c r="A147" s="131" t="s">
        <v>67</v>
      </c>
      <c r="B147" s="132" t="s">
        <v>178</v>
      </c>
      <c r="C147" s="132">
        <v>22</v>
      </c>
      <c r="D147" s="18"/>
      <c r="E147" s="18"/>
      <c r="F147" s="18">
        <v>3</v>
      </c>
      <c r="G147" s="18"/>
      <c r="H147" s="18">
        <v>3</v>
      </c>
      <c r="I147" s="18">
        <v>3</v>
      </c>
      <c r="J147" s="18"/>
      <c r="K147" s="18"/>
      <c r="L147" s="18"/>
      <c r="M147" s="18"/>
      <c r="N147" s="18"/>
      <c r="O147" s="18"/>
      <c r="P147" s="18"/>
      <c r="Q147" s="18">
        <v>3</v>
      </c>
      <c r="R147" s="18"/>
      <c r="S147" s="18">
        <v>4</v>
      </c>
      <c r="T147" s="18"/>
      <c r="U147" s="18">
        <v>1</v>
      </c>
      <c r="V147" s="18"/>
      <c r="W147" s="18">
        <v>5</v>
      </c>
      <c r="X147" s="18"/>
      <c r="Y147" s="18"/>
      <c r="Z147" s="18"/>
      <c r="AA147" s="132"/>
      <c r="AB147" s="132">
        <v>22</v>
      </c>
      <c r="AC147" s="387">
        <v>0</v>
      </c>
    </row>
    <row r="148" spans="1:29" x14ac:dyDescent="0.25">
      <c r="A148" s="131" t="s">
        <v>67</v>
      </c>
      <c r="B148" s="132" t="s">
        <v>179</v>
      </c>
      <c r="C148" s="132">
        <v>14</v>
      </c>
      <c r="D148" s="18"/>
      <c r="E148" s="18"/>
      <c r="F148" s="18">
        <v>1</v>
      </c>
      <c r="G148" s="18">
        <v>2</v>
      </c>
      <c r="H148" s="18">
        <v>2</v>
      </c>
      <c r="I148" s="18">
        <v>4</v>
      </c>
      <c r="J148" s="18"/>
      <c r="K148" s="18"/>
      <c r="L148" s="18"/>
      <c r="M148" s="18"/>
      <c r="N148" s="18"/>
      <c r="O148" s="18"/>
      <c r="P148" s="18">
        <v>1</v>
      </c>
      <c r="Q148" s="18">
        <v>1</v>
      </c>
      <c r="R148" s="18">
        <v>2</v>
      </c>
      <c r="S148" s="18"/>
      <c r="T148" s="18"/>
      <c r="U148" s="18"/>
      <c r="V148" s="18">
        <v>1</v>
      </c>
      <c r="W148" s="18"/>
      <c r="X148" s="18"/>
      <c r="Y148" s="18"/>
      <c r="Z148" s="18"/>
      <c r="AA148" s="132"/>
      <c r="AB148" s="132">
        <v>14</v>
      </c>
      <c r="AC148" s="387">
        <v>0</v>
      </c>
    </row>
    <row r="149" spans="1:29" x14ac:dyDescent="0.25">
      <c r="A149" s="131" t="s">
        <v>68</v>
      </c>
      <c r="B149" s="132" t="s">
        <v>180</v>
      </c>
      <c r="C149" s="132">
        <v>22</v>
      </c>
      <c r="D149" s="18"/>
      <c r="E149" s="18">
        <v>2</v>
      </c>
      <c r="F149" s="18"/>
      <c r="G149" s="18"/>
      <c r="H149" s="18">
        <v>5</v>
      </c>
      <c r="I149" s="18">
        <v>4</v>
      </c>
      <c r="J149" s="18"/>
      <c r="K149" s="18"/>
      <c r="L149" s="18"/>
      <c r="M149" s="18"/>
      <c r="N149" s="18"/>
      <c r="O149" s="18"/>
      <c r="P149" s="18">
        <v>1</v>
      </c>
      <c r="Q149" s="18"/>
      <c r="R149" s="18">
        <v>2</v>
      </c>
      <c r="S149" s="18">
        <v>1</v>
      </c>
      <c r="T149" s="18"/>
      <c r="U149" s="18"/>
      <c r="V149" s="18">
        <v>1</v>
      </c>
      <c r="W149" s="18"/>
      <c r="X149" s="18"/>
      <c r="Y149" s="18">
        <v>2</v>
      </c>
      <c r="Z149" s="18">
        <v>1</v>
      </c>
      <c r="AA149" s="132">
        <v>3</v>
      </c>
      <c r="AB149" s="132">
        <v>22</v>
      </c>
      <c r="AC149" s="387">
        <v>0</v>
      </c>
    </row>
    <row r="150" spans="1:29" x14ac:dyDescent="0.25">
      <c r="A150" s="131" t="s">
        <v>68</v>
      </c>
      <c r="B150" s="132" t="s">
        <v>181</v>
      </c>
      <c r="C150" s="132">
        <v>14</v>
      </c>
      <c r="D150" s="18"/>
      <c r="E150" s="18"/>
      <c r="F150" s="18"/>
      <c r="G150" s="18"/>
      <c r="H150" s="18"/>
      <c r="I150" s="18">
        <v>1</v>
      </c>
      <c r="J150" s="18"/>
      <c r="K150" s="18"/>
      <c r="L150" s="18"/>
      <c r="M150" s="18"/>
      <c r="N150" s="18"/>
      <c r="O150" s="18"/>
      <c r="P150" s="18"/>
      <c r="Q150" s="18"/>
      <c r="R150" s="18"/>
      <c r="S150" s="18">
        <v>4</v>
      </c>
      <c r="T150" s="18"/>
      <c r="U150" s="18">
        <v>2</v>
      </c>
      <c r="V150" s="18">
        <v>3</v>
      </c>
      <c r="W150" s="18">
        <v>3</v>
      </c>
      <c r="X150" s="18"/>
      <c r="Y150" s="18"/>
      <c r="Z150" s="18"/>
      <c r="AA150" s="132">
        <v>1</v>
      </c>
      <c r="AB150" s="132">
        <v>14</v>
      </c>
      <c r="AC150" s="387">
        <v>0</v>
      </c>
    </row>
    <row r="151" spans="1:29" x14ac:dyDescent="0.25">
      <c r="A151" s="131" t="s">
        <v>119</v>
      </c>
      <c r="B151" s="132" t="s">
        <v>166</v>
      </c>
      <c r="C151" s="132">
        <v>7</v>
      </c>
      <c r="D151" s="18"/>
      <c r="E151" s="18">
        <v>2</v>
      </c>
      <c r="F151" s="18"/>
      <c r="G151" s="18"/>
      <c r="H151" s="18"/>
      <c r="I151" s="18">
        <v>2</v>
      </c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>
        <v>1</v>
      </c>
      <c r="W151" s="18"/>
      <c r="X151" s="18"/>
      <c r="Y151" s="18"/>
      <c r="Z151" s="18">
        <v>2</v>
      </c>
      <c r="AA151" s="132"/>
      <c r="AB151" s="132">
        <v>7</v>
      </c>
      <c r="AC151" s="387">
        <v>0</v>
      </c>
    </row>
    <row r="152" spans="1:29" x14ac:dyDescent="0.25">
      <c r="A152" s="131" t="s">
        <v>120</v>
      </c>
      <c r="B152" s="132" t="s">
        <v>167</v>
      </c>
      <c r="C152" s="132">
        <v>6</v>
      </c>
      <c r="D152" s="18"/>
      <c r="E152" s="18"/>
      <c r="F152" s="18"/>
      <c r="G152" s="18">
        <v>2</v>
      </c>
      <c r="H152" s="18">
        <v>2</v>
      </c>
      <c r="I152" s="18"/>
      <c r="J152" s="18"/>
      <c r="K152" s="18"/>
      <c r="L152" s="18"/>
      <c r="M152" s="18"/>
      <c r="N152" s="18"/>
      <c r="O152" s="18"/>
      <c r="P152" s="18"/>
      <c r="Q152" s="18">
        <v>1</v>
      </c>
      <c r="R152" s="18"/>
      <c r="S152" s="18"/>
      <c r="T152" s="18">
        <v>1</v>
      </c>
      <c r="U152" s="18"/>
      <c r="V152" s="18"/>
      <c r="W152" s="18"/>
      <c r="X152" s="18"/>
      <c r="Y152" s="18"/>
      <c r="Z152" s="18"/>
      <c r="AA152" s="132"/>
      <c r="AB152" s="132">
        <v>6</v>
      </c>
      <c r="AC152" s="387">
        <v>0</v>
      </c>
    </row>
    <row r="153" spans="1:29" x14ac:dyDescent="0.25">
      <c r="A153" s="131" t="s">
        <v>183</v>
      </c>
      <c r="B153" s="132" t="s">
        <v>290</v>
      </c>
      <c r="C153" s="132">
        <v>7</v>
      </c>
      <c r="D153" s="18"/>
      <c r="E153" s="18"/>
      <c r="F153" s="18">
        <v>1</v>
      </c>
      <c r="G153" s="18">
        <v>2</v>
      </c>
      <c r="H153" s="18"/>
      <c r="I153" s="18">
        <v>1</v>
      </c>
      <c r="J153" s="18"/>
      <c r="K153" s="18"/>
      <c r="L153" s="18"/>
      <c r="M153" s="18"/>
      <c r="N153" s="18"/>
      <c r="O153" s="18"/>
      <c r="P153" s="18">
        <v>1</v>
      </c>
      <c r="Q153" s="18">
        <v>1</v>
      </c>
      <c r="R153" s="18"/>
      <c r="S153" s="18"/>
      <c r="T153" s="18">
        <v>1</v>
      </c>
      <c r="U153" s="18"/>
      <c r="V153" s="18"/>
      <c r="W153" s="18"/>
      <c r="X153" s="18"/>
      <c r="Y153" s="18"/>
      <c r="Z153" s="18"/>
      <c r="AA153" s="132"/>
      <c r="AB153" s="132">
        <v>7</v>
      </c>
      <c r="AC153" s="387">
        <v>0</v>
      </c>
    </row>
    <row r="154" spans="1:29" x14ac:dyDescent="0.25">
      <c r="A154" s="131" t="s">
        <v>122</v>
      </c>
      <c r="B154" s="132" t="s">
        <v>289</v>
      </c>
      <c r="C154" s="132">
        <v>5</v>
      </c>
      <c r="D154" s="18"/>
      <c r="E154" s="18"/>
      <c r="F154" s="18">
        <v>1</v>
      </c>
      <c r="G154" s="18">
        <v>2</v>
      </c>
      <c r="H154" s="18"/>
      <c r="I154" s="18">
        <v>1</v>
      </c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>
        <v>1</v>
      </c>
      <c r="W154" s="18"/>
      <c r="X154" s="18"/>
      <c r="Y154" s="18"/>
      <c r="Z154" s="18"/>
      <c r="AA154" s="132"/>
      <c r="AB154" s="132">
        <v>5</v>
      </c>
      <c r="AC154" s="387">
        <v>0</v>
      </c>
    </row>
    <row r="155" spans="1:29" x14ac:dyDescent="0.25">
      <c r="A155" s="131" t="s">
        <v>61</v>
      </c>
      <c r="B155" s="132" t="s">
        <v>171</v>
      </c>
      <c r="C155" s="132">
        <v>7</v>
      </c>
      <c r="D155" s="18"/>
      <c r="E155" s="18">
        <v>1</v>
      </c>
      <c r="F155" s="18"/>
      <c r="G155" s="18"/>
      <c r="H155" s="18"/>
      <c r="I155" s="18">
        <v>2</v>
      </c>
      <c r="J155" s="18"/>
      <c r="K155" s="18"/>
      <c r="L155" s="18"/>
      <c r="M155" s="18"/>
      <c r="N155" s="18"/>
      <c r="O155" s="18"/>
      <c r="P155" s="18"/>
      <c r="Q155" s="18"/>
      <c r="R155" s="18"/>
      <c r="S155" s="18">
        <v>1</v>
      </c>
      <c r="T155" s="18"/>
      <c r="U155" s="18"/>
      <c r="V155" s="18"/>
      <c r="W155" s="18">
        <v>3</v>
      </c>
      <c r="X155" s="18"/>
      <c r="Y155" s="18"/>
      <c r="Z155" s="18"/>
      <c r="AA155" s="132"/>
      <c r="AB155" s="132">
        <v>7</v>
      </c>
      <c r="AC155" s="387">
        <v>0</v>
      </c>
    </row>
    <row r="156" spans="1:29" x14ac:dyDescent="0.25">
      <c r="A156" s="131" t="s">
        <v>61</v>
      </c>
      <c r="B156" s="132" t="s">
        <v>170</v>
      </c>
      <c r="C156" s="132">
        <v>6</v>
      </c>
      <c r="D156" s="18"/>
      <c r="E156" s="18">
        <v>2</v>
      </c>
      <c r="F156" s="18"/>
      <c r="G156" s="18"/>
      <c r="H156" s="18">
        <v>1</v>
      </c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>
        <v>2</v>
      </c>
      <c r="X156" s="18"/>
      <c r="Y156" s="18"/>
      <c r="Z156" s="18">
        <v>1</v>
      </c>
      <c r="AA156" s="132"/>
      <c r="AB156" s="132">
        <v>6</v>
      </c>
      <c r="AC156" s="387">
        <v>0</v>
      </c>
    </row>
    <row r="157" spans="1:29" x14ac:dyDescent="0.25">
      <c r="A157" s="131" t="s">
        <v>246</v>
      </c>
      <c r="B157" s="132" t="s">
        <v>248</v>
      </c>
      <c r="C157" s="132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2"/>
      <c r="AB157" s="132">
        <v>0</v>
      </c>
      <c r="AC157" s="387">
        <v>0</v>
      </c>
    </row>
    <row r="158" spans="1:29" x14ac:dyDescent="0.25">
      <c r="A158" s="131" t="s">
        <v>247</v>
      </c>
      <c r="B158" s="132" t="s">
        <v>249</v>
      </c>
      <c r="C158" s="132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2"/>
      <c r="AB158" s="132">
        <v>0</v>
      </c>
      <c r="AC158" s="387">
        <v>0</v>
      </c>
    </row>
    <row r="159" spans="1:29" x14ac:dyDescent="0.25">
      <c r="A159" s="131" t="s">
        <v>123</v>
      </c>
      <c r="B159" s="132" t="s">
        <v>168</v>
      </c>
      <c r="C159" s="132">
        <v>3</v>
      </c>
      <c r="D159" s="18"/>
      <c r="E159" s="18"/>
      <c r="F159" s="18">
        <v>1</v>
      </c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>
        <v>2</v>
      </c>
      <c r="U159" s="18"/>
      <c r="V159" s="18"/>
      <c r="W159" s="18"/>
      <c r="X159" s="18"/>
      <c r="Y159" s="18"/>
      <c r="Z159" s="18"/>
      <c r="AA159" s="132"/>
      <c r="AB159" s="132">
        <v>3</v>
      </c>
      <c r="AC159" s="387">
        <v>0</v>
      </c>
    </row>
    <row r="160" spans="1:29" x14ac:dyDescent="0.25">
      <c r="A160" s="131" t="s">
        <v>124</v>
      </c>
      <c r="B160" s="132" t="s">
        <v>169</v>
      </c>
      <c r="C160" s="132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>
        <v>1</v>
      </c>
      <c r="W160" s="18"/>
      <c r="X160" s="18"/>
      <c r="Y160" s="18"/>
      <c r="Z160" s="18"/>
      <c r="AA160" s="132"/>
      <c r="AB160" s="132">
        <v>1</v>
      </c>
      <c r="AC160" s="387">
        <v>0</v>
      </c>
    </row>
    <row r="161" spans="1:29" x14ac:dyDescent="0.25">
      <c r="A161" s="131" t="s">
        <v>237</v>
      </c>
      <c r="B161" s="132" t="s">
        <v>238</v>
      </c>
      <c r="C161" s="132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/>
      <c r="S161" s="18">
        <v>7</v>
      </c>
      <c r="T161" s="18"/>
      <c r="U161" s="18"/>
      <c r="V161" s="18"/>
      <c r="W161" s="18"/>
      <c r="X161" s="18"/>
      <c r="Y161" s="18"/>
      <c r="Z161" s="18"/>
      <c r="AA161" s="132"/>
      <c r="AB161" s="132">
        <v>9</v>
      </c>
      <c r="AC161" s="387">
        <v>0</v>
      </c>
    </row>
    <row r="162" spans="1:29" x14ac:dyDescent="0.25">
      <c r="A162" s="131" t="s">
        <v>62</v>
      </c>
      <c r="B162" s="132" t="s">
        <v>69</v>
      </c>
      <c r="C162" s="132">
        <v>2</v>
      </c>
      <c r="D162" s="18"/>
      <c r="E162" s="18"/>
      <c r="F162" s="18"/>
      <c r="G162" s="18"/>
      <c r="H162" s="18">
        <v>2</v>
      </c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2"/>
      <c r="AB162" s="132">
        <v>2</v>
      </c>
      <c r="AC162" s="387">
        <v>0</v>
      </c>
    </row>
    <row r="163" spans="1:29" x14ac:dyDescent="0.25">
      <c r="A163" s="131" t="s">
        <v>84</v>
      </c>
      <c r="B163" s="132" t="s">
        <v>182</v>
      </c>
      <c r="C163" s="132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4</v>
      </c>
      <c r="Q163" s="18"/>
      <c r="R163" s="18"/>
      <c r="S163" s="18"/>
      <c r="T163" s="18"/>
      <c r="U163" s="18"/>
      <c r="V163" s="18">
        <v>2</v>
      </c>
      <c r="W163" s="18"/>
      <c r="X163" s="18"/>
      <c r="Y163" s="18"/>
      <c r="Z163" s="18"/>
      <c r="AA163" s="132"/>
      <c r="AB163" s="132">
        <v>6</v>
      </c>
      <c r="AC163" s="387">
        <v>0</v>
      </c>
    </row>
    <row r="164" spans="1:29" x14ac:dyDescent="0.25">
      <c r="A164" s="131"/>
      <c r="B164" s="132"/>
      <c r="C164" s="132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2"/>
      <c r="AB164" s="132"/>
      <c r="AC164" s="387"/>
    </row>
    <row r="165" spans="1:29" x14ac:dyDescent="0.25">
      <c r="A165" s="131"/>
      <c r="B165" s="137" t="s">
        <v>308</v>
      </c>
      <c r="C165" s="132">
        <v>238</v>
      </c>
      <c r="D165" s="18">
        <v>0</v>
      </c>
      <c r="E165" s="18">
        <v>8</v>
      </c>
      <c r="F165" s="18">
        <v>9</v>
      </c>
      <c r="G165" s="18">
        <v>11</v>
      </c>
      <c r="H165" s="18">
        <v>17</v>
      </c>
      <c r="I165" s="18">
        <v>37</v>
      </c>
      <c r="J165" s="18">
        <v>0</v>
      </c>
      <c r="K165" s="18">
        <v>0</v>
      </c>
      <c r="L165" s="18">
        <v>15</v>
      </c>
      <c r="M165" s="18">
        <v>2</v>
      </c>
      <c r="N165" s="18">
        <v>0</v>
      </c>
      <c r="O165" s="18">
        <v>0</v>
      </c>
      <c r="P165" s="18">
        <v>12</v>
      </c>
      <c r="Q165" s="18">
        <v>9</v>
      </c>
      <c r="R165" s="18">
        <v>7</v>
      </c>
      <c r="S165" s="18">
        <v>17</v>
      </c>
      <c r="T165" s="18">
        <v>6</v>
      </c>
      <c r="U165" s="18">
        <v>15</v>
      </c>
      <c r="V165" s="18">
        <v>16</v>
      </c>
      <c r="W165" s="18">
        <v>27</v>
      </c>
      <c r="X165" s="18">
        <v>0</v>
      </c>
      <c r="Y165" s="18">
        <v>16</v>
      </c>
      <c r="Z165" s="18">
        <v>7</v>
      </c>
      <c r="AA165" s="132">
        <v>7</v>
      </c>
      <c r="AB165" s="132">
        <v>238</v>
      </c>
      <c r="AC165" s="387">
        <v>0</v>
      </c>
    </row>
    <row r="166" spans="1:29" x14ac:dyDescent="0.25">
      <c r="A166" s="131"/>
      <c r="B166" s="132"/>
      <c r="C166" s="132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2"/>
      <c r="AB166" s="132"/>
      <c r="AC166" s="387"/>
    </row>
    <row r="167" spans="1:29" ht="13.8" thickBot="1" x14ac:dyDescent="0.3">
      <c r="A167" s="138"/>
      <c r="B167" s="139" t="s">
        <v>309</v>
      </c>
      <c r="C167" s="140">
        <v>348</v>
      </c>
      <c r="D167" s="141">
        <v>0</v>
      </c>
      <c r="E167" s="141">
        <v>16</v>
      </c>
      <c r="F167" s="141">
        <v>9</v>
      </c>
      <c r="G167" s="141">
        <v>17</v>
      </c>
      <c r="H167" s="141">
        <v>29</v>
      </c>
      <c r="I167" s="141">
        <v>41</v>
      </c>
      <c r="J167" s="141">
        <v>22</v>
      </c>
      <c r="K167" s="141">
        <v>16</v>
      </c>
      <c r="L167" s="141">
        <v>15</v>
      </c>
      <c r="M167" s="141">
        <v>4</v>
      </c>
      <c r="N167" s="141">
        <v>0</v>
      </c>
      <c r="O167" s="141">
        <v>10</v>
      </c>
      <c r="P167" s="141">
        <v>12</v>
      </c>
      <c r="Q167" s="141">
        <v>9</v>
      </c>
      <c r="R167" s="141">
        <v>16</v>
      </c>
      <c r="S167" s="141">
        <v>17</v>
      </c>
      <c r="T167" s="141">
        <v>7</v>
      </c>
      <c r="U167" s="141">
        <v>31</v>
      </c>
      <c r="V167" s="141">
        <v>18</v>
      </c>
      <c r="W167" s="141">
        <v>28</v>
      </c>
      <c r="X167" s="141">
        <v>0</v>
      </c>
      <c r="Y167" s="141">
        <v>16</v>
      </c>
      <c r="Z167" s="141">
        <v>7</v>
      </c>
      <c r="AA167" s="140">
        <v>8</v>
      </c>
      <c r="AB167" s="140">
        <v>348</v>
      </c>
      <c r="AC167" s="389">
        <v>0</v>
      </c>
    </row>
    <row r="168" spans="1:29" x14ac:dyDescent="0.25">
      <c r="A168" s="127"/>
      <c r="B168" s="142"/>
      <c r="C168" s="142"/>
      <c r="D168" s="143"/>
      <c r="E168" s="143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2"/>
      <c r="AB168" s="142"/>
      <c r="AC168" s="390"/>
    </row>
    <row r="169" spans="1:29" x14ac:dyDescent="0.25">
      <c r="A169" s="131"/>
      <c r="B169" s="137" t="s">
        <v>310</v>
      </c>
      <c r="C169" s="132">
        <v>714</v>
      </c>
      <c r="D169" s="18">
        <v>0</v>
      </c>
      <c r="E169" s="18">
        <v>35</v>
      </c>
      <c r="F169" s="18">
        <v>17</v>
      </c>
      <c r="G169" s="18">
        <v>33</v>
      </c>
      <c r="H169" s="18">
        <v>51</v>
      </c>
      <c r="I169" s="18">
        <v>69</v>
      </c>
      <c r="J169" s="18">
        <v>42</v>
      </c>
      <c r="K169" s="18">
        <v>32</v>
      </c>
      <c r="L169" s="18">
        <v>31</v>
      </c>
      <c r="M169" s="18">
        <v>18</v>
      </c>
      <c r="N169" s="18">
        <v>0</v>
      </c>
      <c r="O169" s="18">
        <v>26</v>
      </c>
      <c r="P169" s="18">
        <v>32</v>
      </c>
      <c r="Q169" s="18">
        <v>18</v>
      </c>
      <c r="R169" s="18">
        <v>35</v>
      </c>
      <c r="S169" s="18">
        <v>35</v>
      </c>
      <c r="T169" s="18">
        <v>17</v>
      </c>
      <c r="U169" s="18">
        <v>51</v>
      </c>
      <c r="V169" s="18">
        <v>32</v>
      </c>
      <c r="W169" s="18">
        <v>51</v>
      </c>
      <c r="X169" s="18">
        <v>0</v>
      </c>
      <c r="Y169" s="18">
        <v>35</v>
      </c>
      <c r="Z169" s="18">
        <v>35</v>
      </c>
      <c r="AA169" s="132">
        <v>17</v>
      </c>
      <c r="AB169" s="132">
        <v>712</v>
      </c>
      <c r="AC169" s="387">
        <v>-2</v>
      </c>
    </row>
    <row r="170" spans="1:29" x14ac:dyDescent="0.25">
      <c r="A170" s="131"/>
      <c r="B170" s="137" t="s">
        <v>311</v>
      </c>
      <c r="C170" s="132"/>
      <c r="D170" s="18">
        <v>0</v>
      </c>
      <c r="E170" s="18">
        <v>2</v>
      </c>
      <c r="F170" s="18">
        <v>1</v>
      </c>
      <c r="G170" s="18">
        <v>2</v>
      </c>
      <c r="H170" s="18">
        <v>3</v>
      </c>
      <c r="I170" s="18">
        <v>4</v>
      </c>
      <c r="J170" s="18">
        <v>2</v>
      </c>
      <c r="K170" s="18">
        <v>2</v>
      </c>
      <c r="L170" s="18">
        <v>2</v>
      </c>
      <c r="M170" s="18">
        <v>1</v>
      </c>
      <c r="N170" s="18">
        <v>0</v>
      </c>
      <c r="O170" s="18">
        <v>1</v>
      </c>
      <c r="P170" s="18">
        <v>2</v>
      </c>
      <c r="Q170" s="18">
        <v>1</v>
      </c>
      <c r="R170" s="18">
        <v>2</v>
      </c>
      <c r="S170" s="18">
        <v>2</v>
      </c>
      <c r="T170" s="18">
        <v>1</v>
      </c>
      <c r="U170" s="18">
        <v>3</v>
      </c>
      <c r="V170" s="18">
        <v>2</v>
      </c>
      <c r="W170" s="18">
        <v>3</v>
      </c>
      <c r="X170" s="18">
        <v>0</v>
      </c>
      <c r="Y170" s="18">
        <v>2</v>
      </c>
      <c r="Z170" s="18">
        <v>2</v>
      </c>
      <c r="AA170" s="132">
        <v>1</v>
      </c>
      <c r="AB170" s="132"/>
      <c r="AC170" s="387"/>
    </row>
    <row r="171" spans="1:29" x14ac:dyDescent="0.25">
      <c r="A171" s="131"/>
      <c r="B171" s="137" t="s">
        <v>312</v>
      </c>
      <c r="C171" s="132"/>
      <c r="D171" s="145">
        <v>0</v>
      </c>
      <c r="E171" s="145">
        <v>0.17073170731707421</v>
      </c>
      <c r="F171" s="144">
        <v>-0.41463414634146289</v>
      </c>
      <c r="G171" s="144">
        <v>-1.8292682926829258</v>
      </c>
      <c r="H171" s="144">
        <v>-1.2439024390243887</v>
      </c>
      <c r="I171" s="144">
        <v>-0.65853658536585158</v>
      </c>
      <c r="J171" s="145">
        <v>7.1707317073170742</v>
      </c>
      <c r="K171" s="144">
        <v>-2.8292682926829258</v>
      </c>
      <c r="L171" s="144">
        <v>-3.8292682926829258</v>
      </c>
      <c r="M171" s="145">
        <v>0.58536585365853711</v>
      </c>
      <c r="N171" s="145">
        <v>0</v>
      </c>
      <c r="O171" s="145">
        <v>8.5853658536585371</v>
      </c>
      <c r="P171" s="144">
        <v>-2.8292682926829258</v>
      </c>
      <c r="Q171" s="145">
        <v>0.58536585365853711</v>
      </c>
      <c r="R171" s="145">
        <v>0.17073170731707421</v>
      </c>
      <c r="S171" s="145">
        <v>0.17073170731707421</v>
      </c>
      <c r="T171" s="144">
        <v>-0.41463414634146289</v>
      </c>
      <c r="U171" s="144">
        <v>-1.2439024390243887</v>
      </c>
      <c r="V171" s="144">
        <v>-2.8292682926829258</v>
      </c>
      <c r="W171" s="144">
        <v>-1.2439024390243887</v>
      </c>
      <c r="X171" s="145">
        <v>0</v>
      </c>
      <c r="Y171" s="145">
        <v>0.17073170731707421</v>
      </c>
      <c r="Z171" s="145">
        <v>0.17073170731707421</v>
      </c>
      <c r="AA171" s="391">
        <v>-0.41463414634146289</v>
      </c>
      <c r="AB171" s="132"/>
      <c r="AC171" s="387"/>
    </row>
    <row r="172" spans="1:29" x14ac:dyDescent="0.25">
      <c r="A172" s="131"/>
      <c r="B172" s="132"/>
      <c r="C172" s="132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2"/>
      <c r="AB172" s="132"/>
      <c r="AC172" s="387"/>
    </row>
    <row r="173" spans="1:29" x14ac:dyDescent="0.25">
      <c r="A173" s="131"/>
      <c r="B173" s="132"/>
      <c r="C173" s="132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2"/>
      <c r="AB173" s="132"/>
      <c r="AC173" s="387"/>
    </row>
    <row r="174" spans="1:29" x14ac:dyDescent="0.25">
      <c r="A174" s="131"/>
      <c r="B174" s="137" t="s">
        <v>313</v>
      </c>
      <c r="C174" s="132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2"/>
      <c r="AB174" s="132"/>
      <c r="AC174" s="387"/>
    </row>
    <row r="175" spans="1:29" x14ac:dyDescent="0.25">
      <c r="A175" s="131"/>
      <c r="B175" s="137" t="s">
        <v>314</v>
      </c>
      <c r="C175" s="132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2"/>
      <c r="AB175" s="132"/>
      <c r="AC175" s="387"/>
    </row>
    <row r="176" spans="1:29" ht="13.8" thickBot="1" x14ac:dyDescent="0.3">
      <c r="A176" s="133"/>
      <c r="B176" s="146" t="s">
        <v>129</v>
      </c>
      <c r="C176" s="135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5"/>
      <c r="AB176" s="135"/>
      <c r="AC176" s="38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220980</xdr:colOff>
                <xdr:row>2</xdr:row>
                <xdr:rowOff>114300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198120</xdr:colOff>
                <xdr:row>2</xdr:row>
                <xdr:rowOff>137160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220980</xdr:colOff>
                <xdr:row>2</xdr:row>
                <xdr:rowOff>121920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167640</xdr:colOff>
                <xdr:row>2</xdr:row>
                <xdr:rowOff>129540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121920</xdr:colOff>
                <xdr:row>2</xdr:row>
                <xdr:rowOff>121920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2026-07-19T18:43:29Z</cp:lastPrinted>
  <dcterms:created xsi:type="dcterms:W3CDTF">2005-10-16T17:50:13Z</dcterms:created>
  <dcterms:modified xsi:type="dcterms:W3CDTF">2026-07-19T18:43:46Z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