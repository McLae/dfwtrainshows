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B5E53EE8-03D1-4185-A4CD-42DAA5B04D6E}" xr6:coauthVersionLast="47" xr6:coauthVersionMax="47" xr10:uidLastSave="{00000000-0000-0000-0000-000000000000}"/>
  <bookViews>
    <workbookView xWindow="-120" yWindow="-120" windowWidth="29040" windowHeight="1572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<sst xmlns="http://schemas.openxmlformats.org/spreadsheetml/2006/main" count="1940" uniqueCount="356">
  <si>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</si>
  <si>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</si>
  <si>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</si>
  <si>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</si>
  <si>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</si>
  <si>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</si>
  <si>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</si>
  <si>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</si>
  <si>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</si>
  <si>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</si>
  <si>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</si>
  <si>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</si>
  <si>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</si>
  <si>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</si>
  <si>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</si>
  <si>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</si>
  <si>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</si>
  <si>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</si>
  <si>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</si>
  <si>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</si>
  <si>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</si>
  <si>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</si>
  <si>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</si>
  <si>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</si>
  <si>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</si>
  <si>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</si>
  <si>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</si>
  <si>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</si>
  <si>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</si>
  <si>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</si>
  <si>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</si>
  <si>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</si>
  <si>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</si>
  <si>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</si>
  <si>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</si>
  <si>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</si>
  <si>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</si>
  <si>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</si>
  <si>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</si>
  <si>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</si>
  <si>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</si>
  <si>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</si>
  <si>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</si>
  <si>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</si>
  <si>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</si>
  <si>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</si>
  <si>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</si>
  <si>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</si>
  <si>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</si>
  <si>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</si>
  <si>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</si>
  <si>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</si>
  <si>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</si>
  <si>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</si>
  <si>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</si>
  <si>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</si>
  <si>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</si>
  <si>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</si>
  <si>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</si>
  <si>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</si>
  <si>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</si>
  <si>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</si>
  <si>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</si>
  <si>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</si>
  <si>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</si>
  <si>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</si>
  <si>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</si>
  <si>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</si>
  <si>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</si>
  <si>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</si>
  <si>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</si>
  <si>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</si>
  <si>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</si>
  <si>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</si>
  <si>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</si>
  <si>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</si>
  <si>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</si>
  <si>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</si>
  <si>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</si>
  <si>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</si>
  <si>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</si>
  <si>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</si>
  <si>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</si>
  <si>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</si>
  <si>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</si>
  <si>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</si>
  <si>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</si>
  <si>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</si>
  <si>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</si>
  <si>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</si>
  <si>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</si>
  <si>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</si>
  <si>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</si>
  <si>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</si>
  <si>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</si>
  <si>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</si>
  <si>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</si>
  <si>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</si>
  <si>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</si>
  <si>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</si>
  <si>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</si>
  <si>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</si>
  <si>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</si>
  <si>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</si>
  <si>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</si>
  <si>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</si>
  <si>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</si>
  <si>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</si>
  <si>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</si>
  <si>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</si>
  <si>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</si>
  <si>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</si>
  <si>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</si>
  <si>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</si>
  <si>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</si>
  <si>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</si>
  <si>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</si>
  <si>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</si>
  <si>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</si>
  <si>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</si>
  <si>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</si>
  <si>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</si>
  <si>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</si>
  <si>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</si>
  <si>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</si>
  <si>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</si>
  <si>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</si>
  <si>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</si>
  <si>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</si>
  <si>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</si>
  <si>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</si>
  <si>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</si>
  <si>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</si>
  <si>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</si>
  <si>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</si>
  <si>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</si>
  <si>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</si>
  <si>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</si>
  <si>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</si>
  <si>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</si>
  <si>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</si>
  <si>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</si>
  <si>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</si>
  <si>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</si>
  <si>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</si>
  <si>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</si>
  <si>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</si>
  <si>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</si>
  <si>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</si>
  <si>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</si>
  <si>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</si>
  <si>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</si>
  <si>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</si>
  <si>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</si>
  <si>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</si>
  <si>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</si>
  <si>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</si>
  <si>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</si>
  <si>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</si>
  <si>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</si>
  <si>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</si>
  <si>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</si>
  <si>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</si>
  <si>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</si>
  <si>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</si>
  <si>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</si>
  <si>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</si>
  <si>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</si>
  <si>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</si>
  <si>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</si>
  <si>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</si>
  <si>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</si>
  <si>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</si>
  <si>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</si>
  <si>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</si>
  <si>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</si>
  <si>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</si>
  <si>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</si>
  <si>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</si>
  <si>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</si>
  <si>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</si>
  <si>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</si>
  <si>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</si>
  <si>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</si>
  <si>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</si>
  <si>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</si>
  <si>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</si>
  <si>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</si>
  <si>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</si>
  <si>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</si>
  <si>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</si>
  <si>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</si>
  <si>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</si>
  <si>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</si>
  <si>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</si>
  <si>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</si>
  <si>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</si>
  <si>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</si>
  <si>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</si>
  <si>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</si>
  <si>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</si>
  <si>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</si>
  <si>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</si>
  <si>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</si>
  <si>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</si>
  <si>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</si>
  <si>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</si>
  <si>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</si>
  <si>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</si>
  <si>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</si>
  <si>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</si>
  <si>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</si>
  <si>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</si>
  <si>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</si>
  <si>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</si>
  <si>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</si>
  <si>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</si>
  <si>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</si>
  <si>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</si>
  <si>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</si>
  <si>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</si>
  <si>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</si>
  <si>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</si>
  <si>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</si>
  <si>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</si>
  <si>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</si>
  <si>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</si>
  <si>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</si>
  <si>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</si>
  <si>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</si>
  <si>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</si>
  <si>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</si>
  <si>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</si>
  <si>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</si>
  <si>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</si>
  <si>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</si>
  <si>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</si>
  <si>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</si>
  <si>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</si>
  <si>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</si>
  <si>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</si>
  <si>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</si>
  <si>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</si>
  <si>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</si>
  <si>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</si>
  <si>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</si>
  <si>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</si>
  <si>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</si>
  <si>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</si>
  <si>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</si>
  <si>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</si>
  <si>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</si>
  <si>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</si>
  <si>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</si>
  <si>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</si>
  <si>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</si>
  <si>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</si>
  <si>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</si>
  <si>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</si>
  <si>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</si>
  <si>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</si>
  <si>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</si>
  <si>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</si>
  <si>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</si>
  <si>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</si>
  <si>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</si>
  <si>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</si>
  <si>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</si>
  <si>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</si>
  <si>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</si>
  <si>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</si>
  <si>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</si>
  <si>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</si>
  <si>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</si>
  <si>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</si>
  <si>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</si>
  <si>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</si>
  <si>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</si>
  <si>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</si>
  <si>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</si>
  <si>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</si>
  <si>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</si>
  <si>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</si>
  <si>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</si>
  <si>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</si>
  <si>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</si>
  <si>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</si>
  <si>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</si>
  <si>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</si>
  <si>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</si>
  <si>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</si>
  <si>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</si>
  <si>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</si>
  <si>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</si>
  <si>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</si>
  <si>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</si>
  <si>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</si>
  <si>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</si>
  <si>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</si>
  <si>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</si>
  <si>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</si>
  <si>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</si>
  <si>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</si>
  <si>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</si>
  <si>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</si>
  <si>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</si>
  <si>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</si>
  <si>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</si>
  <si>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</si>
  <si>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</si>
  <si>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</si>
  <si>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</si>
  <si>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</si>
  <si>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</si>
  <si>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</si>
  <si>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</si>
  <si>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</si>
  <si>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</si>
  <si>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</si>
  <si>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</si>
  <si>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</si>
  <si>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</si>
  <si>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</si>
  <si>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</si>
  <si>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</si>
  <si>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</si>
  <si>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</si>
  <si>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</si>
  <si>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</si>
  <si>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</si>
  <si>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</si>
  <si>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</si>
  <si>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</si>
  <si>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</si>
  <si>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</si>
  <si>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</si>
  <si>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</si>
  <si>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</si>
  <si>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</si>
  <si>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</si>
  <si>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</si>
  <si>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</si>
  <si>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</si>
  <si>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</si>
  <si>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</si>
  <si>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</si>
  <si>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</si>
  <si>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</si>
  <si>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</si>
  <si>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</si>
  <si>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</si>
  <si>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</si>
  <si>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</si>
  <si>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</si>
  <si>
    <t>Lone Star Hi-Railers</t>
  </si>
  <si>
    <t>2025/26 Show Season (final)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</si>
</sst>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8" borderId="0" xfId="0" applyFont="1" applyFill="1" applyProtection="1">
      <protection locked="0"/>
    </xf>
    <xf numFmtId="0" fontId="8" fillId="19" borderId="0" xfId="0" applyFont="1" applyFill="1"/>
    <xf numFmtId="0" fontId="8" fillId="19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18" borderId="0" xfId="0" applyFont="1" applyFill="1"/>
    <xf numFmtId="0" fontId="8" fillId="20" borderId="0" xfId="0" applyFont="1" applyFill="1" applyProtection="1">
      <protection locked="0"/>
    </xf>
    <xf numFmtId="0" fontId="8" fillId="19" borderId="0" xfId="0" applyFont="1" applyFill="1" applyProtection="1">
      <protection locked="0"/>
    </xf>
    <xf numFmtId="0" fontId="8" fillId="18" borderId="18" xfId="0" applyFont="1" applyFill="1" applyBorder="1" applyProtection="1">
      <protection locked="0"/>
    </xf>
    <xf numFmtId="0" fontId="8" fillId="18" borderId="11" xfId="0" applyFont="1" applyFill="1" applyBorder="1"/>
    <xf numFmtId="0" fontId="8" fillId="19" borderId="11" xfId="0" applyFont="1" applyFill="1" applyBorder="1"/>
    <xf numFmtId="0" fontId="8" fillId="21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20" borderId="18" xfId="0" applyFont="1" applyFill="1" applyBorder="1" applyProtection="1">
      <protection locked="0"/>
    </xf>
    <xf numFmtId="0" fontId="8" fillId="21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1" borderId="0" xfId="0" applyFont="1" applyFill="1" applyProtection="1">
      <protection locked="0"/>
    </xf>
    <xf numFmtId="0" fontId="8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8" fillId="20" borderId="11" xfId="0" applyFont="1" applyFill="1" applyBorder="1" applyProtection="1">
      <protection locked="0"/>
    </xf>
    <xf numFmtId="0" fontId="8" fillId="27" borderId="11" xfId="0" applyFont="1" applyFill="1" applyBorder="1" applyProtection="1">
      <protection locked="0"/>
    </xf>
    <xf numFmtId="0" fontId="8" fillId="28" borderId="11" xfId="0" applyFont="1" applyFill="1" applyBorder="1"/>
    <xf numFmtId="0" fontId="8" fillId="29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1" borderId="9" xfId="0" applyFont="1" applyFill="1" applyBorder="1"/>
    <xf numFmtId="0" fontId="8" fillId="18" borderId="18" xfId="0" applyFont="1" applyFill="1" applyBorder="1"/>
    <xf numFmtId="0" fontId="8" fillId="27" borderId="0" xfId="0" applyFont="1" applyFill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12" fillId="18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12" fillId="28" borderId="0" xfId="0" applyFont="1" applyFill="1" applyProtection="1">
      <protection locked="0"/>
    </xf>
    <xf numFmtId="0" fontId="8" fillId="27" borderId="0" xfId="0" applyFont="1" applyFill="1"/>
    <xf numFmtId="0" fontId="8" fillId="29" borderId="0" xfId="0" applyFont="1" applyFill="1"/>
    <xf numFmtId="0" fontId="8" fillId="31" borderId="19" xfId="0" applyFont="1" applyFill="1" applyBorder="1" applyProtection="1">
      <protection locked="0"/>
    </xf>
    <xf numFmtId="0" fontId="8" fillId="31" borderId="0" xfId="0" applyFont="1" applyFill="1"/>
    <xf numFmtId="0" fontId="8" fillId="29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0" fontId="8" fillId="27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7" borderId="0" xfId="0" applyFont="1" applyFill="1" applyAlignment="1">
      <alignment horizontal="center" vertical="center"/>
    </xf>
    <xf numFmtId="0" fontId="8" fillId="17" borderId="0" xfId="0" applyFont="1" applyFill="1"/>
    <xf numFmtId="0" fontId="12" fillId="32" borderId="9" xfId="0" applyFont="1" applyFill="1" applyBorder="1" applyAlignment="1">
      <alignment horizontal="center"/>
    </xf>
    <xf numFmtId="0" fontId="8" fillId="33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2" borderId="0" xfId="0" applyFont="1" applyFill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2" borderId="11" xfId="0" applyFont="1" applyFill="1" applyBorder="1"/>
    <xf numFmtId="0" fontId="12" fillId="35" borderId="9" xfId="0" applyFont="1" applyFill="1" applyBorder="1" applyAlignment="1">
      <alignment horizontal="center"/>
    </xf>
    <xf numFmtId="0" fontId="8" fillId="32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2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8" fillId="17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36" borderId="11" xfId="0" applyFont="1" applyFill="1" applyBorder="1" applyAlignment="1" applyProtection="1">
      <alignment horizontal="center"/>
      <protection locked="0"/>
    </xf>
    <xf numFmtId="0" fontId="12" fillId="36" borderId="28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8" fillId="38" borderId="0" xfId="0" applyFont="1" applyFill="1" applyProtection="1">
      <protection locked="0"/>
    </xf>
    <xf numFmtId="0" fontId="8" fillId="9" borderId="18" xfId="0" applyFont="1" applyFill="1" applyBorder="1"/>
    <xf numFmtId="0" fontId="8" fillId="38" borderId="18" xfId="0" applyFont="1" applyFill="1" applyBorder="1" applyProtection="1">
      <protection locked="0"/>
    </xf>
    <xf numFmtId="166" fontId="8" fillId="22" borderId="3" xfId="0" applyNumberFormat="1" applyFont="1" applyFill="1" applyBorder="1" applyAlignment="1">
      <alignment horizontal="right"/>
    </xf>
    <xf numFmtId="0" fontId="12" fillId="38" borderId="18" xfId="0" applyFont="1" applyFill="1" applyBorder="1" applyProtection="1">
      <protection locked="0"/>
    </xf>
    <xf numFmtId="0" fontId="8" fillId="38" borderId="11" xfId="0" applyFont="1" applyFill="1" applyBorder="1" applyProtection="1">
      <protection locked="0"/>
    </xf>
    <xf numFmtId="0" fontId="8" fillId="38" borderId="11" xfId="0" applyFont="1" applyFill="1" applyBorder="1"/>
    <xf numFmtId="166" fontId="26" fillId="22" borderId="3" xfId="0" applyNumberFormat="1" applyFont="1" applyFill="1" applyBorder="1" applyAlignment="1">
      <alignment horizontal="right"/>
    </xf>
    <xf numFmtId="0" fontId="32" fillId="19" borderId="9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39" borderId="11" xfId="0" applyFont="1" applyFill="1" applyBorder="1"/>
    <xf numFmtId="0" fontId="8" fillId="39" borderId="9" xfId="0" applyFont="1" applyFill="1" applyBorder="1" applyAlignment="1">
      <alignment horizontal="center"/>
    </xf>
    <xf numFmtId="0" fontId="8" fillId="8" borderId="0" xfId="0" applyFont="1" applyFill="1" applyProtection="1">
      <protection locked="0"/>
    </xf>
    <xf numFmtId="0" fontId="8" fillId="8" borderId="18" xfId="0" applyFont="1" applyFill="1" applyBorder="1" applyProtection="1">
      <protection locked="0"/>
    </xf>
    <xf numFmtId="0" fontId="30" fillId="8" borderId="13" xfId="0" applyFont="1" applyFill="1" applyBorder="1" applyAlignment="1">
      <alignment horizontal="center"/>
    </xf>
    <xf numFmtId="0" fontId="8" fillId="8" borderId="9" xfId="0" applyFont="1" applyFill="1" applyBorder="1" applyProtection="1">
      <protection locked="0"/>
    </xf>
    <xf numFmtId="0" fontId="8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41" borderId="11" xfId="0" applyFont="1" applyFill="1" applyBorder="1"/>
    <xf numFmtId="0" fontId="8" fillId="41" borderId="11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1" borderId="18" xfId="0" quotePrefix="1" applyFont="1" applyFill="1" applyBorder="1" applyProtection="1">
      <protection locked="0"/>
    </xf>
    <xf numFmtId="0" fontId="8" fillId="28" borderId="0" xfId="0" applyFont="1" applyFill="1"/>
    <xf numFmtId="0" fontId="8" fillId="41" borderId="18" xfId="0" applyFont="1" applyFill="1" applyBorder="1" applyProtection="1">
      <protection locked="0"/>
    </xf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30" fillId="41" borderId="13" xfId="0" applyFont="1" applyFill="1" applyBorder="1" applyAlignment="1">
      <alignment horizontal="center"/>
    </xf>
    <xf numFmtId="0" fontId="12" fillId="40" borderId="18" xfId="0" applyFont="1" applyFill="1" applyBorder="1" applyProtection="1">
      <protection locked="0"/>
    </xf>
    <xf numFmtId="0" fontId="8" fillId="41" borderId="18" xfId="0" applyFont="1" applyFill="1" applyBorder="1"/>
    <xf numFmtId="0" fontId="8" fillId="28" borderId="19" xfId="0" applyFont="1" applyFill="1" applyBorder="1" applyProtection="1">
      <protection locked="0"/>
    </xf>
    <xf numFmtId="0" fontId="8" fillId="28" borderId="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42" borderId="21" xfId="0" applyFont="1" applyFill="1" applyBorder="1" applyProtection="1">
      <protection locked="0"/>
    </xf>
    <xf numFmtId="0" fontId="8" fillId="41" borderId="0" xfId="0" applyFont="1" applyFill="1" applyProtection="1">
      <protection locked="0"/>
    </xf>
    <xf numFmtId="0" fontId="8" fillId="40" borderId="19" xfId="0" applyFont="1" applyFill="1" applyBorder="1" applyProtection="1">
      <protection locked="0"/>
    </xf>
    <xf numFmtId="0" fontId="8" fillId="41" borderId="20" xfId="0" applyFont="1" applyFill="1" applyBorder="1" applyProtection="1">
      <protection locked="0"/>
    </xf>
    <xf numFmtId="0" fontId="8" fillId="41" borderId="21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4" zoomScaleNormal="100" workbookViewId="0">
      <selection activeCell="B11" sqref="B11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4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7"/>
      <c r="K1" s="2"/>
    </row>
    <row r="2" spans="1:18" ht="18" x14ac:dyDescent="0.25">
      <c r="A2" s="371" t="s">
        <v>71</v>
      </c>
      <c r="B2" s="372"/>
      <c r="C2" s="372"/>
      <c r="D2" s="373"/>
      <c r="E2" s="82"/>
      <c r="F2" s="88"/>
      <c r="G2" s="168"/>
      <c r="H2" s="13"/>
    </row>
    <row r="3" spans="1:18" ht="18" x14ac:dyDescent="0.25">
      <c r="A3" s="371"/>
      <c r="B3" s="372"/>
      <c r="C3" s="372"/>
      <c r="D3" s="373"/>
      <c r="E3" s="82"/>
      <c r="F3" s="88"/>
      <c r="G3" s="168"/>
      <c r="H3" s="13"/>
      <c r="I3" t="s">
        <v>267</v>
      </c>
    </row>
    <row r="4" spans="1:18" ht="18" x14ac:dyDescent="0.25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2025/26 Show Season (final)</v>
      </c>
      <c r="C5" s="139" t="s">
        <v>325</v>
      </c>
      <c r="D5" s="102"/>
      <c r="E5" s="103"/>
      <c r="F5" s="104"/>
      <c r="G5" s="169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74" t="s">
        <v>355</v>
      </c>
      <c r="J6" s="374"/>
      <c r="K6" s="374"/>
      <c r="L6" s="375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8" x14ac:dyDescent="0.25">
      <c r="A8" s="252" t="s">
        <v>216</v>
      </c>
      <c r="B8" s="220" t="s">
        <v>217</v>
      </c>
      <c r="C8" s="328">
        <v>0</v>
      </c>
      <c r="D8" s="221">
        <v>1</v>
      </c>
      <c r="E8" s="329">
        <v>0</v>
      </c>
      <c r="F8" s="222">
        <v>0</v>
      </c>
      <c r="G8" s="223" t="s">
        <v>240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8" x14ac:dyDescent="0.25">
      <c r="A9" s="253" t="s">
        <v>16</v>
      </c>
      <c r="B9" s="107" t="s">
        <v>149</v>
      </c>
      <c r="C9" s="228">
        <v>2</v>
      </c>
      <c r="D9" s="221">
        <v>2</v>
      </c>
      <c r="E9" s="105">
        <v>35</v>
      </c>
      <c r="F9" s="134">
        <v>0.17073170731707421</v>
      </c>
      <c r="G9" s="229" t="s">
        <v>198</v>
      </c>
      <c r="H9" s="199" t="s">
        <v>205</v>
      </c>
      <c r="I9" s="199"/>
      <c r="J9" s="199"/>
      <c r="K9" s="200"/>
      <c r="L9" s="199"/>
      <c r="M9" s="224"/>
      <c r="N9" s="199"/>
      <c r="O9" s="199"/>
      <c r="P9" s="199"/>
      <c r="Q9" s="199"/>
      <c r="R9" s="199"/>
    </row>
    <row r="10" spans="1:18" ht="18" x14ac:dyDescent="0.25">
      <c r="A10" s="254" t="s">
        <v>75</v>
      </c>
      <c r="B10" s="107" t="s">
        <v>76</v>
      </c>
      <c r="C10" s="152">
        <v>1</v>
      </c>
      <c r="D10" s="221">
        <v>3</v>
      </c>
      <c r="E10" s="105">
        <v>17</v>
      </c>
      <c r="F10" s="133">
        <v>-0.41463414634146289</v>
      </c>
      <c r="G10" s="172" t="s">
        <v>333</v>
      </c>
      <c r="H10" s="135" t="s">
        <v>296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8" x14ac:dyDescent="0.25">
      <c r="A11" s="299" t="s">
        <v>12</v>
      </c>
      <c r="B11" s="107" t="s">
        <v>77</v>
      </c>
      <c r="C11" s="321">
        <v>2</v>
      </c>
      <c r="D11" s="221">
        <v>4</v>
      </c>
      <c r="E11" s="105">
        <v>33</v>
      </c>
      <c r="F11" s="133">
        <v>-1.8292682926829258</v>
      </c>
      <c r="G11" s="172" t="s">
        <v>326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8" x14ac:dyDescent="0.25">
      <c r="A12" s="349" t="s">
        <v>32</v>
      </c>
      <c r="B12" s="107" t="s">
        <v>78</v>
      </c>
      <c r="C12" s="322">
        <v>3</v>
      </c>
      <c r="D12" s="221">
        <v>5</v>
      </c>
      <c r="E12" s="105">
        <v>52</v>
      </c>
      <c r="F12" s="133">
        <v>-0.24390243902438868</v>
      </c>
      <c r="G12" s="172" t="s">
        <v>220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8" x14ac:dyDescent="0.25">
      <c r="A13" s="340" t="s">
        <v>320</v>
      </c>
      <c r="B13" s="142" t="s">
        <v>354</v>
      </c>
      <c r="C13" s="322">
        <v>3</v>
      </c>
      <c r="D13" s="221">
        <v>6</v>
      </c>
      <c r="E13" s="105">
        <v>51</v>
      </c>
      <c r="F13" s="133">
        <v>-1.2439024390243887</v>
      </c>
      <c r="G13" s="172" t="s">
        <v>319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8" x14ac:dyDescent="0.25">
      <c r="A14" s="255" t="s">
        <v>25</v>
      </c>
      <c r="B14" s="107" t="s">
        <v>79</v>
      </c>
      <c r="C14" s="321">
        <v>2</v>
      </c>
      <c r="D14" s="221">
        <v>7</v>
      </c>
      <c r="E14" s="105">
        <v>42</v>
      </c>
      <c r="F14" s="334">
        <v>7.1707317073170742</v>
      </c>
      <c r="G14" s="172" t="s">
        <v>327</v>
      </c>
      <c r="H14" s="204" t="s">
        <v>243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8" x14ac:dyDescent="0.25">
      <c r="A15" s="316" t="s">
        <v>81</v>
      </c>
      <c r="B15" s="112" t="s">
        <v>82</v>
      </c>
      <c r="C15" s="321">
        <v>2</v>
      </c>
      <c r="D15" s="221">
        <v>8</v>
      </c>
      <c r="E15" s="105">
        <v>32</v>
      </c>
      <c r="F15" s="338">
        <v>-2.8292682926829258</v>
      </c>
      <c r="G15" s="172" t="s">
        <v>215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8" x14ac:dyDescent="0.25">
      <c r="A16" s="163" t="s">
        <v>80</v>
      </c>
      <c r="B16" s="107" t="s">
        <v>147</v>
      </c>
      <c r="C16" s="321">
        <v>2</v>
      </c>
      <c r="D16" s="221">
        <v>9</v>
      </c>
      <c r="E16" s="105">
        <v>31</v>
      </c>
      <c r="F16" s="133">
        <v>-3.8292682926829258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8" x14ac:dyDescent="0.25">
      <c r="A17" s="308" t="s">
        <v>218</v>
      </c>
      <c r="B17" s="142" t="s">
        <v>219</v>
      </c>
      <c r="C17" s="152">
        <v>1</v>
      </c>
      <c r="D17" s="221">
        <v>10</v>
      </c>
      <c r="E17" s="105">
        <v>18</v>
      </c>
      <c r="F17" s="324">
        <v>0.58536585365853711</v>
      </c>
      <c r="G17" s="172" t="s">
        <v>242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8" x14ac:dyDescent="0.25">
      <c r="A18" s="252" t="s">
        <v>344</v>
      </c>
      <c r="B18" s="325" t="s">
        <v>345</v>
      </c>
      <c r="C18" s="328">
        <v>0</v>
      </c>
      <c r="D18" s="221">
        <v>11</v>
      </c>
      <c r="E18" s="329">
        <v>0</v>
      </c>
      <c r="F18" s="324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8" x14ac:dyDescent="0.25">
      <c r="A19" s="256" t="s">
        <v>144</v>
      </c>
      <c r="B19" s="107" t="s">
        <v>145</v>
      </c>
      <c r="C19" s="152">
        <v>1</v>
      </c>
      <c r="D19" s="221">
        <v>12</v>
      </c>
      <c r="E19" s="105">
        <v>26</v>
      </c>
      <c r="F19" s="334">
        <v>8.5853658536585371</v>
      </c>
      <c r="G19" s="172" t="s">
        <v>318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8" x14ac:dyDescent="0.25">
      <c r="A20" s="348" t="s">
        <v>20</v>
      </c>
      <c r="B20" s="107" t="s">
        <v>146</v>
      </c>
      <c r="C20" s="321">
        <v>2</v>
      </c>
      <c r="D20" s="221">
        <v>13</v>
      </c>
      <c r="E20" s="105">
        <v>33</v>
      </c>
      <c r="F20" s="133">
        <v>-1.8292682926829258</v>
      </c>
      <c r="G20" s="172" t="s">
        <v>214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8" x14ac:dyDescent="0.25">
      <c r="A21" s="258" t="s">
        <v>83</v>
      </c>
      <c r="B21" s="142" t="s">
        <v>304</v>
      </c>
      <c r="C21" s="321">
        <v>2</v>
      </c>
      <c r="D21" s="221">
        <v>14</v>
      </c>
      <c r="E21" s="105">
        <v>34</v>
      </c>
      <c r="F21" s="133">
        <v>-0.82926829268292579</v>
      </c>
      <c r="G21" s="172" t="s">
        <v>245</v>
      </c>
      <c r="H21" s="135" t="s">
        <v>266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6.25" x14ac:dyDescent="0.25">
      <c r="A22" s="236" t="s">
        <v>253</v>
      </c>
      <c r="B22" s="142" t="s">
        <v>252</v>
      </c>
      <c r="C22" s="321">
        <v>2</v>
      </c>
      <c r="D22" s="221">
        <v>15</v>
      </c>
      <c r="E22" s="105">
        <v>35</v>
      </c>
      <c r="F22" s="134">
        <v>0.17073170731707421</v>
      </c>
      <c r="G22" s="172" t="s">
        <v>255</v>
      </c>
      <c r="H22" s="203" t="s">
        <v>256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8" x14ac:dyDescent="0.25">
      <c r="A23" s="164" t="s">
        <v>88</v>
      </c>
      <c r="B23" s="107" t="s">
        <v>89</v>
      </c>
      <c r="C23" s="321">
        <v>2</v>
      </c>
      <c r="D23" s="221">
        <v>16</v>
      </c>
      <c r="E23" s="105">
        <v>35</v>
      </c>
      <c r="F23" s="134">
        <v>0.17073170731707421</v>
      </c>
      <c r="G23" s="172" t="s">
        <v>244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8" x14ac:dyDescent="0.25">
      <c r="A24" s="257" t="s">
        <v>84</v>
      </c>
      <c r="B24" s="107" t="s">
        <v>148</v>
      </c>
      <c r="C24" s="152">
        <v>1</v>
      </c>
      <c r="D24" s="221">
        <v>17</v>
      </c>
      <c r="E24" s="105">
        <v>17</v>
      </c>
      <c r="F24" s="133">
        <v>-0.41463414634146289</v>
      </c>
      <c r="G24" s="172" t="s">
        <v>241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8" x14ac:dyDescent="0.25">
      <c r="A25" s="307" t="s">
        <v>34</v>
      </c>
      <c r="B25" s="107" t="s">
        <v>85</v>
      </c>
      <c r="C25" s="322">
        <v>3</v>
      </c>
      <c r="D25" s="221">
        <v>18</v>
      </c>
      <c r="E25" s="105">
        <v>51</v>
      </c>
      <c r="F25" s="133">
        <v>-1.2439024390243887</v>
      </c>
      <c r="G25" s="172" t="s">
        <v>254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8" x14ac:dyDescent="0.25">
      <c r="A26" s="347" t="s">
        <v>339</v>
      </c>
      <c r="B26" s="142" t="s">
        <v>338</v>
      </c>
      <c r="C26" s="321">
        <v>2</v>
      </c>
      <c r="D26" s="221">
        <v>19</v>
      </c>
      <c r="E26" s="105">
        <v>32</v>
      </c>
      <c r="F26" s="133">
        <v>-2.8292682926829258</v>
      </c>
      <c r="G26" s="172" t="s">
        <v>335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8" x14ac:dyDescent="0.25">
      <c r="A27" s="254" t="s">
        <v>41</v>
      </c>
      <c r="B27" s="107" t="s">
        <v>156</v>
      </c>
      <c r="C27" s="322">
        <v>3</v>
      </c>
      <c r="D27" s="221">
        <v>20</v>
      </c>
      <c r="E27" s="105">
        <v>52</v>
      </c>
      <c r="F27" s="133">
        <v>-0.24390243902438868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8" x14ac:dyDescent="0.25">
      <c r="A28" s="342" t="s">
        <v>212</v>
      </c>
      <c r="B28" s="341" t="s">
        <v>213</v>
      </c>
      <c r="C28" s="152">
        <v>0</v>
      </c>
      <c r="D28" s="221">
        <v>21</v>
      </c>
      <c r="E28" s="105">
        <v>0</v>
      </c>
      <c r="F28" s="134">
        <v>0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8" x14ac:dyDescent="0.25">
      <c r="A29" s="165" t="s">
        <v>37</v>
      </c>
      <c r="B29" s="107" t="s">
        <v>87</v>
      </c>
      <c r="C29" s="321">
        <v>2</v>
      </c>
      <c r="D29" s="221">
        <v>22</v>
      </c>
      <c r="E29" s="105">
        <v>36</v>
      </c>
      <c r="F29" s="134">
        <v>1.1707317073170742</v>
      </c>
      <c r="G29" s="172" t="s">
        <v>247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8" x14ac:dyDescent="0.25">
      <c r="A30" s="330" t="s">
        <v>7</v>
      </c>
      <c r="B30" s="327" t="s">
        <v>202</v>
      </c>
      <c r="C30" s="321">
        <v>2</v>
      </c>
      <c r="D30" s="221">
        <v>23</v>
      </c>
      <c r="E30" s="105">
        <v>35</v>
      </c>
      <c r="F30" s="134">
        <v>0.17073170731707421</v>
      </c>
      <c r="G30" s="172" t="s">
        <v>246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8" x14ac:dyDescent="0.25">
      <c r="A31" s="166" t="s">
        <v>18</v>
      </c>
      <c r="B31" s="107" t="s">
        <v>86</v>
      </c>
      <c r="C31" s="152">
        <v>1</v>
      </c>
      <c r="D31" s="221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75" thickBot="1" x14ac:dyDescent="0.25">
      <c r="A34" s="100"/>
      <c r="B34" s="101"/>
      <c r="C34" s="113"/>
      <c r="D34" s="114"/>
      <c r="E34" s="105"/>
      <c r="F34" s="106"/>
      <c r="H34" t="s">
        <v>336</v>
      </c>
      <c r="K34" s="2"/>
    </row>
    <row r="35" spans="1:18" ht="16.5" thickBot="1" x14ac:dyDescent="0.3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">
      <c r="A36" s="101"/>
      <c r="B36" s="101"/>
      <c r="C36" s="115"/>
      <c r="D36" s="101"/>
      <c r="E36" s="115" t="s">
        <v>158</v>
      </c>
      <c r="F36" s="116"/>
    </row>
    <row r="37" spans="1:18" ht="15" x14ac:dyDescent="0.2">
      <c r="A37" s="101"/>
      <c r="B37" s="101" t="s">
        <v>128</v>
      </c>
      <c r="C37" s="115">
        <f>GrandTotalHours</f>
        <v>714</v>
      </c>
      <c r="D37" s="101"/>
      <c r="E37" s="115">
        <f>SUM(E7:E36)</f>
        <v>714</v>
      </c>
      <c r="F37" s="116"/>
    </row>
    <row r="38" spans="1:18" ht="15" x14ac:dyDescent="0.2">
      <c r="A38" s="101"/>
      <c r="B38" s="101"/>
      <c r="C38" s="115"/>
      <c r="D38" s="101"/>
      <c r="E38" s="115"/>
      <c r="F38" s="116"/>
    </row>
    <row r="39" spans="1:18" ht="15" x14ac:dyDescent="0.2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2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D13" sqref="D1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161">
        <v>7</v>
      </c>
      <c r="D4" s="161">
        <v>16</v>
      </c>
      <c r="F4" s="16" t="s">
        <v>257</v>
      </c>
      <c r="H4" s="161" t="str">
        <f>FALLFriday</f>
        <v>Friday 9/26/2024</v>
      </c>
      <c r="J4">
        <f>ROW(FALLFriday)</f>
        <v>5</v>
      </c>
    </row>
    <row r="5" spans="1:10" x14ac:dyDescent="0.2">
      <c r="A5" t="s">
        <v>264</v>
      </c>
      <c r="C5" s="161">
        <v>25</v>
      </c>
      <c r="D5" s="161">
        <v>12</v>
      </c>
      <c r="F5" s="16" t="s">
        <v>258</v>
      </c>
      <c r="H5" s="161" t="str">
        <f>FALLSaturday</f>
        <v>Saturday 9/27/2024</v>
      </c>
      <c r="J5">
        <f>ROW(FALLSaturday)</f>
        <v>5</v>
      </c>
    </row>
    <row r="6" spans="1:10" x14ac:dyDescent="0.2">
      <c r="A6" t="s">
        <v>265</v>
      </c>
      <c r="C6" s="161">
        <v>26</v>
      </c>
      <c r="D6" s="161">
        <v>12</v>
      </c>
      <c r="F6" s="16" t="s">
        <v>259</v>
      </c>
      <c r="H6" s="161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260</v>
      </c>
      <c r="H7" s="161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261</v>
      </c>
      <c r="H8" s="161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262</v>
      </c>
      <c r="H9" s="161" t="str">
        <f>DATSunday</f>
        <v>Sunday 01/18/2025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269</v>
      </c>
      <c r="C17" s="161">
        <v>4</v>
      </c>
      <c r="D17" s="161">
        <v>42</v>
      </c>
    </row>
    <row r="18" spans="1:4" x14ac:dyDescent="0.2">
      <c r="A18" s="16" t="s">
        <v>270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5" t="s">
        <v>232</v>
      </c>
      <c r="B1" s="160"/>
      <c r="C1" s="160"/>
      <c r="D1" s="176"/>
    </row>
    <row r="2" spans="1:8" x14ac:dyDescent="0.2">
      <c r="A2" s="1"/>
      <c r="B2" s="2" t="str">
        <f>Issue</f>
        <v>2025/26 Show Season (final)</v>
      </c>
      <c r="C2" s="2"/>
      <c r="D2" s="177"/>
    </row>
    <row r="3" spans="1:8" ht="15.75" x14ac:dyDescent="0.25">
      <c r="A3" s="3"/>
      <c r="B3" s="188" t="str">
        <f>Season</f>
        <v>2024/2025</v>
      </c>
      <c r="C3" s="2"/>
      <c r="D3" s="178"/>
    </row>
    <row r="4" spans="1:8" x14ac:dyDescent="0.2">
      <c r="A4" s="4"/>
      <c r="C4" s="5" t="s">
        <v>0</v>
      </c>
      <c r="D4" s="178" t="s">
        <v>1</v>
      </c>
    </row>
    <row r="5" spans="1:8" x14ac:dyDescent="0.2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">
      <c r="A6" s="91" t="s">
        <v>6</v>
      </c>
      <c r="B6" s="190" t="s">
        <v>271</v>
      </c>
      <c r="C6" s="22">
        <v>4</v>
      </c>
      <c r="D6" s="180" t="s">
        <v>144</v>
      </c>
      <c r="F6" s="9"/>
      <c r="H6" s="2"/>
    </row>
    <row r="7" spans="1:8" x14ac:dyDescent="0.2">
      <c r="A7" s="91" t="s">
        <v>8</v>
      </c>
      <c r="B7" s="190" t="s">
        <v>272</v>
      </c>
      <c r="C7" s="22">
        <v>2</v>
      </c>
      <c r="D7" s="180" t="s">
        <v>144</v>
      </c>
      <c r="F7" s="9"/>
      <c r="H7" s="2"/>
    </row>
    <row r="8" spans="1:8" x14ac:dyDescent="0.2">
      <c r="A8" s="91" t="s">
        <v>9</v>
      </c>
      <c r="B8" s="190" t="s">
        <v>273</v>
      </c>
      <c r="C8" s="22">
        <v>2</v>
      </c>
      <c r="D8" s="180" t="s">
        <v>144</v>
      </c>
      <c r="F8" s="9"/>
      <c r="H8" s="2"/>
    </row>
    <row r="9" spans="1:8" x14ac:dyDescent="0.2">
      <c r="A9" s="320" t="s">
        <v>9</v>
      </c>
      <c r="B9" s="303" t="s">
        <v>340</v>
      </c>
      <c r="C9" s="22">
        <v>9</v>
      </c>
      <c r="D9" s="180" t="s">
        <v>253</v>
      </c>
      <c r="F9" s="9"/>
      <c r="H9" s="2"/>
    </row>
    <row r="10" spans="1:8" x14ac:dyDescent="0.2">
      <c r="A10" s="91" t="s">
        <v>10</v>
      </c>
      <c r="B10" s="190" t="s">
        <v>274</v>
      </c>
      <c r="C10" s="22">
        <v>2</v>
      </c>
      <c r="D10" s="235" t="s">
        <v>32</v>
      </c>
      <c r="F10" s="9"/>
      <c r="H10" s="2"/>
    </row>
    <row r="11" spans="1:8" x14ac:dyDescent="0.2">
      <c r="A11" s="91" t="s">
        <v>11</v>
      </c>
      <c r="B11" s="190" t="s">
        <v>288</v>
      </c>
      <c r="C11" s="22">
        <v>8</v>
      </c>
      <c r="D11" s="235" t="s">
        <v>144</v>
      </c>
      <c r="F11" s="9"/>
      <c r="H11" s="2"/>
    </row>
    <row r="12" spans="1:8" x14ac:dyDescent="0.2">
      <c r="A12" s="91"/>
      <c r="B12" s="191"/>
      <c r="C12" s="22"/>
      <c r="D12" s="180"/>
      <c r="F12" s="9"/>
      <c r="H12" s="2"/>
    </row>
    <row r="13" spans="1:8" x14ac:dyDescent="0.2">
      <c r="A13" s="91" t="s">
        <v>13</v>
      </c>
      <c r="B13" s="190" t="s">
        <v>275</v>
      </c>
      <c r="C13" s="22">
        <v>6</v>
      </c>
      <c r="D13" s="235" t="s">
        <v>12</v>
      </c>
      <c r="F13" s="9"/>
      <c r="H13" s="2"/>
    </row>
    <row r="14" spans="1:8" x14ac:dyDescent="0.2">
      <c r="A14" s="91" t="s">
        <v>14</v>
      </c>
      <c r="B14" s="191"/>
      <c r="C14" s="22"/>
      <c r="D14" s="180"/>
      <c r="F14" s="9"/>
      <c r="H14" s="2"/>
    </row>
    <row r="15" spans="1:8" x14ac:dyDescent="0.2">
      <c r="A15" s="91" t="s">
        <v>15</v>
      </c>
      <c r="B15" s="191"/>
      <c r="C15" s="22"/>
      <c r="D15" s="180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">
      <c r="A17" s="91" t="s">
        <v>17</v>
      </c>
      <c r="B17" s="16" t="s">
        <v>289</v>
      </c>
      <c r="C17" s="311">
        <v>10</v>
      </c>
      <c r="D17" s="181" t="s">
        <v>32</v>
      </c>
      <c r="F17" s="154"/>
      <c r="H17" s="2"/>
    </row>
    <row r="18" spans="1:8" x14ac:dyDescent="0.2">
      <c r="A18" s="91" t="s">
        <v>19</v>
      </c>
      <c r="B18" s="191"/>
      <c r="C18" s="22"/>
      <c r="D18" s="180"/>
      <c r="F18" s="9"/>
      <c r="H18" s="2"/>
    </row>
    <row r="19" spans="1:8" x14ac:dyDescent="0.2">
      <c r="A19" s="91" t="s">
        <v>21</v>
      </c>
      <c r="B19" s="303"/>
      <c r="C19" s="22"/>
      <c r="D19" s="180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">
      <c r="A21" s="91" t="s">
        <v>24</v>
      </c>
      <c r="B21" s="303" t="s">
        <v>337</v>
      </c>
      <c r="C21" s="22">
        <v>4</v>
      </c>
      <c r="D21" s="235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">
      <c r="A23" s="91" t="s">
        <v>28</v>
      </c>
      <c r="B23" s="191"/>
      <c r="C23" s="22"/>
      <c r="D23" s="180"/>
      <c r="F23" s="9"/>
      <c r="H23" s="2"/>
    </row>
    <row r="24" spans="1:8" x14ac:dyDescent="0.2">
      <c r="A24" s="91" t="s">
        <v>29</v>
      </c>
      <c r="B24" s="191"/>
      <c r="C24" s="22"/>
      <c r="D24" s="180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1" t="s">
        <v>218</v>
      </c>
      <c r="F25" s="9"/>
      <c r="H25" s="2"/>
    </row>
    <row r="26" spans="1:8" x14ac:dyDescent="0.2">
      <c r="A26" s="141" t="s">
        <v>33</v>
      </c>
      <c r="B26" s="190" t="s">
        <v>277</v>
      </c>
      <c r="C26" s="22">
        <v>6</v>
      </c>
      <c r="D26" s="180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">
      <c r="A28" s="91" t="s">
        <v>38</v>
      </c>
      <c r="B28" s="191"/>
      <c r="C28" s="22"/>
      <c r="D28" s="180"/>
      <c r="F28" s="9"/>
      <c r="H28" s="2"/>
    </row>
    <row r="29" spans="1:8" x14ac:dyDescent="0.2">
      <c r="A29" s="141" t="s">
        <v>211</v>
      </c>
      <c r="B29" t="s">
        <v>290</v>
      </c>
      <c r="C29" s="311">
        <v>0</v>
      </c>
      <c r="D29" s="309"/>
      <c r="F29" s="154"/>
      <c r="H29" s="2"/>
    </row>
    <row r="30" spans="1:8" x14ac:dyDescent="0.2">
      <c r="A30" s="141"/>
      <c r="B30" t="s">
        <v>291</v>
      </c>
      <c r="C30" s="311">
        <v>0</v>
      </c>
      <c r="D30" s="309"/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235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">
      <c r="A33" s="91" t="s">
        <v>44</v>
      </c>
      <c r="B33" s="21" t="s">
        <v>278</v>
      </c>
      <c r="C33" s="22">
        <v>1</v>
      </c>
      <c r="D33" s="181" t="s">
        <v>18</v>
      </c>
      <c r="F33" s="154"/>
      <c r="H33" s="2"/>
    </row>
    <row r="34" spans="1:8" ht="15" x14ac:dyDescent="0.2">
      <c r="A34" s="91" t="s">
        <v>45</v>
      </c>
      <c r="B34" s="21" t="s">
        <v>46</v>
      </c>
      <c r="C34" s="22">
        <v>2</v>
      </c>
      <c r="D34" s="344" t="s">
        <v>320</v>
      </c>
      <c r="F34" s="154"/>
      <c r="H34" s="2"/>
    </row>
    <row r="35" spans="1:8" x14ac:dyDescent="0.2">
      <c r="A35" s="91" t="s">
        <v>47</v>
      </c>
      <c r="B35" s="190" t="s">
        <v>279</v>
      </c>
      <c r="C35" s="22">
        <v>2</v>
      </c>
      <c r="D35" s="180" t="s">
        <v>339</v>
      </c>
      <c r="F35" s="9"/>
      <c r="H35" s="2"/>
    </row>
    <row r="36" spans="1:8" ht="15" x14ac:dyDescent="0.2">
      <c r="A36" s="91" t="s">
        <v>48</v>
      </c>
      <c r="B36" s="190" t="s">
        <v>287</v>
      </c>
      <c r="C36" s="22">
        <v>2</v>
      </c>
      <c r="D36" s="344" t="s">
        <v>320</v>
      </c>
      <c r="F36" s="9"/>
      <c r="H36" s="2"/>
    </row>
    <row r="37" spans="1:8" x14ac:dyDescent="0.2">
      <c r="A37" s="91" t="s">
        <v>50</v>
      </c>
      <c r="B37" s="303" t="s">
        <v>328</v>
      </c>
      <c r="C37" s="22">
        <v>12</v>
      </c>
      <c r="D37" s="180" t="s">
        <v>25</v>
      </c>
      <c r="F37" s="9"/>
      <c r="H37" s="2"/>
    </row>
    <row r="38" spans="1:8" x14ac:dyDescent="0.2">
      <c r="A38" s="91"/>
      <c r="B38" s="191"/>
      <c r="C38" s="22"/>
      <c r="D38" s="180"/>
      <c r="F38" s="9"/>
      <c r="H38" s="2"/>
    </row>
    <row r="39" spans="1:8" x14ac:dyDescent="0.2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0" t="s">
        <v>218</v>
      </c>
      <c r="F40" s="9"/>
      <c r="H40" s="2"/>
    </row>
    <row r="41" spans="1:8" x14ac:dyDescent="0.2">
      <c r="A41" s="4"/>
      <c r="C41" s="2"/>
      <c r="D41" s="177"/>
    </row>
    <row r="42" spans="1:8" ht="13.5" thickBot="1" x14ac:dyDescent="0.25">
      <c r="A42" s="92"/>
      <c r="B42" s="192" t="s">
        <v>285</v>
      </c>
      <c r="C42" s="128">
        <f>SUM(C5:C41)</f>
        <v>129</v>
      </c>
      <c r="D42" s="182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5" t="s">
        <v>233</v>
      </c>
      <c r="B46" s="160"/>
      <c r="C46" s="160"/>
      <c r="D46" s="176"/>
    </row>
    <row r="47" spans="1:8" x14ac:dyDescent="0.2">
      <c r="A47" s="4"/>
      <c r="B47" s="2" t="str">
        <f>Issue</f>
        <v>2025/26 Show Season (final)</v>
      </c>
      <c r="C47" s="2"/>
      <c r="D47" s="177"/>
    </row>
    <row r="48" spans="1:8" ht="15.75" x14ac:dyDescent="0.25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3" t="s">
        <v>352</v>
      </c>
      <c r="C53" s="22">
        <v>24</v>
      </c>
      <c r="D53" s="143">
        <v>24</v>
      </c>
    </row>
    <row r="54" spans="1:8" ht="15" x14ac:dyDescent="0.2">
      <c r="A54" s="91" t="s">
        <v>294</v>
      </c>
      <c r="B54" s="193"/>
      <c r="C54" s="22"/>
      <c r="D54" s="143">
        <v>0</v>
      </c>
    </row>
    <row r="55" spans="1:8" ht="15" x14ac:dyDescent="0.2">
      <c r="A55" s="91" t="s">
        <v>237</v>
      </c>
      <c r="B55" s="193" t="s">
        <v>286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221</v>
      </c>
      <c r="C60" s="22">
        <v>7</v>
      </c>
      <c r="D60" s="143">
        <v>7</v>
      </c>
    </row>
    <row r="61" spans="1:8" x14ac:dyDescent="0.2">
      <c r="A61" s="91" t="s">
        <v>131</v>
      </c>
      <c r="B61" s="190" t="s">
        <v>229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222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223</v>
      </c>
      <c r="C69" s="22">
        <v>14</v>
      </c>
      <c r="D69" s="143">
        <v>14</v>
      </c>
    </row>
    <row r="70" spans="1:4" x14ac:dyDescent="0.2">
      <c r="A70" s="91" t="s">
        <v>226</v>
      </c>
      <c r="B70" s="21" t="s">
        <v>224</v>
      </c>
      <c r="C70" s="22">
        <v>22</v>
      </c>
      <c r="D70" s="143">
        <v>22</v>
      </c>
    </row>
    <row r="71" spans="1:4" x14ac:dyDescent="0.2">
      <c r="A71" s="91" t="s">
        <v>226</v>
      </c>
      <c r="B71" s="21" t="s">
        <v>225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4" t="s">
        <v>293</v>
      </c>
      <c r="C74" s="22">
        <v>7</v>
      </c>
      <c r="D74" s="143">
        <v>7</v>
      </c>
    </row>
    <row r="75" spans="1:4" ht="15" x14ac:dyDescent="0.2">
      <c r="A75" s="91" t="s">
        <v>122</v>
      </c>
      <c r="B75" s="194" t="s">
        <v>292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248</v>
      </c>
      <c r="B78" s="310" t="s">
        <v>250</v>
      </c>
      <c r="C78" s="311">
        <v>0</v>
      </c>
      <c r="D78" s="143">
        <v>0</v>
      </c>
    </row>
    <row r="79" spans="1:4" x14ac:dyDescent="0.2">
      <c r="A79" s="91" t="s">
        <v>249</v>
      </c>
      <c r="B79" s="310" t="s">
        <v>251</v>
      </c>
      <c r="C79" s="31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238</v>
      </c>
      <c r="B82" s="21" t="s">
        <v>239</v>
      </c>
      <c r="C82" s="22">
        <v>9</v>
      </c>
      <c r="D82" s="143">
        <v>9</v>
      </c>
      <c r="G82" s="9"/>
    </row>
    <row r="83" spans="1:7" x14ac:dyDescent="0.2">
      <c r="A83" s="91" t="s">
        <v>227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228</v>
      </c>
      <c r="B84" s="194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3" t="s">
        <v>158</v>
      </c>
    </row>
    <row r="86" spans="1:7" x14ac:dyDescent="0.2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">
      <c r="A87" s="8"/>
      <c r="C87" s="26"/>
      <c r="D87" s="183"/>
    </row>
    <row r="88" spans="1:7" ht="13.5" thickBot="1" x14ac:dyDescent="0.25">
      <c r="A88" s="92"/>
      <c r="B88" s="192" t="s">
        <v>284</v>
      </c>
      <c r="C88" s="128">
        <f>C42+C86</f>
        <v>366</v>
      </c>
      <c r="D88" s="18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5" t="s">
        <v>234</v>
      </c>
      <c r="B96" s="196"/>
      <c r="C96" s="160"/>
      <c r="D96" s="176"/>
    </row>
    <row r="97" spans="1:4" ht="18" x14ac:dyDescent="0.25">
      <c r="A97" s="84"/>
      <c r="B97" s="2" t="str">
        <f>Issue</f>
        <v>2025/26 Show Season (final)</v>
      </c>
      <c r="C97" s="85"/>
      <c r="D97" s="177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">
      <c r="A100" s="91" t="s">
        <v>6</v>
      </c>
      <c r="B100" s="190" t="s">
        <v>271</v>
      </c>
      <c r="C100" s="22">
        <v>4</v>
      </c>
      <c r="D100" s="180" t="s">
        <v>144</v>
      </c>
    </row>
    <row r="101" spans="1:4" x14ac:dyDescent="0.2">
      <c r="A101" s="91" t="s">
        <v>8</v>
      </c>
      <c r="B101" s="190" t="s">
        <v>272</v>
      </c>
      <c r="C101" s="22">
        <v>2</v>
      </c>
      <c r="D101" s="181" t="s">
        <v>144</v>
      </c>
    </row>
    <row r="102" spans="1:4" x14ac:dyDescent="0.2">
      <c r="A102" s="91"/>
      <c r="B102" s="190" t="s">
        <v>273</v>
      </c>
      <c r="C102" s="22">
        <v>2</v>
      </c>
      <c r="D102" s="181" t="s">
        <v>144</v>
      </c>
    </row>
    <row r="103" spans="1:4" x14ac:dyDescent="0.2">
      <c r="A103" s="320" t="s">
        <v>9</v>
      </c>
      <c r="B103" s="303" t="s">
        <v>340</v>
      </c>
      <c r="C103" s="22">
        <v>9</v>
      </c>
      <c r="D103" s="180" t="s">
        <v>253</v>
      </c>
    </row>
    <row r="104" spans="1:4" x14ac:dyDescent="0.2">
      <c r="A104" s="91" t="s">
        <v>10</v>
      </c>
      <c r="B104" s="190" t="s">
        <v>274</v>
      </c>
      <c r="C104" s="22">
        <v>2</v>
      </c>
      <c r="D104" s="235" t="s">
        <v>32</v>
      </c>
    </row>
    <row r="105" spans="1:4" x14ac:dyDescent="0.2">
      <c r="A105" s="91" t="s">
        <v>11</v>
      </c>
      <c r="B105" s="190" t="s">
        <v>288</v>
      </c>
      <c r="C105" s="22">
        <v>2</v>
      </c>
      <c r="D105" s="235" t="s">
        <v>144</v>
      </c>
    </row>
    <row r="106" spans="1:4" x14ac:dyDescent="0.2">
      <c r="A106" s="91" t="s">
        <v>13</v>
      </c>
      <c r="B106" s="190" t="s">
        <v>275</v>
      </c>
      <c r="C106" s="22">
        <v>6</v>
      </c>
      <c r="D106" s="180" t="s">
        <v>12</v>
      </c>
    </row>
    <row r="107" spans="1:4" x14ac:dyDescent="0.2">
      <c r="A107" s="91"/>
      <c r="B107" s="21"/>
      <c r="C107" s="22"/>
      <c r="D107" s="181"/>
    </row>
    <row r="108" spans="1:4" x14ac:dyDescent="0.2">
      <c r="A108" s="91"/>
      <c r="B108" s="21"/>
      <c r="C108" s="22"/>
      <c r="D108" s="180"/>
    </row>
    <row r="109" spans="1:4" x14ac:dyDescent="0.2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">
      <c r="A110" s="91" t="s">
        <v>17</v>
      </c>
      <c r="B110" s="16" t="s">
        <v>289</v>
      </c>
      <c r="C110" s="311">
        <v>10</v>
      </c>
      <c r="D110" s="309" t="s">
        <v>32</v>
      </c>
    </row>
    <row r="111" spans="1:4" x14ac:dyDescent="0.2">
      <c r="A111" s="91"/>
      <c r="B111" s="21"/>
      <c r="C111" s="22"/>
      <c r="D111" s="180"/>
    </row>
    <row r="112" spans="1:4" x14ac:dyDescent="0.2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">
      <c r="A113" s="91" t="s">
        <v>24</v>
      </c>
      <c r="B113" s="303" t="s">
        <v>276</v>
      </c>
      <c r="C113" s="22">
        <v>4</v>
      </c>
      <c r="D113" s="181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">
      <c r="A115" s="91"/>
      <c r="B115" s="21"/>
      <c r="C115" s="22"/>
      <c r="D115" s="181"/>
    </row>
    <row r="116" spans="1:7" x14ac:dyDescent="0.2">
      <c r="A116" s="91"/>
      <c r="B116" s="21"/>
      <c r="C116" s="22"/>
      <c r="D116" s="181"/>
    </row>
    <row r="117" spans="1:7" x14ac:dyDescent="0.2">
      <c r="A117" s="91" t="s">
        <v>30</v>
      </c>
      <c r="B117" s="21" t="s">
        <v>64</v>
      </c>
      <c r="C117" s="22">
        <v>1</v>
      </c>
      <c r="D117" s="181" t="s">
        <v>218</v>
      </c>
    </row>
    <row r="118" spans="1:7" x14ac:dyDescent="0.2">
      <c r="A118" s="91" t="s">
        <v>33</v>
      </c>
      <c r="B118" s="190" t="s">
        <v>277</v>
      </c>
      <c r="C118" s="22">
        <v>6</v>
      </c>
      <c r="D118" s="181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">
      <c r="A120" s="91" t="s">
        <v>38</v>
      </c>
      <c r="B120" t="s">
        <v>291</v>
      </c>
      <c r="C120" s="311">
        <v>0</v>
      </c>
      <c r="D120" s="309"/>
    </row>
    <row r="121" spans="1:7" x14ac:dyDescent="0.2">
      <c r="A121" s="141" t="s">
        <v>211</v>
      </c>
      <c r="B121" t="s">
        <v>290</v>
      </c>
      <c r="C121" s="311">
        <v>0</v>
      </c>
      <c r="D121" s="309"/>
    </row>
    <row r="122" spans="1:7" x14ac:dyDescent="0.2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">
      <c r="A124" s="91" t="s">
        <v>44</v>
      </c>
      <c r="B124" s="21" t="s">
        <v>278</v>
      </c>
      <c r="C124" s="22">
        <v>1</v>
      </c>
      <c r="D124" s="181" t="s">
        <v>18</v>
      </c>
    </row>
    <row r="125" spans="1:7" ht="15" x14ac:dyDescent="0.2">
      <c r="A125" s="91" t="s">
        <v>45</v>
      </c>
      <c r="B125" s="21" t="s">
        <v>46</v>
      </c>
      <c r="C125" s="22">
        <v>2</v>
      </c>
      <c r="D125" s="345" t="s">
        <v>320</v>
      </c>
    </row>
    <row r="126" spans="1:7" x14ac:dyDescent="0.2">
      <c r="A126" s="91" t="s">
        <v>47</v>
      </c>
      <c r="B126" s="190" t="s">
        <v>279</v>
      </c>
      <c r="C126" s="22">
        <v>2</v>
      </c>
      <c r="D126" s="180" t="s">
        <v>339</v>
      </c>
    </row>
    <row r="127" spans="1:7" ht="15" x14ac:dyDescent="0.2">
      <c r="A127" s="91" t="s">
        <v>48</v>
      </c>
      <c r="B127" s="190" t="s">
        <v>287</v>
      </c>
      <c r="C127" s="22">
        <v>2</v>
      </c>
      <c r="D127" s="345" t="s">
        <v>320</v>
      </c>
    </row>
    <row r="128" spans="1:7" x14ac:dyDescent="0.2">
      <c r="A128" s="91" t="s">
        <v>50</v>
      </c>
      <c r="B128" s="303" t="s">
        <v>328</v>
      </c>
      <c r="C128" s="22">
        <v>8</v>
      </c>
      <c r="D128" s="180" t="s">
        <v>25</v>
      </c>
    </row>
    <row r="129" spans="1:4" x14ac:dyDescent="0.2">
      <c r="A129" s="91"/>
      <c r="B129" s="21"/>
      <c r="C129" s="27"/>
      <c r="D129" s="180"/>
    </row>
    <row r="130" spans="1:4" x14ac:dyDescent="0.2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0" t="s">
        <v>218</v>
      </c>
    </row>
    <row r="132" spans="1:4" x14ac:dyDescent="0.2">
      <c r="A132" s="140"/>
      <c r="C132" s="2"/>
      <c r="D132" s="177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5" t="s">
        <v>235</v>
      </c>
      <c r="B137" s="160"/>
      <c r="C137" s="160"/>
      <c r="D137" s="176"/>
    </row>
    <row r="138" spans="1:4" x14ac:dyDescent="0.2">
      <c r="A138" s="8"/>
      <c r="B138" s="2" t="str">
        <f>Issue</f>
        <v>2025/26 Show Season (final)</v>
      </c>
      <c r="C138" s="2"/>
      <c r="D138" s="177"/>
    </row>
    <row r="139" spans="1:4" ht="15.75" x14ac:dyDescent="0.25">
      <c r="A139" s="12"/>
      <c r="B139" s="73" t="str">
        <f>Season</f>
        <v>2024/2025</v>
      </c>
      <c r="C139" s="2"/>
      <c r="D139" s="177"/>
    </row>
    <row r="140" spans="1:4" x14ac:dyDescent="0.2">
      <c r="A140" s="12"/>
      <c r="C140" s="2" t="s">
        <v>51</v>
      </c>
      <c r="D140" s="183" t="s">
        <v>161</v>
      </c>
    </row>
    <row r="141" spans="1:4" x14ac:dyDescent="0.2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3" t="s">
        <v>352</v>
      </c>
      <c r="C143" s="22">
        <v>24</v>
      </c>
      <c r="D143" s="143">
        <v>24</v>
      </c>
    </row>
    <row r="144" spans="1:4" ht="15" x14ac:dyDescent="0.2">
      <c r="A144" s="25" t="s">
        <v>237</v>
      </c>
      <c r="B144" s="193"/>
      <c r="C144" s="22">
        <v>0</v>
      </c>
      <c r="D144" s="143">
        <v>0</v>
      </c>
    </row>
    <row r="145" spans="1:4" ht="15" x14ac:dyDescent="0.2">
      <c r="A145" s="25" t="s">
        <v>303</v>
      </c>
      <c r="B145" s="193" t="s">
        <v>286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293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292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248</v>
      </c>
      <c r="B168" s="21" t="s">
        <v>250</v>
      </c>
      <c r="C168" s="22">
        <v>0</v>
      </c>
      <c r="D168" s="143">
        <v>0</v>
      </c>
    </row>
    <row r="169" spans="1:4" x14ac:dyDescent="0.2">
      <c r="A169" s="25" t="s">
        <v>249</v>
      </c>
      <c r="B169" s="190" t="s">
        <v>251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238</v>
      </c>
      <c r="B172" s="21" t="s">
        <v>239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7" t="s">
        <v>158</v>
      </c>
    </row>
    <row r="176" spans="1:4" x14ac:dyDescent="0.2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">
      <c r="A177" s="4"/>
      <c r="C177" s="2"/>
      <c r="D177" s="183"/>
    </row>
    <row r="178" spans="1:4" x14ac:dyDescent="0.2">
      <c r="A178" s="25"/>
      <c r="B178" s="197" t="s">
        <v>70</v>
      </c>
      <c r="C178" s="127">
        <f>C133+C176</f>
        <v>348</v>
      </c>
      <c r="D178" s="185"/>
    </row>
    <row r="179" spans="1:4" x14ac:dyDescent="0.2">
      <c r="A179" s="4"/>
      <c r="C179" s="2"/>
      <c r="D179" s="183"/>
    </row>
    <row r="180" spans="1:4" ht="13.5" thickBot="1" x14ac:dyDescent="0.25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H9" sqref="H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230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2025/26 Show Season (final)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231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347</v>
      </c>
      <c r="B3" s="150"/>
      <c r="C3" s="150"/>
      <c r="D3" s="150"/>
      <c r="E3" s="150"/>
      <c r="F3" s="150"/>
      <c r="G3" s="56"/>
      <c r="H3" s="58"/>
      <c r="I3" s="59"/>
      <c r="J3" s="125" t="s">
        <v>332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9/26/2024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321</v>
      </c>
      <c r="O5" s="46" t="s">
        <v>322</v>
      </c>
      <c r="P5" s="46" t="s">
        <v>323</v>
      </c>
      <c r="Q5" s="46" t="s">
        <v>324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12" t="s">
        <v>34</v>
      </c>
      <c r="C6" s="312" t="s">
        <v>34</v>
      </c>
      <c r="D6" s="312" t="s">
        <v>34</v>
      </c>
      <c r="E6" s="312" t="s">
        <v>34</v>
      </c>
      <c r="F6" s="312" t="s">
        <v>34</v>
      </c>
      <c r="G6" s="312" t="s">
        <v>34</v>
      </c>
      <c r="H6" s="312" t="s">
        <v>34</v>
      </c>
      <c r="I6" s="312" t="s">
        <v>34</v>
      </c>
      <c r="J6" s="31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239</v>
      </c>
      <c r="B7" s="48"/>
      <c r="C7" s="48"/>
      <c r="D7" s="350" t="s">
        <v>20</v>
      </c>
      <c r="E7" s="351" t="s">
        <v>20</v>
      </c>
      <c r="F7" s="351" t="s">
        <v>20</v>
      </c>
      <c r="G7" s="351" t="s">
        <v>20</v>
      </c>
      <c r="H7" s="351" t="s">
        <v>20</v>
      </c>
      <c r="I7" s="351" t="s">
        <v>20</v>
      </c>
      <c r="J7" s="351" t="s">
        <v>20</v>
      </c>
      <c r="K7" s="351" t="s">
        <v>20</v>
      </c>
      <c r="L7" s="350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352</v>
      </c>
      <c r="B8" s="48"/>
      <c r="C8" s="48"/>
      <c r="D8" s="48"/>
      <c r="E8" s="217" t="s">
        <v>37</v>
      </c>
      <c r="F8" s="217" t="s">
        <v>37</v>
      </c>
      <c r="G8" s="352" t="s">
        <v>339</v>
      </c>
      <c r="H8" s="319" t="s">
        <v>12</v>
      </c>
      <c r="I8" s="259" t="s">
        <v>84</v>
      </c>
      <c r="J8" s="260" t="s">
        <v>83</v>
      </c>
      <c r="K8" s="260" t="s">
        <v>83</v>
      </c>
      <c r="L8" s="260" t="s">
        <v>83</v>
      </c>
      <c r="M8" s="261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352</v>
      </c>
      <c r="B9" s="48"/>
      <c r="C9" s="48"/>
      <c r="D9" s="48"/>
      <c r="E9" s="262" t="s">
        <v>253</v>
      </c>
      <c r="F9" s="261" t="s">
        <v>41</v>
      </c>
      <c r="G9" s="264" t="s">
        <v>41</v>
      </c>
      <c r="H9" s="263" t="s">
        <v>16</v>
      </c>
      <c r="I9" s="263" t="s">
        <v>16</v>
      </c>
      <c r="J9" s="263" t="s">
        <v>16</v>
      </c>
      <c r="K9" s="217" t="s">
        <v>37</v>
      </c>
      <c r="L9" s="264" t="s">
        <v>75</v>
      </c>
      <c r="M9" s="218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65" t="s">
        <v>80</v>
      </c>
      <c r="J10" s="265" t="s">
        <v>80</v>
      </c>
      <c r="K10" s="265" t="s">
        <v>80</v>
      </c>
      <c r="L10" s="265" t="s">
        <v>80</v>
      </c>
      <c r="M10" s="265" t="s">
        <v>80</v>
      </c>
      <c r="N10" s="266" t="s">
        <v>80</v>
      </c>
      <c r="O10" s="266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67" t="s">
        <v>37</v>
      </c>
      <c r="H11" s="267" t="s">
        <v>37</v>
      </c>
      <c r="I11" s="216" t="s">
        <v>37</v>
      </c>
      <c r="J11" s="216" t="s">
        <v>37</v>
      </c>
      <c r="K11" s="273" t="s">
        <v>41</v>
      </c>
      <c r="L11" s="273" t="s">
        <v>41</v>
      </c>
      <c r="M11" s="273" t="s">
        <v>41</v>
      </c>
      <c r="N11" s="276" t="s">
        <v>41</v>
      </c>
      <c r="O11" s="276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13" workbookViewId="0">
      <selection activeCell="E23" sqref="E2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230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2025/26 Show Season (final)</v>
      </c>
      <c r="J1" s="54"/>
      <c r="K1" s="54"/>
      <c r="L1" s="54"/>
      <c r="M1" s="56"/>
    </row>
    <row r="2" spans="1:43" ht="15.75" x14ac:dyDescent="0.25">
      <c r="A2" s="55" t="s">
        <v>231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348</v>
      </c>
      <c r="B3" s="54"/>
      <c r="C3" s="54"/>
      <c r="D3" s="54"/>
      <c r="E3" s="125" t="s">
        <v>331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9/27/2024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352</v>
      </c>
      <c r="B6" s="343" t="s">
        <v>320</v>
      </c>
      <c r="C6" s="276" t="s">
        <v>41</v>
      </c>
      <c r="D6" s="213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352</v>
      </c>
      <c r="B7" s="331" t="s">
        <v>7</v>
      </c>
      <c r="C7" s="331" t="s">
        <v>7</v>
      </c>
      <c r="D7" s="213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27" t="s">
        <v>88</v>
      </c>
      <c r="C8" s="353" t="s">
        <v>339</v>
      </c>
      <c r="D8" s="332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68" t="s">
        <v>83</v>
      </c>
      <c r="C9" s="268" t="s">
        <v>83</v>
      </c>
      <c r="D9" s="269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221</v>
      </c>
      <c r="B10" s="32"/>
      <c r="C10" s="32"/>
      <c r="D10" s="32"/>
      <c r="E10" s="211" t="s">
        <v>18</v>
      </c>
      <c r="F10" s="211" t="s">
        <v>18</v>
      </c>
      <c r="G10" s="301" t="s">
        <v>12</v>
      </c>
      <c r="H10" s="216" t="s">
        <v>37</v>
      </c>
      <c r="I10" s="216" t="s">
        <v>37</v>
      </c>
      <c r="J10" s="211" t="s">
        <v>18</v>
      </c>
      <c r="K10" s="21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65" t="s">
        <v>80</v>
      </c>
      <c r="C11" s="265" t="s">
        <v>80</v>
      </c>
      <c r="D11" s="270" t="s">
        <v>80</v>
      </c>
      <c r="E11" s="272" t="s">
        <v>16</v>
      </c>
      <c r="F11" s="272" t="s">
        <v>16</v>
      </c>
      <c r="G11" s="272" t="s">
        <v>16</v>
      </c>
      <c r="H11" s="212" t="s">
        <v>84</v>
      </c>
      <c r="I11" s="273" t="s">
        <v>75</v>
      </c>
      <c r="J11" s="333" t="s">
        <v>7</v>
      </c>
      <c r="K11" s="354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71" t="s">
        <v>253</v>
      </c>
      <c r="C12" s="271" t="s">
        <v>253</v>
      </c>
      <c r="D12" s="271" t="s">
        <v>253</v>
      </c>
      <c r="E12" s="353" t="s">
        <v>339</v>
      </c>
      <c r="F12" s="227" t="s">
        <v>88</v>
      </c>
      <c r="G12" s="227" t="s">
        <v>88</v>
      </c>
      <c r="H12" s="344" t="s">
        <v>320</v>
      </c>
      <c r="I12" s="353" t="s">
        <v>339</v>
      </c>
      <c r="J12" s="212" t="s">
        <v>84</v>
      </c>
      <c r="K12" s="344" t="s">
        <v>320</v>
      </c>
      <c r="L12" s="33"/>
      <c r="M12" s="56"/>
    </row>
    <row r="13" spans="1:43" ht="15" x14ac:dyDescent="0.2">
      <c r="A13" s="250" t="s">
        <v>286</v>
      </c>
      <c r="B13" s="378"/>
      <c r="C13" s="378"/>
      <c r="D13" s="313" t="s">
        <v>218</v>
      </c>
      <c r="E13" s="313" t="s">
        <v>218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222</v>
      </c>
      <c r="B14" s="32"/>
      <c r="C14" s="32"/>
      <c r="D14" s="32"/>
      <c r="E14" s="344" t="s">
        <v>320</v>
      </c>
      <c r="F14" s="344" t="s">
        <v>320</v>
      </c>
      <c r="G14" s="343" t="s">
        <v>320</v>
      </c>
      <c r="H14" s="211" t="s">
        <v>18</v>
      </c>
      <c r="I14" s="227" t="s">
        <v>88</v>
      </c>
      <c r="J14" s="227" t="s">
        <v>88</v>
      </c>
      <c r="K14" s="355" t="s">
        <v>41</v>
      </c>
      <c r="L14" s="33"/>
      <c r="M14" s="56"/>
    </row>
    <row r="15" spans="1:43" ht="15" x14ac:dyDescent="0.2">
      <c r="A15" s="48" t="s">
        <v>222</v>
      </c>
      <c r="B15" s="34"/>
      <c r="C15" s="34"/>
      <c r="D15" s="34"/>
      <c r="E15" s="274" t="s">
        <v>80</v>
      </c>
      <c r="F15" s="274" t="s">
        <v>80</v>
      </c>
      <c r="G15" s="356" t="s">
        <v>20</v>
      </c>
      <c r="H15" s="300" t="s">
        <v>12</v>
      </c>
      <c r="I15" s="300" t="s">
        <v>12</v>
      </c>
      <c r="J15" s="300" t="s">
        <v>12</v>
      </c>
      <c r="K15" s="214" t="s">
        <v>84</v>
      </c>
      <c r="L15" s="35"/>
      <c r="M15" s="56"/>
    </row>
    <row r="16" spans="1:43" ht="15" x14ac:dyDescent="0.2">
      <c r="A16" s="48" t="s">
        <v>222</v>
      </c>
      <c r="B16" s="34"/>
      <c r="C16" s="34"/>
      <c r="D16" s="34"/>
      <c r="E16" s="276" t="s">
        <v>41</v>
      </c>
      <c r="F16" s="276" t="s">
        <v>41</v>
      </c>
      <c r="G16" s="276" t="s">
        <v>41</v>
      </c>
      <c r="H16" s="276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222</v>
      </c>
      <c r="B17" s="34"/>
      <c r="C17" s="34"/>
      <c r="D17" s="34"/>
      <c r="E17" s="268" t="s">
        <v>83</v>
      </c>
      <c r="F17" s="268" t="s">
        <v>83</v>
      </c>
      <c r="G17" s="274" t="s">
        <v>80</v>
      </c>
      <c r="H17" s="274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224</v>
      </c>
      <c r="B18" s="34"/>
      <c r="C18" s="34"/>
      <c r="D18" s="34"/>
      <c r="E18" s="251" t="s">
        <v>88</v>
      </c>
      <c r="F18" s="227" t="s">
        <v>88</v>
      </c>
      <c r="G18" s="251" t="s">
        <v>88</v>
      </c>
      <c r="H18" s="285" t="s">
        <v>16</v>
      </c>
      <c r="I18" s="285" t="s">
        <v>16</v>
      </c>
      <c r="J18" s="285" t="s">
        <v>16</v>
      </c>
      <c r="K18" s="312" t="s">
        <v>34</v>
      </c>
      <c r="L18" s="35"/>
      <c r="M18" s="56"/>
    </row>
    <row r="19" spans="1:13" ht="15" x14ac:dyDescent="0.2">
      <c r="A19" s="49" t="s">
        <v>224</v>
      </c>
      <c r="B19" s="34"/>
      <c r="C19" s="34"/>
      <c r="D19" s="34"/>
      <c r="E19" s="275" t="s">
        <v>253</v>
      </c>
      <c r="F19" s="275" t="s">
        <v>253</v>
      </c>
      <c r="G19" s="357" t="s">
        <v>339</v>
      </c>
      <c r="H19" s="357" t="s">
        <v>339</v>
      </c>
      <c r="I19" s="358" t="s">
        <v>32</v>
      </c>
      <c r="J19" s="358" t="s">
        <v>32</v>
      </c>
      <c r="K19" s="276" t="s">
        <v>41</v>
      </c>
      <c r="L19" s="35"/>
      <c r="M19" s="56"/>
    </row>
    <row r="20" spans="1:13" ht="15" x14ac:dyDescent="0.2">
      <c r="A20" s="49" t="s">
        <v>224</v>
      </c>
      <c r="B20" s="34"/>
      <c r="C20" s="34"/>
      <c r="D20" s="34"/>
      <c r="E20" s="312" t="s">
        <v>34</v>
      </c>
      <c r="F20" s="358" t="s">
        <v>32</v>
      </c>
      <c r="G20" s="358" t="s">
        <v>32</v>
      </c>
      <c r="H20" s="359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224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27" t="s">
        <v>88</v>
      </c>
      <c r="F22" s="333" t="s">
        <v>7</v>
      </c>
      <c r="G22" s="273" t="s">
        <v>41</v>
      </c>
      <c r="H22" s="345" t="s">
        <v>320</v>
      </c>
      <c r="I22" s="265" t="s">
        <v>80</v>
      </c>
      <c r="J22" s="276" t="s">
        <v>75</v>
      </c>
      <c r="K22" s="344" t="s">
        <v>320</v>
      </c>
      <c r="L22" s="33"/>
      <c r="M22" s="56"/>
    </row>
    <row r="23" spans="1:13" ht="15" x14ac:dyDescent="0.2">
      <c r="A23" s="49" t="s">
        <v>293</v>
      </c>
      <c r="B23" s="32"/>
      <c r="C23" s="32"/>
      <c r="D23" s="32"/>
      <c r="E23" s="345" t="s">
        <v>320</v>
      </c>
      <c r="F23" s="343" t="s">
        <v>320</v>
      </c>
      <c r="G23" s="209" t="s">
        <v>37</v>
      </c>
      <c r="H23" s="227" t="s">
        <v>88</v>
      </c>
      <c r="I23" s="269" t="s">
        <v>83</v>
      </c>
      <c r="J23" s="269" t="s">
        <v>83</v>
      </c>
      <c r="K23" s="227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14" t="s">
        <v>34</v>
      </c>
      <c r="F24" s="314" t="s">
        <v>34</v>
      </c>
      <c r="G24" s="269" t="s">
        <v>83</v>
      </c>
      <c r="H24" s="269" t="s">
        <v>83</v>
      </c>
      <c r="I24" s="212" t="s">
        <v>84</v>
      </c>
      <c r="J24" s="273" t="s">
        <v>41</v>
      </c>
      <c r="K24" s="359" t="s">
        <v>32</v>
      </c>
      <c r="L24" s="33"/>
      <c r="M24" s="56"/>
    </row>
    <row r="25" spans="1:13" ht="15" x14ac:dyDescent="0.2">
      <c r="A25" s="323" t="s">
        <v>341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2" t="s">
        <v>84</v>
      </c>
      <c r="C26" s="212" t="s">
        <v>84</v>
      </c>
      <c r="D26" s="272" t="s">
        <v>16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G20" sqref="G20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230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2025/26 Show Season (final)</v>
      </c>
      <c r="J1" s="54"/>
      <c r="K1" s="54"/>
      <c r="L1" s="54"/>
      <c r="M1" s="56"/>
    </row>
    <row r="2" spans="1:43" ht="15.75" x14ac:dyDescent="0.25">
      <c r="A2" s="55" t="s">
        <v>231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349</v>
      </c>
      <c r="B3" s="150"/>
      <c r="C3" s="150"/>
      <c r="D3" s="54"/>
      <c r="E3" s="125" t="s">
        <v>330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9/28/2024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276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1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229</v>
      </c>
      <c r="B8" s="148"/>
      <c r="C8" s="148"/>
      <c r="D8" s="98"/>
      <c r="E8" s="344" t="s">
        <v>320</v>
      </c>
      <c r="F8" s="344" t="s">
        <v>320</v>
      </c>
      <c r="G8" s="211" t="s">
        <v>18</v>
      </c>
      <c r="H8" s="211" t="s">
        <v>18</v>
      </c>
      <c r="I8" s="360" t="s">
        <v>20</v>
      </c>
      <c r="J8" s="360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33" t="s">
        <v>7</v>
      </c>
      <c r="E9" s="273" t="s">
        <v>75</v>
      </c>
      <c r="F9" s="353" t="s">
        <v>339</v>
      </c>
      <c r="G9" s="314" t="s">
        <v>34</v>
      </c>
      <c r="H9" s="301" t="s">
        <v>12</v>
      </c>
      <c r="I9" s="226" t="s">
        <v>84</v>
      </c>
      <c r="J9" s="277" t="s">
        <v>37</v>
      </c>
      <c r="K9" s="98"/>
      <c r="L9" s="99"/>
      <c r="M9" s="56"/>
      <c r="N9" s="15"/>
      <c r="O9" s="30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353" t="s">
        <v>339</v>
      </c>
      <c r="E10" s="361" t="s">
        <v>339</v>
      </c>
      <c r="F10" s="278" t="s">
        <v>83</v>
      </c>
      <c r="G10" s="225" t="s">
        <v>18</v>
      </c>
      <c r="H10" s="273" t="s">
        <v>41</v>
      </c>
      <c r="I10" s="277" t="s">
        <v>37</v>
      </c>
      <c r="J10" s="227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75" t="s">
        <v>253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223</v>
      </c>
      <c r="B12" s="148"/>
      <c r="C12" s="148"/>
      <c r="D12" s="98"/>
      <c r="E12" s="265" t="s">
        <v>80</v>
      </c>
      <c r="F12" s="301" t="s">
        <v>12</v>
      </c>
      <c r="G12" s="318" t="s">
        <v>12</v>
      </c>
      <c r="H12" s="353" t="s">
        <v>339</v>
      </c>
      <c r="I12" s="353" t="s">
        <v>339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223</v>
      </c>
      <c r="B13" s="54"/>
      <c r="C13" s="54"/>
      <c r="D13" s="96"/>
      <c r="E13" s="251" t="s">
        <v>88</v>
      </c>
      <c r="F13" s="285" t="s">
        <v>16</v>
      </c>
      <c r="G13" s="251" t="s">
        <v>88</v>
      </c>
      <c r="H13" s="251" t="s">
        <v>88</v>
      </c>
      <c r="I13" s="279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223</v>
      </c>
      <c r="B14" s="54"/>
      <c r="C14" s="54"/>
      <c r="D14" s="96"/>
      <c r="E14" s="96"/>
      <c r="F14" s="96"/>
      <c r="G14" s="358" t="s">
        <v>32</v>
      </c>
      <c r="H14" s="358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223</v>
      </c>
      <c r="B15" s="54"/>
      <c r="C15" s="54"/>
      <c r="D15" s="96"/>
      <c r="E15" s="96"/>
      <c r="F15" s="96"/>
      <c r="G15" s="357" t="s">
        <v>339</v>
      </c>
      <c r="H15" s="227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225</v>
      </c>
      <c r="B16" s="54"/>
      <c r="C16" s="54"/>
      <c r="D16" s="96"/>
      <c r="E16" s="312" t="s">
        <v>34</v>
      </c>
      <c r="F16" s="251" t="s">
        <v>88</v>
      </c>
      <c r="G16" s="268" t="s">
        <v>83</v>
      </c>
      <c r="H16" s="268" t="s">
        <v>83</v>
      </c>
      <c r="I16" s="268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225</v>
      </c>
      <c r="B17" s="54"/>
      <c r="C17" s="54"/>
      <c r="D17" s="96"/>
      <c r="E17" s="275" t="s">
        <v>253</v>
      </c>
      <c r="F17" s="275" t="s">
        <v>253</v>
      </c>
      <c r="G17" s="345" t="s">
        <v>320</v>
      </c>
      <c r="H17" s="312" t="s">
        <v>34</v>
      </c>
      <c r="I17" s="31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225</v>
      </c>
      <c r="B18" s="54"/>
      <c r="C18" s="54"/>
      <c r="D18" s="96"/>
      <c r="E18" s="96"/>
      <c r="F18" s="96"/>
      <c r="G18" s="343" t="s">
        <v>320</v>
      </c>
      <c r="H18" s="343" t="s">
        <v>320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225</v>
      </c>
      <c r="B19" s="54"/>
      <c r="C19" s="54"/>
      <c r="D19" s="96"/>
      <c r="E19" s="96"/>
      <c r="F19" s="96"/>
      <c r="G19" s="276" t="s">
        <v>41</v>
      </c>
      <c r="H19" s="276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56" t="s">
        <v>20</v>
      </c>
      <c r="F20" s="360" t="s">
        <v>20</v>
      </c>
      <c r="G20" s="313" t="s">
        <v>218</v>
      </c>
      <c r="H20" s="212" t="s">
        <v>84</v>
      </c>
      <c r="I20" s="227" t="s">
        <v>88</v>
      </c>
      <c r="J20" s="273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292</v>
      </c>
      <c r="B21" s="148"/>
      <c r="C21" s="148"/>
      <c r="D21" s="98"/>
      <c r="E21" s="344" t="s">
        <v>320</v>
      </c>
      <c r="F21" s="273" t="s">
        <v>75</v>
      </c>
      <c r="G21" s="318" t="s">
        <v>12</v>
      </c>
      <c r="H21" s="335" t="s">
        <v>7</v>
      </c>
      <c r="I21" s="345" t="s">
        <v>320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71" t="s">
        <v>253</v>
      </c>
      <c r="F22" s="359" t="s">
        <v>32</v>
      </c>
      <c r="G22" s="359" t="s">
        <v>32</v>
      </c>
      <c r="H22" s="356" t="s">
        <v>20</v>
      </c>
      <c r="I22" s="273" t="s">
        <v>41</v>
      </c>
      <c r="J22" s="269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182</v>
      </c>
      <c r="B23" s="148"/>
      <c r="C23" s="148"/>
      <c r="D23" s="98"/>
      <c r="E23" s="98"/>
      <c r="F23" s="98"/>
      <c r="G23" s="98"/>
      <c r="H23" s="98"/>
      <c r="I23" s="98"/>
      <c r="J23" s="98"/>
      <c r="K23" s="356" t="s">
        <v>20</v>
      </c>
      <c r="L23" s="99"/>
      <c r="M23" s="56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56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56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56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53" t="s">
        <v>339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9" t="s">
        <v>32</v>
      </c>
      <c r="L28" s="99"/>
      <c r="M28" s="56"/>
    </row>
    <row r="29" spans="1:42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42" ht="15" x14ac:dyDescent="0.2">
      <c r="A30" s="15"/>
      <c r="B30" s="15"/>
      <c r="C30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I8" sqref="I8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2025/26 Show Season (final)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353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01/16/2025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321</v>
      </c>
      <c r="O5" s="46" t="s">
        <v>322</v>
      </c>
      <c r="P5" s="46" t="s">
        <v>323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12" t="s">
        <v>34</v>
      </c>
      <c r="C6" s="312" t="s">
        <v>34</v>
      </c>
      <c r="D6" s="312" t="s">
        <v>34</v>
      </c>
      <c r="E6" s="312" t="s">
        <v>34</v>
      </c>
      <c r="F6" s="312" t="s">
        <v>34</v>
      </c>
      <c r="G6" s="312" t="s">
        <v>34</v>
      </c>
      <c r="H6" s="312" t="s">
        <v>34</v>
      </c>
      <c r="I6" s="31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352</v>
      </c>
      <c r="B7" s="54"/>
      <c r="C7" s="54"/>
      <c r="D7" s="217" t="s">
        <v>37</v>
      </c>
      <c r="E7" s="213" t="s">
        <v>37</v>
      </c>
      <c r="F7" s="280" t="s">
        <v>83</v>
      </c>
      <c r="G7" s="260" t="s">
        <v>83</v>
      </c>
      <c r="H7" s="260" t="s">
        <v>83</v>
      </c>
      <c r="I7" s="352" t="s">
        <v>339</v>
      </c>
      <c r="J7" s="352" t="s">
        <v>339</v>
      </c>
      <c r="K7" s="336" t="s">
        <v>7</v>
      </c>
      <c r="L7" s="337" t="s">
        <v>7</v>
      </c>
      <c r="M7" s="37"/>
      <c r="N7" s="37"/>
      <c r="O7" s="37"/>
      <c r="P7" s="38"/>
      <c r="Q7" s="56"/>
    </row>
    <row r="8" spans="1:48" ht="15" x14ac:dyDescent="0.2">
      <c r="A8" s="48" t="s">
        <v>352</v>
      </c>
      <c r="B8" s="54"/>
      <c r="C8" s="54"/>
      <c r="D8" s="54"/>
      <c r="E8" s="281" t="s">
        <v>253</v>
      </c>
      <c r="F8" s="281" t="s">
        <v>253</v>
      </c>
      <c r="G8" s="276" t="s">
        <v>41</v>
      </c>
      <c r="H8" s="276" t="s">
        <v>41</v>
      </c>
      <c r="I8" s="343" t="s">
        <v>320</v>
      </c>
      <c r="J8" s="214" t="s">
        <v>84</v>
      </c>
      <c r="K8" s="276" t="s">
        <v>75</v>
      </c>
      <c r="L8" s="210" t="s">
        <v>18</v>
      </c>
      <c r="M8" s="355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62" t="s">
        <v>20</v>
      </c>
      <c r="H9" s="362" t="s">
        <v>20</v>
      </c>
      <c r="I9" s="265" t="s">
        <v>80</v>
      </c>
      <c r="J9" s="265" t="s">
        <v>80</v>
      </c>
      <c r="K9" s="265" t="s">
        <v>80</v>
      </c>
      <c r="L9" s="265" t="s">
        <v>80</v>
      </c>
      <c r="M9" s="282" t="s">
        <v>80</v>
      </c>
      <c r="N9" s="283" t="s">
        <v>80</v>
      </c>
      <c r="O9" s="283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67" t="s">
        <v>37</v>
      </c>
      <c r="H10" s="267" t="s">
        <v>37</v>
      </c>
      <c r="I10" s="216" t="s">
        <v>37</v>
      </c>
      <c r="J10" s="216" t="s">
        <v>37</v>
      </c>
      <c r="K10" s="273" t="s">
        <v>41</v>
      </c>
      <c r="L10" s="273" t="s">
        <v>41</v>
      </c>
      <c r="M10" s="363" t="s">
        <v>41</v>
      </c>
      <c r="N10" s="355" t="s">
        <v>41</v>
      </c>
      <c r="O10" s="355" t="s">
        <v>41</v>
      </c>
      <c r="P10" s="38"/>
      <c r="Q10" s="56"/>
    </row>
    <row r="11" spans="1:48" ht="15" x14ac:dyDescent="0.2">
      <c r="A11" s="52" t="s">
        <v>239</v>
      </c>
      <c r="B11" s="52"/>
      <c r="C11" s="52"/>
      <c r="D11" s="52"/>
      <c r="E11" s="350" t="s">
        <v>20</v>
      </c>
      <c r="F11" s="350" t="s">
        <v>20</v>
      </c>
      <c r="G11" s="251" t="s">
        <v>88</v>
      </c>
      <c r="H11" s="251" t="s">
        <v>88</v>
      </c>
      <c r="I11" s="251" t="s">
        <v>88</v>
      </c>
      <c r="J11" s="251" t="s">
        <v>88</v>
      </c>
      <c r="K11" s="251" t="s">
        <v>88</v>
      </c>
      <c r="L11" s="219" t="s">
        <v>88</v>
      </c>
      <c r="M11" s="219" t="s">
        <v>88</v>
      </c>
      <c r="N11" s="230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F24" sqref="F2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2025/26 Show Season (final)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350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01/17/2025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352</v>
      </c>
      <c r="B6" s="358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352</v>
      </c>
      <c r="B7" s="268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346" t="s">
        <v>320</v>
      </c>
      <c r="C8" s="284" t="s">
        <v>253</v>
      </c>
      <c r="D8" s="364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76" t="s">
        <v>41</v>
      </c>
      <c r="C9" s="358" t="s">
        <v>32</v>
      </c>
      <c r="D9" s="357" t="s">
        <v>339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273" t="s">
        <v>41</v>
      </c>
      <c r="F10" s="273" t="s">
        <v>41</v>
      </c>
      <c r="G10" s="301" t="s">
        <v>12</v>
      </c>
      <c r="H10" s="301" t="s">
        <v>12</v>
      </c>
      <c r="I10" s="344" t="s">
        <v>320</v>
      </c>
      <c r="J10" s="273" t="s">
        <v>75</v>
      </c>
      <c r="K10" s="344" t="s">
        <v>320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14" t="s">
        <v>34</v>
      </c>
      <c r="C11" s="265" t="s">
        <v>80</v>
      </c>
      <c r="D11" s="265" t="s">
        <v>80</v>
      </c>
      <c r="E11" s="265" t="s">
        <v>80</v>
      </c>
      <c r="F11" s="265" t="s">
        <v>80</v>
      </c>
      <c r="G11" s="265" t="s">
        <v>80</v>
      </c>
      <c r="H11" s="212" t="s">
        <v>84</v>
      </c>
      <c r="I11" s="265" t="s">
        <v>80</v>
      </c>
      <c r="J11" s="265" t="s">
        <v>80</v>
      </c>
      <c r="K11" s="265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345" t="s">
        <v>320</v>
      </c>
      <c r="C12" s="345" t="s">
        <v>320</v>
      </c>
      <c r="D12" s="344" t="s">
        <v>320</v>
      </c>
      <c r="E12" s="344" t="s">
        <v>320</v>
      </c>
      <c r="F12" s="353" t="s">
        <v>339</v>
      </c>
      <c r="G12" s="209" t="s">
        <v>37</v>
      </c>
      <c r="H12" s="344" t="s">
        <v>320</v>
      </c>
      <c r="I12" s="357" t="s">
        <v>339</v>
      </c>
      <c r="J12" s="216" t="s">
        <v>37</v>
      </c>
      <c r="K12" s="21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50" t="s">
        <v>286</v>
      </c>
      <c r="B13" s="40"/>
      <c r="C13" s="37"/>
      <c r="D13" s="313" t="s">
        <v>218</v>
      </c>
      <c r="E13" s="313" t="s">
        <v>218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273" t="s">
        <v>41</v>
      </c>
      <c r="F14" s="273" t="s">
        <v>41</v>
      </c>
      <c r="G14" s="359" t="s">
        <v>32</v>
      </c>
      <c r="H14" s="359" t="s">
        <v>32</v>
      </c>
      <c r="I14" s="359" t="s">
        <v>32</v>
      </c>
      <c r="J14" s="273" t="s">
        <v>41</v>
      </c>
      <c r="K14" s="273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276" t="s">
        <v>75</v>
      </c>
      <c r="F15" s="276" t="s">
        <v>75</v>
      </c>
      <c r="G15" s="276" t="s">
        <v>41</v>
      </c>
      <c r="H15" s="276" t="s">
        <v>41</v>
      </c>
      <c r="I15" s="268" t="s">
        <v>83</v>
      </c>
      <c r="J15" s="268" t="s">
        <v>83</v>
      </c>
      <c r="K15" s="276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68" t="s">
        <v>83</v>
      </c>
      <c r="F16" s="312" t="s">
        <v>34</v>
      </c>
      <c r="G16" s="268" t="s">
        <v>83</v>
      </c>
      <c r="H16" s="268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51" t="s">
        <v>88</v>
      </c>
      <c r="F17" s="251" t="s">
        <v>88</v>
      </c>
      <c r="G17" s="251" t="s">
        <v>88</v>
      </c>
      <c r="H17" s="251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71" t="s">
        <v>253</v>
      </c>
      <c r="F18" s="271" t="s">
        <v>253</v>
      </c>
      <c r="G18" s="357" t="s">
        <v>339</v>
      </c>
      <c r="H18" s="211" t="s">
        <v>18</v>
      </c>
      <c r="I18" s="360" t="s">
        <v>20</v>
      </c>
      <c r="J18" s="359" t="s">
        <v>32</v>
      </c>
      <c r="K18" s="359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58" t="s">
        <v>32</v>
      </c>
      <c r="F19" s="358" t="s">
        <v>32</v>
      </c>
      <c r="G19" s="358" t="s">
        <v>32</v>
      </c>
      <c r="H19" s="209" t="s">
        <v>37</v>
      </c>
      <c r="I19" s="209" t="s">
        <v>37</v>
      </c>
      <c r="J19" s="215" t="s">
        <v>18</v>
      </c>
      <c r="K19" s="215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285" t="s">
        <v>16</v>
      </c>
      <c r="F20" s="285" t="s">
        <v>16</v>
      </c>
      <c r="G20" s="251" t="s">
        <v>88</v>
      </c>
      <c r="H20" s="331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343" t="s">
        <v>320</v>
      </c>
      <c r="F21" s="343" t="s">
        <v>320</v>
      </c>
      <c r="G21" s="343" t="s">
        <v>320</v>
      </c>
      <c r="H21" s="343" t="s">
        <v>320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53" t="s">
        <v>339</v>
      </c>
      <c r="F22" s="333" t="s">
        <v>7</v>
      </c>
      <c r="G22" s="333" t="s">
        <v>7</v>
      </c>
      <c r="H22" s="272" t="s">
        <v>16</v>
      </c>
      <c r="I22" s="272" t="s">
        <v>16</v>
      </c>
      <c r="J22" s="344" t="s">
        <v>320</v>
      </c>
      <c r="K22" s="345" t="s">
        <v>320</v>
      </c>
      <c r="L22" s="39"/>
      <c r="M22" s="56"/>
    </row>
    <row r="23" spans="1:14" ht="15" x14ac:dyDescent="0.2">
      <c r="A23" s="49" t="s">
        <v>293</v>
      </c>
      <c r="B23" s="40"/>
      <c r="C23" s="40"/>
      <c r="D23" s="40"/>
      <c r="E23" s="212" t="s">
        <v>84</v>
      </c>
      <c r="F23" s="269" t="s">
        <v>83</v>
      </c>
      <c r="G23" s="356" t="s">
        <v>20</v>
      </c>
      <c r="H23" s="273" t="s">
        <v>75</v>
      </c>
      <c r="I23" s="301" t="s">
        <v>12</v>
      </c>
      <c r="J23" s="301" t="s">
        <v>12</v>
      </c>
      <c r="K23" s="286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345" t="s">
        <v>320</v>
      </c>
      <c r="F24" s="345" t="s">
        <v>320</v>
      </c>
      <c r="G24" s="272" t="s">
        <v>16</v>
      </c>
      <c r="H24" s="273" t="s">
        <v>41</v>
      </c>
      <c r="I24" s="273" t="s">
        <v>41</v>
      </c>
      <c r="J24" s="273" t="s">
        <v>41</v>
      </c>
      <c r="K24" s="227" t="s">
        <v>88</v>
      </c>
      <c r="L24" s="39"/>
      <c r="M24" s="56"/>
    </row>
    <row r="25" spans="1:14" ht="15" x14ac:dyDescent="0.2">
      <c r="A25" s="49" t="s">
        <v>168</v>
      </c>
      <c r="B25" s="212" t="s">
        <v>84</v>
      </c>
      <c r="C25" s="212" t="s">
        <v>84</v>
      </c>
      <c r="D25" s="273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5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6" t="s">
        <v>32</v>
      </c>
      <c r="M27" s="56"/>
    </row>
    <row r="28" spans="1:14" ht="15" x14ac:dyDescent="0.2">
      <c r="A28" s="54" t="s">
        <v>341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7" workbookViewId="0">
      <selection activeCell="H18" sqref="H18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2025/26 Show Season (final)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351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01/18/2025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1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68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1" t="s">
        <v>18</v>
      </c>
      <c r="F8" s="273" t="s">
        <v>41</v>
      </c>
      <c r="G8" s="273" t="s">
        <v>41</v>
      </c>
      <c r="H8" s="211" t="s">
        <v>18</v>
      </c>
      <c r="I8" s="269" t="s">
        <v>83</v>
      </c>
      <c r="J8" s="344" t="s">
        <v>320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33" t="s">
        <v>7</v>
      </c>
      <c r="E9" s="273" t="s">
        <v>75</v>
      </c>
      <c r="F9" s="314" t="s">
        <v>34</v>
      </c>
      <c r="G9" s="314" t="s">
        <v>34</v>
      </c>
      <c r="H9" s="301" t="s">
        <v>12</v>
      </c>
      <c r="I9" s="344" t="s">
        <v>320</v>
      </c>
      <c r="J9" s="353" t="s">
        <v>339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72" t="s">
        <v>16</v>
      </c>
      <c r="E10" s="216" t="s">
        <v>37</v>
      </c>
      <c r="F10" s="269" t="s">
        <v>83</v>
      </c>
      <c r="G10" s="356" t="s">
        <v>20</v>
      </c>
      <c r="H10" s="344" t="s">
        <v>320</v>
      </c>
      <c r="I10" s="216" t="s">
        <v>37</v>
      </c>
      <c r="J10" s="269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71" t="s">
        <v>253</v>
      </c>
      <c r="F11" s="271" t="s">
        <v>253</v>
      </c>
      <c r="G11" s="301" t="s">
        <v>12</v>
      </c>
      <c r="H11" s="301" t="s">
        <v>12</v>
      </c>
      <c r="I11" s="353" t="s">
        <v>339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343" t="s">
        <v>320</v>
      </c>
      <c r="F12" s="343" t="s">
        <v>320</v>
      </c>
      <c r="G12" s="343" t="s">
        <v>320</v>
      </c>
      <c r="H12" s="343" t="s">
        <v>320</v>
      </c>
      <c r="I12" s="276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59" t="s">
        <v>32</v>
      </c>
      <c r="H13" s="358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67" t="s">
        <v>20</v>
      </c>
      <c r="H14" s="268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53" t="s">
        <v>339</v>
      </c>
      <c r="F15" s="353" t="s">
        <v>339</v>
      </c>
      <c r="G15" s="353" t="s">
        <v>339</v>
      </c>
      <c r="H15" s="273" t="s">
        <v>41</v>
      </c>
      <c r="I15" s="273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51" t="s">
        <v>88</v>
      </c>
      <c r="F16" s="251" t="s">
        <v>88</v>
      </c>
      <c r="G16" s="276" t="s">
        <v>41</v>
      </c>
      <c r="H16" s="251" t="s">
        <v>88</v>
      </c>
      <c r="I16" s="215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12" t="s">
        <v>34</v>
      </c>
      <c r="H17" s="31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51" t="s">
        <v>88</v>
      </c>
      <c r="H18" s="345" t="s">
        <v>320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59" t="s">
        <v>32</v>
      </c>
      <c r="F19" s="359" t="s">
        <v>32</v>
      </c>
      <c r="G19" s="269" t="s">
        <v>83</v>
      </c>
      <c r="H19" s="212" t="s">
        <v>84</v>
      </c>
      <c r="I19" s="301" t="s">
        <v>12</v>
      </c>
      <c r="J19" s="301" t="s">
        <v>12</v>
      </c>
      <c r="K19" s="39"/>
      <c r="L19" s="56"/>
    </row>
    <row r="20" spans="1:12" ht="15" x14ac:dyDescent="0.2">
      <c r="A20" s="49" t="s">
        <v>292</v>
      </c>
      <c r="B20" s="148"/>
      <c r="C20" s="148"/>
      <c r="D20" s="40"/>
      <c r="E20" s="301" t="s">
        <v>12</v>
      </c>
      <c r="F20" s="301" t="s">
        <v>12</v>
      </c>
      <c r="G20" s="273" t="s">
        <v>75</v>
      </c>
      <c r="H20" s="353" t="s">
        <v>339</v>
      </c>
      <c r="I20" s="344" t="s">
        <v>320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31" t="s">
        <v>7</v>
      </c>
      <c r="F21" s="272" t="s">
        <v>16</v>
      </c>
      <c r="G21" s="272" t="s">
        <v>16</v>
      </c>
      <c r="H21" s="273" t="s">
        <v>41</v>
      </c>
      <c r="I21" s="273" t="s">
        <v>41</v>
      </c>
      <c r="J21" s="359" t="s">
        <v>32</v>
      </c>
      <c r="K21" s="39"/>
      <c r="L21" s="56"/>
    </row>
    <row r="22" spans="1:12" ht="15" x14ac:dyDescent="0.2">
      <c r="A22" s="323" t="s">
        <v>342</v>
      </c>
      <c r="B22" s="148"/>
      <c r="C22" s="148"/>
      <c r="D22" s="40"/>
      <c r="E22" s="378"/>
      <c r="F22" s="378"/>
      <c r="G22" s="378"/>
      <c r="H22" s="378"/>
      <c r="I22" s="378"/>
      <c r="J22" s="378"/>
      <c r="K22" s="39"/>
      <c r="L22" s="56"/>
    </row>
    <row r="23" spans="1:12" ht="15" x14ac:dyDescent="0.2">
      <c r="A23" s="49" t="s">
        <v>169</v>
      </c>
      <c r="B23" s="148"/>
      <c r="C23" s="148"/>
      <c r="D23" s="353" t="s">
        <v>339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68" t="s">
        <v>339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69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69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69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69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70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04" t="s">
        <v>133</v>
      </c>
      <c r="B2" s="19"/>
      <c r="C2" s="339" t="s">
        <v>18</v>
      </c>
      <c r="D2" s="20"/>
    </row>
    <row r="3" spans="1:26" ht="20.25" customHeight="1" x14ac:dyDescent="0.25">
      <c r="A3" s="25" t="s">
        <v>112</v>
      </c>
      <c r="B3" s="376" t="str">
        <f>VLOOKUP(ClubSumSymbol,ClubList,2,FALSE)</f>
        <v>Trinity River Express</v>
      </c>
      <c r="C3" s="377"/>
      <c r="D3" s="377"/>
      <c r="E3" s="377"/>
      <c r="F3" s="377"/>
      <c r="G3" s="377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31" t="str">
        <f>Issue</f>
        <v>2025/26 Show Season (final)</v>
      </c>
    </row>
    <row r="7" spans="1:26" x14ac:dyDescent="0.2">
      <c r="B7" s="232" t="s">
        <v>299</v>
      </c>
      <c r="C7" s="232" t="s">
        <v>300</v>
      </c>
      <c r="D7" s="233" t="s">
        <v>141</v>
      </c>
      <c r="E7" s="233" t="s">
        <v>192</v>
      </c>
      <c r="F7" s="233" t="s">
        <v>103</v>
      </c>
    </row>
    <row r="8" spans="1:26" x14ac:dyDescent="0.2">
      <c r="A8" s="68" t="s">
        <v>140</v>
      </c>
      <c r="B8" s="234">
        <f>SUMIF(FALLPreshowTaskClubs,C2,FALLPreshowTaskHours)</f>
        <v>1</v>
      </c>
      <c r="C8" s="234">
        <f>COUNTIF(B11:Z26,"TREX")</f>
        <v>8</v>
      </c>
      <c r="D8" s="234">
        <f>SUMIF(DATPreshowTaskClubs,C2,DATPreshowTaskHours)</f>
        <v>1</v>
      </c>
      <c r="E8" s="234">
        <f>COUNTIF(B29:Z44,"TREX")</f>
        <v>7</v>
      </c>
      <c r="F8" s="234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6"/>
      <c r="B11" s="206"/>
      <c r="C11" s="206"/>
      <c r="D11" s="206"/>
      <c r="E11" s="207" t="s">
        <v>297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5" thickBot="1" x14ac:dyDescent="0.25">
      <c r="A13" s="205" t="s">
        <v>298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">
      <c r="A14" s="208" t="s">
        <v>278</v>
      </c>
      <c r="B14" s="208">
        <v>1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x14ac:dyDescent="0.2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ht="13.5" thickBot="1" x14ac:dyDescent="0.25">
      <c r="A16" s="205" t="s">
        <v>347</v>
      </c>
      <c r="B16" s="205" t="s">
        <v>92</v>
      </c>
      <c r="C16" s="205" t="s">
        <v>93</v>
      </c>
      <c r="D16" s="205" t="s">
        <v>94</v>
      </c>
      <c r="E16" s="205" t="s">
        <v>95</v>
      </c>
      <c r="F16" s="205" t="s">
        <v>96</v>
      </c>
      <c r="G16" s="205" t="s">
        <v>97</v>
      </c>
      <c r="H16" s="205" t="s">
        <v>98</v>
      </c>
      <c r="I16" s="205" t="s">
        <v>99</v>
      </c>
      <c r="J16" s="205" t="s">
        <v>100</v>
      </c>
      <c r="K16" s="205" t="s">
        <v>101</v>
      </c>
      <c r="L16" s="205" t="s">
        <v>110</v>
      </c>
      <c r="M16" s="205" t="s">
        <v>132</v>
      </c>
      <c r="N16" s="205" t="s">
        <v>321</v>
      </c>
      <c r="O16" s="205" t="s">
        <v>322</v>
      </c>
      <c r="P16" s="205" t="s">
        <v>323</v>
      </c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x14ac:dyDescent="0.2">
      <c r="A17" s="208" t="s">
        <v>352</v>
      </c>
      <c r="B17" s="208" t="s">
        <v>329</v>
      </c>
      <c r="C17" s="208" t="s">
        <v>329</v>
      </c>
      <c r="D17" s="208" t="s">
        <v>329</v>
      </c>
      <c r="E17" s="208" t="s">
        <v>329</v>
      </c>
      <c r="F17" s="208" t="s">
        <v>329</v>
      </c>
      <c r="G17" s="208" t="s">
        <v>329</v>
      </c>
      <c r="H17" s="208" t="s">
        <v>329</v>
      </c>
      <c r="I17" s="208" t="s">
        <v>329</v>
      </c>
      <c r="J17" s="208" t="s">
        <v>329</v>
      </c>
      <c r="K17" s="208" t="s">
        <v>329</v>
      </c>
      <c r="L17" s="208" t="s">
        <v>329</v>
      </c>
      <c r="M17" s="208" t="s">
        <v>18</v>
      </c>
      <c r="N17" s="208" t="s">
        <v>329</v>
      </c>
      <c r="O17" s="208" t="s">
        <v>329</v>
      </c>
      <c r="P17" s="208" t="s">
        <v>329</v>
      </c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ht="13.5" thickBot="1" x14ac:dyDescent="0.25">
      <c r="A19" s="205" t="s">
        <v>348</v>
      </c>
      <c r="B19" s="205" t="s">
        <v>92</v>
      </c>
      <c r="C19" s="205" t="s">
        <v>93</v>
      </c>
      <c r="D19" s="205" t="s">
        <v>94</v>
      </c>
      <c r="E19" s="205" t="s">
        <v>95</v>
      </c>
      <c r="F19" s="205" t="s">
        <v>96</v>
      </c>
      <c r="G19" s="205" t="s">
        <v>97</v>
      </c>
      <c r="H19" s="205" t="s">
        <v>98</v>
      </c>
      <c r="I19" s="205" t="s">
        <v>99</v>
      </c>
      <c r="J19" s="205" t="s">
        <v>100</v>
      </c>
      <c r="K19" s="205" t="s">
        <v>101</v>
      </c>
      <c r="L19" s="205" t="s">
        <v>110</v>
      </c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x14ac:dyDescent="0.2">
      <c r="A20" s="208" t="s">
        <v>221</v>
      </c>
      <c r="B20" s="208" t="s">
        <v>329</v>
      </c>
      <c r="C20" s="208" t="s">
        <v>329</v>
      </c>
      <c r="D20" s="208" t="s">
        <v>329</v>
      </c>
      <c r="E20" s="208" t="s">
        <v>18</v>
      </c>
      <c r="F20" s="208" t="s">
        <v>18</v>
      </c>
      <c r="G20" s="208" t="s">
        <v>329</v>
      </c>
      <c r="H20" s="208" t="s">
        <v>329</v>
      </c>
      <c r="I20" s="208" t="s">
        <v>329</v>
      </c>
      <c r="J20" s="208" t="s">
        <v>18</v>
      </c>
      <c r="K20" s="208" t="s">
        <v>329</v>
      </c>
      <c r="L20" s="208" t="s">
        <v>329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">
      <c r="A21" s="326" t="s">
        <v>222</v>
      </c>
      <c r="B21" s="326" t="s">
        <v>329</v>
      </c>
      <c r="C21" s="326" t="s">
        <v>329</v>
      </c>
      <c r="D21" s="326" t="s">
        <v>329</v>
      </c>
      <c r="E21" s="326" t="s">
        <v>329</v>
      </c>
      <c r="F21" s="326" t="s">
        <v>329</v>
      </c>
      <c r="G21" s="326" t="s">
        <v>329</v>
      </c>
      <c r="H21" s="326" t="s">
        <v>18</v>
      </c>
      <c r="I21" s="326" t="s">
        <v>329</v>
      </c>
      <c r="J21" s="326" t="s">
        <v>329</v>
      </c>
      <c r="K21" s="326" t="s">
        <v>329</v>
      </c>
      <c r="L21" s="326" t="s">
        <v>329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">
      <c r="A22" s="206"/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ht="13.5" thickBot="1" x14ac:dyDescent="0.25">
      <c r="A23" s="205" t="s">
        <v>349</v>
      </c>
      <c r="B23" s="205" t="s">
        <v>92</v>
      </c>
      <c r="C23" s="205" t="s">
        <v>93</v>
      </c>
      <c r="D23" s="205" t="s">
        <v>94</v>
      </c>
      <c r="E23" s="205" t="s">
        <v>95</v>
      </c>
      <c r="F23" s="205" t="s">
        <v>96</v>
      </c>
      <c r="G23" s="205" t="s">
        <v>97</v>
      </c>
      <c r="H23" s="205" t="s">
        <v>98</v>
      </c>
      <c r="I23" s="205" t="s">
        <v>99</v>
      </c>
      <c r="J23" s="205" t="s">
        <v>100</v>
      </c>
      <c r="K23" s="205" t="s">
        <v>101</v>
      </c>
      <c r="L23" s="205" t="s">
        <v>110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">
      <c r="A24" s="208" t="s">
        <v>229</v>
      </c>
      <c r="B24" s="208" t="s">
        <v>329</v>
      </c>
      <c r="C24" s="208" t="s">
        <v>329</v>
      </c>
      <c r="D24" s="208" t="s">
        <v>329</v>
      </c>
      <c r="E24" s="208" t="s">
        <v>329</v>
      </c>
      <c r="F24" s="208" t="s">
        <v>329</v>
      </c>
      <c r="G24" s="208" t="s">
        <v>18</v>
      </c>
      <c r="H24" s="208" t="s">
        <v>18</v>
      </c>
      <c r="I24" s="208" t="s">
        <v>329</v>
      </c>
      <c r="J24" s="208" t="s">
        <v>329</v>
      </c>
      <c r="K24" s="208" t="s">
        <v>329</v>
      </c>
      <c r="L24" s="208" t="s">
        <v>329</v>
      </c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x14ac:dyDescent="0.2">
      <c r="A25" s="326" t="s">
        <v>165</v>
      </c>
      <c r="B25" s="326" t="s">
        <v>329</v>
      </c>
      <c r="C25" s="326" t="s">
        <v>329</v>
      </c>
      <c r="D25" s="326" t="s">
        <v>329</v>
      </c>
      <c r="E25" s="326" t="s">
        <v>329</v>
      </c>
      <c r="F25" s="326" t="s">
        <v>329</v>
      </c>
      <c r="G25" s="326" t="s">
        <v>18</v>
      </c>
      <c r="H25" s="326" t="s">
        <v>329</v>
      </c>
      <c r="I25" s="326" t="s">
        <v>329</v>
      </c>
      <c r="J25" s="326" t="s">
        <v>329</v>
      </c>
      <c r="K25" s="326" t="s">
        <v>329</v>
      </c>
      <c r="L25" s="326" t="s">
        <v>329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">
      <c r="A26" s="206"/>
      <c r="B26" s="206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x14ac:dyDescent="0.2">
      <c r="A27" s="206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">
      <c r="A29" s="206"/>
      <c r="B29" s="206"/>
      <c r="C29" s="206"/>
      <c r="D29" s="206"/>
      <c r="E29" s="207" t="s">
        <v>346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ht="13.5" thickBot="1" x14ac:dyDescent="0.25">
      <c r="A31" s="205" t="s">
        <v>298</v>
      </c>
      <c r="B31" s="205" t="s">
        <v>162</v>
      </c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">
      <c r="A32" s="208" t="s">
        <v>278</v>
      </c>
      <c r="B32" s="208">
        <v>1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ht="13.5" thickBot="1" x14ac:dyDescent="0.25">
      <c r="A34" s="205" t="s">
        <v>353</v>
      </c>
      <c r="B34" s="205" t="s">
        <v>92</v>
      </c>
      <c r="C34" s="205" t="s">
        <v>93</v>
      </c>
      <c r="D34" s="205" t="s">
        <v>94</v>
      </c>
      <c r="E34" s="205" t="s">
        <v>95</v>
      </c>
      <c r="F34" s="205" t="s">
        <v>96</v>
      </c>
      <c r="G34" s="205" t="s">
        <v>97</v>
      </c>
      <c r="H34" s="205" t="s">
        <v>98</v>
      </c>
      <c r="I34" s="205" t="s">
        <v>99</v>
      </c>
      <c r="J34" s="205" t="s">
        <v>100</v>
      </c>
      <c r="K34" s="205" t="s">
        <v>101</v>
      </c>
      <c r="L34" s="205" t="s">
        <v>110</v>
      </c>
      <c r="M34" s="205" t="s">
        <v>132</v>
      </c>
      <c r="N34" s="205" t="s">
        <v>321</v>
      </c>
      <c r="O34" s="205" t="s">
        <v>322</v>
      </c>
      <c r="P34" s="205" t="s">
        <v>323</v>
      </c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x14ac:dyDescent="0.2">
      <c r="A35" s="208" t="s">
        <v>352</v>
      </c>
      <c r="B35" s="208" t="s">
        <v>329</v>
      </c>
      <c r="C35" s="208" t="s">
        <v>329</v>
      </c>
      <c r="D35" s="208" t="s">
        <v>329</v>
      </c>
      <c r="E35" s="208" t="s">
        <v>329</v>
      </c>
      <c r="F35" s="208" t="s">
        <v>329</v>
      </c>
      <c r="G35" s="208" t="s">
        <v>329</v>
      </c>
      <c r="H35" s="208" t="s">
        <v>329</v>
      </c>
      <c r="I35" s="208" t="s">
        <v>329</v>
      </c>
      <c r="J35" s="208" t="s">
        <v>329</v>
      </c>
      <c r="K35" s="208" t="s">
        <v>329</v>
      </c>
      <c r="L35" s="208" t="s">
        <v>18</v>
      </c>
      <c r="M35" s="208" t="s">
        <v>329</v>
      </c>
      <c r="N35" s="208" t="s">
        <v>329</v>
      </c>
      <c r="O35" s="208" t="s">
        <v>329</v>
      </c>
      <c r="P35" s="208" t="s">
        <v>329</v>
      </c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x14ac:dyDescent="0.2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ht="13.5" thickBot="1" x14ac:dyDescent="0.25">
      <c r="A37" s="205" t="s">
        <v>350</v>
      </c>
      <c r="B37" s="205" t="s">
        <v>92</v>
      </c>
      <c r="C37" s="205" t="s">
        <v>93</v>
      </c>
      <c r="D37" s="205" t="s">
        <v>94</v>
      </c>
      <c r="E37" s="205" t="s">
        <v>95</v>
      </c>
      <c r="F37" s="205" t="s">
        <v>96</v>
      </c>
      <c r="G37" s="205" t="s">
        <v>97</v>
      </c>
      <c r="H37" s="205" t="s">
        <v>98</v>
      </c>
      <c r="I37" s="205" t="s">
        <v>99</v>
      </c>
      <c r="J37" s="205" t="s">
        <v>100</v>
      </c>
      <c r="K37" s="205" t="s">
        <v>101</v>
      </c>
      <c r="L37" s="205" t="s">
        <v>110</v>
      </c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x14ac:dyDescent="0.2">
      <c r="A38" s="208" t="s">
        <v>180</v>
      </c>
      <c r="B38" s="208" t="s">
        <v>329</v>
      </c>
      <c r="C38" s="208" t="s">
        <v>329</v>
      </c>
      <c r="D38" s="208" t="s">
        <v>329</v>
      </c>
      <c r="E38" s="208" t="s">
        <v>329</v>
      </c>
      <c r="F38" s="208" t="s">
        <v>329</v>
      </c>
      <c r="G38" s="208" t="s">
        <v>329</v>
      </c>
      <c r="H38" s="208" t="s">
        <v>18</v>
      </c>
      <c r="I38" s="208" t="s">
        <v>329</v>
      </c>
      <c r="J38" s="208" t="s">
        <v>329</v>
      </c>
      <c r="K38" s="208" t="s">
        <v>329</v>
      </c>
      <c r="L38" s="208" t="s">
        <v>329</v>
      </c>
      <c r="M38" s="206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">
      <c r="A39" s="326" t="s">
        <v>180</v>
      </c>
      <c r="B39" s="326" t="s">
        <v>329</v>
      </c>
      <c r="C39" s="326" t="s">
        <v>329</v>
      </c>
      <c r="D39" s="326" t="s">
        <v>329</v>
      </c>
      <c r="E39" s="326" t="s">
        <v>329</v>
      </c>
      <c r="F39" s="326" t="s">
        <v>329</v>
      </c>
      <c r="G39" s="326" t="s">
        <v>329</v>
      </c>
      <c r="H39" s="326" t="s">
        <v>329</v>
      </c>
      <c r="I39" s="326" t="s">
        <v>329</v>
      </c>
      <c r="J39" s="326" t="s">
        <v>18</v>
      </c>
      <c r="K39" s="326" t="s">
        <v>18</v>
      </c>
      <c r="L39" s="326" t="s">
        <v>329</v>
      </c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5" thickBot="1" x14ac:dyDescent="0.25">
      <c r="A41" s="205" t="s">
        <v>351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">
      <c r="A42" s="208" t="s">
        <v>177</v>
      </c>
      <c r="B42" s="208" t="s">
        <v>329</v>
      </c>
      <c r="C42" s="208" t="s">
        <v>329</v>
      </c>
      <c r="D42" s="208" t="s">
        <v>329</v>
      </c>
      <c r="E42" s="208" t="s">
        <v>18</v>
      </c>
      <c r="F42" s="208" t="s">
        <v>329</v>
      </c>
      <c r="G42" s="208" t="s">
        <v>329</v>
      </c>
      <c r="H42" s="208" t="s">
        <v>18</v>
      </c>
      <c r="I42" s="208" t="s">
        <v>329</v>
      </c>
      <c r="J42" s="208" t="s">
        <v>329</v>
      </c>
      <c r="K42" s="208" t="s">
        <v>329</v>
      </c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">
      <c r="A43" s="326" t="s">
        <v>181</v>
      </c>
      <c r="B43" s="326" t="s">
        <v>329</v>
      </c>
      <c r="C43" s="326" t="s">
        <v>329</v>
      </c>
      <c r="D43" s="326" t="s">
        <v>329</v>
      </c>
      <c r="E43" s="326" t="s">
        <v>329</v>
      </c>
      <c r="F43" s="326" t="s">
        <v>329</v>
      </c>
      <c r="G43" s="326" t="s">
        <v>329</v>
      </c>
      <c r="H43" s="326" t="s">
        <v>329</v>
      </c>
      <c r="I43" s="326" t="s">
        <v>18</v>
      </c>
      <c r="J43" s="326" t="s">
        <v>329</v>
      </c>
      <c r="K43" s="326" t="s">
        <v>329</v>
      </c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x14ac:dyDescent="0.2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x14ac:dyDescent="0.2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06" t="s">
        <v>191</v>
      </c>
      <c r="B1" s="15" t="str">
        <f>Issue</f>
        <v>2025/26 Show Season (final)</v>
      </c>
      <c r="C1" s="74"/>
    </row>
    <row r="2" spans="1:26" x14ac:dyDescent="0.25">
      <c r="H2" s="132"/>
      <c r="I2"/>
    </row>
    <row r="3" spans="1:26" ht="19.5" customHeight="1" x14ac:dyDescent="0.4">
      <c r="B3" s="249"/>
      <c r="C3" s="305" t="s">
        <v>262</v>
      </c>
      <c r="D3" s="76"/>
      <c r="E3" s="77" t="str">
        <f>VLOOKUP(SelShowDay,ShowDates,3,FALSE)</f>
        <v>Sunday 01/18/2025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236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281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282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253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339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236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281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282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253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253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253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339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339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320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283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218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339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320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339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253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253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218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339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320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305</v>
      </c>
    </row>
    <row r="5" spans="1:28" ht="65.25" x14ac:dyDescent="0.25">
      <c r="A5" s="237"/>
      <c r="B5" s="238" t="s">
        <v>325</v>
      </c>
      <c r="C5" s="239" t="s">
        <v>4</v>
      </c>
      <c r="D5" s="240" t="s">
        <v>83</v>
      </c>
      <c r="E5" s="240" t="s">
        <v>216</v>
      </c>
      <c r="F5" s="240" t="s">
        <v>16</v>
      </c>
      <c r="G5" s="240" t="s">
        <v>75</v>
      </c>
      <c r="H5" s="240" t="s">
        <v>12</v>
      </c>
      <c r="I5" s="240" t="s">
        <v>32</v>
      </c>
      <c r="J5" s="240" t="s">
        <v>320</v>
      </c>
      <c r="K5" s="240" t="s">
        <v>25</v>
      </c>
      <c r="L5" s="240" t="s">
        <v>81</v>
      </c>
      <c r="M5" s="240" t="s">
        <v>80</v>
      </c>
      <c r="N5" s="240" t="s">
        <v>218</v>
      </c>
      <c r="O5" s="240" t="s">
        <v>144</v>
      </c>
      <c r="P5" s="240" t="s">
        <v>20</v>
      </c>
      <c r="Q5" s="240" t="s">
        <v>253</v>
      </c>
      <c r="R5" s="240" t="s">
        <v>88</v>
      </c>
      <c r="S5" s="240" t="s">
        <v>84</v>
      </c>
      <c r="T5" s="240" t="s">
        <v>34</v>
      </c>
      <c r="U5" s="240" t="s">
        <v>339</v>
      </c>
      <c r="V5" s="240" t="s">
        <v>41</v>
      </c>
      <c r="W5" s="240" t="s">
        <v>212</v>
      </c>
      <c r="X5" s="240" t="s">
        <v>37</v>
      </c>
      <c r="Y5" s="240" t="s">
        <v>7</v>
      </c>
      <c r="Z5" s="240" t="s">
        <v>18</v>
      </c>
      <c r="AA5" s="239" t="s">
        <v>103</v>
      </c>
      <c r="AB5" s="241" t="s">
        <v>184</v>
      </c>
    </row>
    <row r="6" spans="1:28" x14ac:dyDescent="0.2">
      <c r="A6" s="242" t="s">
        <v>6</v>
      </c>
      <c r="B6" s="243" t="s">
        <v>271</v>
      </c>
      <c r="C6" s="243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3">
        <v>4</v>
      </c>
      <c r="AB6" s="244">
        <v>0</v>
      </c>
    </row>
    <row r="7" spans="1:28" x14ac:dyDescent="0.2">
      <c r="A7" s="242" t="s">
        <v>8</v>
      </c>
      <c r="B7" s="243" t="s">
        <v>272</v>
      </c>
      <c r="C7" s="243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3">
        <v>2</v>
      </c>
      <c r="AB7" s="244">
        <v>0</v>
      </c>
    </row>
    <row r="8" spans="1:28" x14ac:dyDescent="0.2">
      <c r="A8" s="242" t="s">
        <v>9</v>
      </c>
      <c r="B8" s="243" t="s">
        <v>273</v>
      </c>
      <c r="C8" s="243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3">
        <v>2</v>
      </c>
      <c r="AB8" s="244">
        <v>0</v>
      </c>
    </row>
    <row r="9" spans="1:28" x14ac:dyDescent="0.2">
      <c r="A9" s="242" t="s">
        <v>9</v>
      </c>
      <c r="B9" s="243" t="s">
        <v>340</v>
      </c>
      <c r="C9" s="243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3">
        <v>9</v>
      </c>
      <c r="AB9" s="244">
        <v>0</v>
      </c>
    </row>
    <row r="10" spans="1:28" x14ac:dyDescent="0.2">
      <c r="A10" s="242" t="s">
        <v>10</v>
      </c>
      <c r="B10" s="243" t="s">
        <v>274</v>
      </c>
      <c r="C10" s="243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3">
        <v>2</v>
      </c>
      <c r="AB10" s="244">
        <v>0</v>
      </c>
    </row>
    <row r="11" spans="1:28" x14ac:dyDescent="0.2">
      <c r="A11" s="242" t="s">
        <v>11</v>
      </c>
      <c r="B11" s="243" t="s">
        <v>288</v>
      </c>
      <c r="C11" s="243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3">
        <v>8</v>
      </c>
      <c r="AB11" s="244">
        <v>0</v>
      </c>
    </row>
    <row r="12" spans="1:28" x14ac:dyDescent="0.2">
      <c r="A12" s="242"/>
      <c r="B12" s="243"/>
      <c r="C12" s="243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3"/>
      <c r="AB12" s="244">
        <v>0</v>
      </c>
    </row>
    <row r="13" spans="1:28" x14ac:dyDescent="0.2">
      <c r="A13" s="242" t="s">
        <v>13</v>
      </c>
      <c r="B13" s="243" t="s">
        <v>275</v>
      </c>
      <c r="C13" s="243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3">
        <v>6</v>
      </c>
      <c r="AB13" s="244">
        <v>0</v>
      </c>
    </row>
    <row r="14" spans="1:28" x14ac:dyDescent="0.2">
      <c r="A14" s="242" t="s">
        <v>14</v>
      </c>
      <c r="B14" s="243"/>
      <c r="C14" s="243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3"/>
      <c r="AB14" s="244">
        <v>0</v>
      </c>
    </row>
    <row r="15" spans="1:28" x14ac:dyDescent="0.2">
      <c r="A15" s="242" t="s">
        <v>15</v>
      </c>
      <c r="B15" s="243"/>
      <c r="C15" s="243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3"/>
      <c r="AB15" s="244">
        <v>0</v>
      </c>
    </row>
    <row r="16" spans="1:28" x14ac:dyDescent="0.2">
      <c r="A16" s="242" t="s">
        <v>209</v>
      </c>
      <c r="B16" s="243" t="s">
        <v>210</v>
      </c>
      <c r="C16" s="243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3">
        <v>8</v>
      </c>
      <c r="AB16" s="244">
        <v>0</v>
      </c>
    </row>
    <row r="17" spans="1:28" x14ac:dyDescent="0.2">
      <c r="A17" s="242" t="s">
        <v>17</v>
      </c>
      <c r="B17" s="243" t="s">
        <v>289</v>
      </c>
      <c r="C17" s="243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3">
        <v>10</v>
      </c>
      <c r="AB17" s="244">
        <v>0</v>
      </c>
    </row>
    <row r="18" spans="1:28" x14ac:dyDescent="0.2">
      <c r="A18" s="242" t="s">
        <v>19</v>
      </c>
      <c r="B18" s="243"/>
      <c r="C18" s="243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3"/>
      <c r="AB18" s="244">
        <v>0</v>
      </c>
    </row>
    <row r="19" spans="1:28" x14ac:dyDescent="0.2">
      <c r="A19" s="242" t="s">
        <v>21</v>
      </c>
      <c r="B19" s="243"/>
      <c r="C19" s="243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3"/>
      <c r="AB19" s="244">
        <v>0</v>
      </c>
    </row>
    <row r="20" spans="1:28" x14ac:dyDescent="0.2">
      <c r="A20" s="242" t="s">
        <v>22</v>
      </c>
      <c r="B20" s="243" t="s">
        <v>23</v>
      </c>
      <c r="C20" s="243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3">
        <v>8</v>
      </c>
      <c r="AB20" s="244">
        <v>0</v>
      </c>
    </row>
    <row r="21" spans="1:28" x14ac:dyDescent="0.2">
      <c r="A21" s="242" t="s">
        <v>24</v>
      </c>
      <c r="B21" s="243" t="s">
        <v>337</v>
      </c>
      <c r="C21" s="243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3">
        <v>4</v>
      </c>
      <c r="AB21" s="244">
        <v>0</v>
      </c>
    </row>
    <row r="22" spans="1:28" x14ac:dyDescent="0.2">
      <c r="A22" s="242" t="s">
        <v>26</v>
      </c>
      <c r="B22" s="243" t="s">
        <v>27</v>
      </c>
      <c r="C22" s="243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3">
        <v>12</v>
      </c>
      <c r="AB22" s="244">
        <v>0</v>
      </c>
    </row>
    <row r="23" spans="1:28" x14ac:dyDescent="0.2">
      <c r="A23" s="242" t="s">
        <v>28</v>
      </c>
      <c r="B23" s="243"/>
      <c r="C23" s="243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3"/>
      <c r="AB23" s="244">
        <v>0</v>
      </c>
    </row>
    <row r="24" spans="1:28" x14ac:dyDescent="0.2">
      <c r="A24" s="242" t="s">
        <v>29</v>
      </c>
      <c r="B24" s="243"/>
      <c r="C24" s="243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3"/>
      <c r="AB24" s="244">
        <v>0</v>
      </c>
    </row>
    <row r="25" spans="1:28" x14ac:dyDescent="0.2">
      <c r="A25" s="242" t="s">
        <v>30</v>
      </c>
      <c r="B25" s="243" t="s">
        <v>31</v>
      </c>
      <c r="C25" s="243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3">
        <v>10</v>
      </c>
      <c r="AB25" s="244">
        <v>0</v>
      </c>
    </row>
    <row r="26" spans="1:28" x14ac:dyDescent="0.2">
      <c r="A26" s="242" t="s">
        <v>33</v>
      </c>
      <c r="B26" s="243" t="s">
        <v>277</v>
      </c>
      <c r="C26" s="243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3">
        <v>6</v>
      </c>
      <c r="AB26" s="244">
        <v>0</v>
      </c>
    </row>
    <row r="27" spans="1:28" x14ac:dyDescent="0.2">
      <c r="A27" s="242" t="s">
        <v>35</v>
      </c>
      <c r="B27" s="243" t="s">
        <v>36</v>
      </c>
      <c r="C27" s="243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3">
        <v>4</v>
      </c>
      <c r="AB27" s="244">
        <v>0</v>
      </c>
    </row>
    <row r="28" spans="1:28" x14ac:dyDescent="0.2">
      <c r="A28" s="242" t="s">
        <v>38</v>
      </c>
      <c r="B28" s="243"/>
      <c r="C28" s="243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3"/>
      <c r="AB28" s="244">
        <v>0</v>
      </c>
    </row>
    <row r="29" spans="1:28" x14ac:dyDescent="0.2">
      <c r="A29" s="242" t="s">
        <v>211</v>
      </c>
      <c r="B29" s="243" t="s">
        <v>290</v>
      </c>
      <c r="C29" s="243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3">
        <v>0</v>
      </c>
      <c r="AB29" s="244">
        <v>0</v>
      </c>
    </row>
    <row r="30" spans="1:28" x14ac:dyDescent="0.2">
      <c r="A30" s="242"/>
      <c r="B30" s="243" t="s">
        <v>291</v>
      </c>
      <c r="C30" s="243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3">
        <v>0</v>
      </c>
      <c r="AB30" s="244">
        <v>0</v>
      </c>
    </row>
    <row r="31" spans="1:28" x14ac:dyDescent="0.2">
      <c r="A31" s="242" t="s">
        <v>39</v>
      </c>
      <c r="B31" s="243" t="s">
        <v>40</v>
      </c>
      <c r="C31" s="243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3">
        <v>1</v>
      </c>
      <c r="AB31" s="244">
        <v>0</v>
      </c>
    </row>
    <row r="32" spans="1:28" x14ac:dyDescent="0.2">
      <c r="A32" s="242" t="s">
        <v>42</v>
      </c>
      <c r="B32" s="243" t="s">
        <v>43</v>
      </c>
      <c r="C32" s="243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3">
        <v>12</v>
      </c>
      <c r="AB32" s="244">
        <v>0</v>
      </c>
    </row>
    <row r="33" spans="1:28" x14ac:dyDescent="0.2">
      <c r="A33" s="242" t="s">
        <v>44</v>
      </c>
      <c r="B33" s="243" t="s">
        <v>278</v>
      </c>
      <c r="C33" s="243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3">
        <v>1</v>
      </c>
      <c r="AB33" s="244">
        <v>0</v>
      </c>
    </row>
    <row r="34" spans="1:28" x14ac:dyDescent="0.2">
      <c r="A34" s="242" t="s">
        <v>45</v>
      </c>
      <c r="B34" s="243" t="s">
        <v>46</v>
      </c>
      <c r="C34" s="243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3">
        <v>2</v>
      </c>
      <c r="AB34" s="244">
        <v>0</v>
      </c>
    </row>
    <row r="35" spans="1:28" x14ac:dyDescent="0.2">
      <c r="A35" s="242" t="s">
        <v>47</v>
      </c>
      <c r="B35" s="243" t="s">
        <v>279</v>
      </c>
      <c r="C35" s="243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3">
        <v>2</v>
      </c>
      <c r="AB35" s="244">
        <v>0</v>
      </c>
    </row>
    <row r="36" spans="1:28" x14ac:dyDescent="0.2">
      <c r="A36" s="242" t="s">
        <v>48</v>
      </c>
      <c r="B36" s="243" t="s">
        <v>287</v>
      </c>
      <c r="C36" s="243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3">
        <v>2</v>
      </c>
      <c r="AB36" s="244">
        <v>0</v>
      </c>
    </row>
    <row r="37" spans="1:28" x14ac:dyDescent="0.2">
      <c r="A37" s="242" t="s">
        <v>50</v>
      </c>
      <c r="B37" s="243" t="s">
        <v>328</v>
      </c>
      <c r="C37" s="243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3">
        <v>12</v>
      </c>
      <c r="AB37" s="244">
        <v>0</v>
      </c>
    </row>
    <row r="38" spans="1:28" x14ac:dyDescent="0.2">
      <c r="A38" s="242"/>
      <c r="B38" s="243"/>
      <c r="C38" s="243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3"/>
      <c r="AB38" s="244">
        <v>0</v>
      </c>
    </row>
    <row r="39" spans="1:28" x14ac:dyDescent="0.2">
      <c r="A39" s="242" t="s">
        <v>194</v>
      </c>
      <c r="B39" s="243" t="s">
        <v>195</v>
      </c>
      <c r="C39" s="243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3">
        <v>1</v>
      </c>
      <c r="AB39" s="244">
        <v>0</v>
      </c>
    </row>
    <row r="40" spans="1:28" x14ac:dyDescent="0.2">
      <c r="A40" s="242" t="s">
        <v>196</v>
      </c>
      <c r="B40" s="243" t="s">
        <v>197</v>
      </c>
      <c r="C40" s="243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3">
        <v>1</v>
      </c>
      <c r="AB40" s="244">
        <v>0</v>
      </c>
    </row>
    <row r="41" spans="1:28" x14ac:dyDescent="0.2">
      <c r="A41" s="242"/>
      <c r="B41" s="243"/>
      <c r="C41" s="243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3"/>
      <c r="AB41" s="244"/>
    </row>
    <row r="42" spans="1:28" ht="13.5" thickBot="1" x14ac:dyDescent="0.25">
      <c r="A42" s="245"/>
      <c r="B42" s="246" t="s">
        <v>301</v>
      </c>
      <c r="C42" s="247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7">
        <v>129</v>
      </c>
      <c r="AB42" s="248">
        <v>0</v>
      </c>
    </row>
    <row r="46" spans="1:28" ht="18.75" thickBot="1" x14ac:dyDescent="0.3">
      <c r="B46" s="122" t="s">
        <v>302</v>
      </c>
    </row>
    <row r="47" spans="1:28" ht="65.25" x14ac:dyDescent="0.25">
      <c r="A47" s="237"/>
      <c r="B47" s="238" t="s">
        <v>325</v>
      </c>
      <c r="C47" s="239" t="s">
        <v>4</v>
      </c>
      <c r="D47" s="240" t="s">
        <v>83</v>
      </c>
      <c r="E47" s="240" t="s">
        <v>216</v>
      </c>
      <c r="F47" s="240" t="s">
        <v>16</v>
      </c>
      <c r="G47" s="240" t="s">
        <v>75</v>
      </c>
      <c r="H47" s="240" t="s">
        <v>12</v>
      </c>
      <c r="I47" s="240" t="s">
        <v>32</v>
      </c>
      <c r="J47" s="240" t="s">
        <v>320</v>
      </c>
      <c r="K47" s="240" t="s">
        <v>25</v>
      </c>
      <c r="L47" s="240" t="s">
        <v>81</v>
      </c>
      <c r="M47" s="240" t="s">
        <v>80</v>
      </c>
      <c r="N47" s="240" t="s">
        <v>218</v>
      </c>
      <c r="O47" s="240" t="s">
        <v>144</v>
      </c>
      <c r="P47" s="240" t="s">
        <v>20</v>
      </c>
      <c r="Q47" s="240" t="s">
        <v>253</v>
      </c>
      <c r="R47" s="240" t="s">
        <v>88</v>
      </c>
      <c r="S47" s="240" t="s">
        <v>84</v>
      </c>
      <c r="T47" s="240" t="s">
        <v>34</v>
      </c>
      <c r="U47" s="240" t="s">
        <v>339</v>
      </c>
      <c r="V47" s="240" t="s">
        <v>41</v>
      </c>
      <c r="W47" s="240" t="s">
        <v>212</v>
      </c>
      <c r="X47" s="240" t="s">
        <v>37</v>
      </c>
      <c r="Y47" s="240" t="s">
        <v>7</v>
      </c>
      <c r="Z47" s="240" t="s">
        <v>18</v>
      </c>
      <c r="AA47" s="239" t="s">
        <v>103</v>
      </c>
      <c r="AB47" s="241" t="s">
        <v>184</v>
      </c>
    </row>
    <row r="48" spans="1:28" x14ac:dyDescent="0.2">
      <c r="A48" s="242"/>
      <c r="B48" s="243"/>
      <c r="C48" s="243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3">
        <v>0</v>
      </c>
      <c r="AB48" s="244">
        <v>0</v>
      </c>
    </row>
    <row r="49" spans="1:28" x14ac:dyDescent="0.2">
      <c r="A49" s="242"/>
      <c r="B49" s="243"/>
      <c r="C49" s="243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3">
        <v>0</v>
      </c>
      <c r="AB49" s="244">
        <v>0</v>
      </c>
    </row>
    <row r="50" spans="1:28" x14ac:dyDescent="0.2">
      <c r="A50" s="242" t="s">
        <v>49</v>
      </c>
      <c r="B50" s="243" t="s">
        <v>157</v>
      </c>
      <c r="C50" s="243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3">
        <v>9</v>
      </c>
      <c r="AB50" s="244">
        <v>0</v>
      </c>
    </row>
    <row r="51" spans="1:28" x14ac:dyDescent="0.2">
      <c r="A51" s="242" t="s">
        <v>52</v>
      </c>
      <c r="B51" s="243" t="s">
        <v>280</v>
      </c>
      <c r="C51" s="243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3">
        <v>24</v>
      </c>
      <c r="AB51" s="244">
        <v>0</v>
      </c>
    </row>
    <row r="52" spans="1:28" x14ac:dyDescent="0.2">
      <c r="A52" s="242" t="s">
        <v>294</v>
      </c>
      <c r="B52" s="243"/>
      <c r="C52" s="243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3">
        <v>0</v>
      </c>
      <c r="AB52" s="244">
        <v>0</v>
      </c>
    </row>
    <row r="53" spans="1:28" x14ac:dyDescent="0.2">
      <c r="A53" s="242" t="s">
        <v>237</v>
      </c>
      <c r="B53" s="243" t="s">
        <v>286</v>
      </c>
      <c r="C53" s="243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3">
        <v>2</v>
      </c>
      <c r="AB53" s="244">
        <v>0</v>
      </c>
    </row>
    <row r="54" spans="1:28" x14ac:dyDescent="0.2">
      <c r="A54" s="242" t="s">
        <v>105</v>
      </c>
      <c r="B54" s="243" t="s">
        <v>172</v>
      </c>
      <c r="C54" s="243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3">
        <v>3</v>
      </c>
      <c r="AB54" s="244">
        <v>0</v>
      </c>
    </row>
    <row r="55" spans="1:28" x14ac:dyDescent="0.2">
      <c r="A55" s="242" t="s">
        <v>104</v>
      </c>
      <c r="B55" s="243" t="s">
        <v>173</v>
      </c>
      <c r="C55" s="243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3">
        <v>1</v>
      </c>
      <c r="AB55" s="244">
        <v>0</v>
      </c>
    </row>
    <row r="56" spans="1:28" x14ac:dyDescent="0.2">
      <c r="A56" s="242" t="s">
        <v>106</v>
      </c>
      <c r="B56" s="243" t="s">
        <v>174</v>
      </c>
      <c r="C56" s="243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3">
        <v>3</v>
      </c>
      <c r="AB56" s="244">
        <v>0</v>
      </c>
    </row>
    <row r="57" spans="1:28" x14ac:dyDescent="0.2">
      <c r="A57" s="242" t="s">
        <v>107</v>
      </c>
      <c r="B57" s="243" t="s">
        <v>175</v>
      </c>
      <c r="C57" s="243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3">
        <v>1</v>
      </c>
      <c r="AB57" s="244">
        <v>0</v>
      </c>
    </row>
    <row r="58" spans="1:28" x14ac:dyDescent="0.2">
      <c r="A58" s="242" t="s">
        <v>130</v>
      </c>
      <c r="B58" s="243" t="s">
        <v>221</v>
      </c>
      <c r="C58" s="243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3">
        <v>7</v>
      </c>
      <c r="AB58" s="244">
        <v>0</v>
      </c>
    </row>
    <row r="59" spans="1:28" x14ac:dyDescent="0.2">
      <c r="A59" s="242" t="s">
        <v>131</v>
      </c>
      <c r="B59" s="243" t="s">
        <v>229</v>
      </c>
      <c r="C59" s="243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3">
        <v>6</v>
      </c>
      <c r="AB59" s="244">
        <v>0</v>
      </c>
    </row>
    <row r="60" spans="1:28" x14ac:dyDescent="0.2">
      <c r="A60" s="242" t="s">
        <v>53</v>
      </c>
      <c r="B60" s="243" t="s">
        <v>91</v>
      </c>
      <c r="C60" s="243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3">
        <v>7</v>
      </c>
      <c r="AB60" s="244">
        <v>0</v>
      </c>
    </row>
    <row r="61" spans="1:28" x14ac:dyDescent="0.2">
      <c r="A61" s="242" t="s">
        <v>54</v>
      </c>
      <c r="B61" s="243" t="s">
        <v>102</v>
      </c>
      <c r="C61" s="243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3">
        <v>10</v>
      </c>
      <c r="AB61" s="244">
        <v>0</v>
      </c>
    </row>
    <row r="62" spans="1:28" x14ac:dyDescent="0.2">
      <c r="A62" s="242" t="s">
        <v>55</v>
      </c>
      <c r="B62" s="243" t="s">
        <v>111</v>
      </c>
      <c r="C62" s="243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3">
        <v>7</v>
      </c>
      <c r="AB62" s="244">
        <v>0</v>
      </c>
    </row>
    <row r="63" spans="1:28" x14ac:dyDescent="0.2">
      <c r="A63" s="242" t="s">
        <v>56</v>
      </c>
      <c r="B63" s="243" t="s">
        <v>163</v>
      </c>
      <c r="C63" s="243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3">
        <v>9</v>
      </c>
      <c r="AB63" s="244">
        <v>0</v>
      </c>
    </row>
    <row r="64" spans="1:28" x14ac:dyDescent="0.2">
      <c r="A64" s="242" t="s">
        <v>57</v>
      </c>
      <c r="B64" s="243" t="s">
        <v>164</v>
      </c>
      <c r="C64" s="243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3">
        <v>10</v>
      </c>
      <c r="AB64" s="244">
        <v>0</v>
      </c>
    </row>
    <row r="65" spans="1:28" x14ac:dyDescent="0.2">
      <c r="A65" s="242" t="s">
        <v>58</v>
      </c>
      <c r="B65" s="243" t="s">
        <v>165</v>
      </c>
      <c r="C65" s="243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3">
        <v>7</v>
      </c>
      <c r="AB65" s="244">
        <v>0</v>
      </c>
    </row>
    <row r="66" spans="1:28" x14ac:dyDescent="0.2">
      <c r="A66" s="242" t="s">
        <v>59</v>
      </c>
      <c r="B66" s="243" t="s">
        <v>222</v>
      </c>
      <c r="C66" s="243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3">
        <v>22</v>
      </c>
      <c r="AB66" s="244">
        <v>0</v>
      </c>
    </row>
    <row r="67" spans="1:28" x14ac:dyDescent="0.2">
      <c r="A67" s="242" t="s">
        <v>59</v>
      </c>
      <c r="B67" s="243" t="s">
        <v>223</v>
      </c>
      <c r="C67" s="243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3">
        <v>14</v>
      </c>
      <c r="AB67" s="244">
        <v>0</v>
      </c>
    </row>
    <row r="68" spans="1:28" x14ac:dyDescent="0.2">
      <c r="A68" s="242" t="s">
        <v>226</v>
      </c>
      <c r="B68" s="243" t="s">
        <v>224</v>
      </c>
      <c r="C68" s="243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3">
        <v>22</v>
      </c>
      <c r="AB68" s="244">
        <v>0</v>
      </c>
    </row>
    <row r="69" spans="1:28" x14ac:dyDescent="0.2">
      <c r="A69" s="242" t="s">
        <v>226</v>
      </c>
      <c r="B69" s="243" t="s">
        <v>225</v>
      </c>
      <c r="C69" s="243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3">
        <v>14</v>
      </c>
      <c r="AB69" s="244">
        <v>0</v>
      </c>
    </row>
    <row r="70" spans="1:28" x14ac:dyDescent="0.2">
      <c r="A70" s="242" t="s">
        <v>60</v>
      </c>
      <c r="B70" s="243" t="s">
        <v>166</v>
      </c>
      <c r="C70" s="243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3">
        <v>7</v>
      </c>
      <c r="AB70" s="244">
        <v>0</v>
      </c>
    </row>
    <row r="71" spans="1:28" x14ac:dyDescent="0.2">
      <c r="A71" s="242" t="s">
        <v>60</v>
      </c>
      <c r="B71" s="243" t="s">
        <v>167</v>
      </c>
      <c r="C71" s="243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3">
        <v>6</v>
      </c>
      <c r="AB71" s="244">
        <v>0</v>
      </c>
    </row>
    <row r="72" spans="1:28" x14ac:dyDescent="0.2">
      <c r="A72" s="242" t="s">
        <v>183</v>
      </c>
      <c r="B72" s="243" t="s">
        <v>293</v>
      </c>
      <c r="C72" s="243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3">
        <v>7</v>
      </c>
      <c r="AB72" s="244">
        <v>0</v>
      </c>
    </row>
    <row r="73" spans="1:28" x14ac:dyDescent="0.2">
      <c r="A73" s="242" t="s">
        <v>122</v>
      </c>
      <c r="B73" s="243" t="s">
        <v>292</v>
      </c>
      <c r="C73" s="243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3">
        <v>5</v>
      </c>
      <c r="AB73" s="244">
        <v>0</v>
      </c>
    </row>
    <row r="74" spans="1:28" x14ac:dyDescent="0.2">
      <c r="A74" s="242" t="s">
        <v>61</v>
      </c>
      <c r="B74" s="243" t="s">
        <v>171</v>
      </c>
      <c r="C74" s="243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3">
        <v>7</v>
      </c>
      <c r="AB74" s="244">
        <v>0</v>
      </c>
    </row>
    <row r="75" spans="1:28" x14ac:dyDescent="0.2">
      <c r="A75" s="242" t="s">
        <v>61</v>
      </c>
      <c r="B75" s="243" t="s">
        <v>170</v>
      </c>
      <c r="C75" s="243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3">
        <v>6</v>
      </c>
      <c r="AB75" s="244">
        <v>0</v>
      </c>
    </row>
    <row r="76" spans="1:28" x14ac:dyDescent="0.2">
      <c r="A76" s="242" t="s">
        <v>248</v>
      </c>
      <c r="B76" s="243" t="s">
        <v>250</v>
      </c>
      <c r="C76" s="243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3">
        <v>0</v>
      </c>
      <c r="AB76" s="244">
        <v>0</v>
      </c>
    </row>
    <row r="77" spans="1:28" x14ac:dyDescent="0.2">
      <c r="A77" s="242" t="s">
        <v>249</v>
      </c>
      <c r="B77" s="243" t="s">
        <v>251</v>
      </c>
      <c r="C77" s="243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3">
        <v>0</v>
      </c>
      <c r="AB77" s="244">
        <v>0</v>
      </c>
    </row>
    <row r="78" spans="1:28" x14ac:dyDescent="0.2">
      <c r="A78" s="242" t="s">
        <v>108</v>
      </c>
      <c r="B78" s="243" t="s">
        <v>168</v>
      </c>
      <c r="C78" s="243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3">
        <v>3</v>
      </c>
      <c r="AB78" s="244">
        <v>0</v>
      </c>
    </row>
    <row r="79" spans="1:28" x14ac:dyDescent="0.2">
      <c r="A79" s="242" t="s">
        <v>109</v>
      </c>
      <c r="B79" s="243" t="s">
        <v>169</v>
      </c>
      <c r="C79" s="243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3">
        <v>1</v>
      </c>
      <c r="AB79" s="244">
        <v>0</v>
      </c>
    </row>
    <row r="80" spans="1:28" x14ac:dyDescent="0.2">
      <c r="A80" s="242" t="s">
        <v>238</v>
      </c>
      <c r="B80" s="243" t="s">
        <v>239</v>
      </c>
      <c r="C80" s="243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3">
        <v>9</v>
      </c>
      <c r="AB80" s="244">
        <v>0</v>
      </c>
    </row>
    <row r="81" spans="1:28" x14ac:dyDescent="0.2">
      <c r="A81" s="242" t="s">
        <v>227</v>
      </c>
      <c r="B81" s="243" t="s">
        <v>69</v>
      </c>
      <c r="C81" s="243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3">
        <v>2</v>
      </c>
      <c r="AB81" s="244">
        <v>0</v>
      </c>
    </row>
    <row r="82" spans="1:28" x14ac:dyDescent="0.2">
      <c r="A82" s="242" t="s">
        <v>228</v>
      </c>
      <c r="B82" s="243" t="s">
        <v>182</v>
      </c>
      <c r="C82" s="243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3">
        <v>6</v>
      </c>
      <c r="AB82" s="244">
        <v>0</v>
      </c>
    </row>
    <row r="83" spans="1:28" x14ac:dyDescent="0.2">
      <c r="A83" s="242"/>
      <c r="B83" s="243"/>
      <c r="C83" s="243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3"/>
      <c r="AB83" s="244"/>
    </row>
    <row r="84" spans="1:28" x14ac:dyDescent="0.2">
      <c r="A84" s="242"/>
      <c r="B84" s="287" t="s">
        <v>306</v>
      </c>
      <c r="C84" s="243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3">
        <v>237</v>
      </c>
      <c r="AB84" s="244">
        <v>0</v>
      </c>
    </row>
    <row r="85" spans="1:28" x14ac:dyDescent="0.2">
      <c r="A85" s="242"/>
      <c r="B85" s="243"/>
      <c r="C85" s="243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3"/>
      <c r="AB85" s="244"/>
    </row>
    <row r="86" spans="1:28" ht="13.5" thickBot="1" x14ac:dyDescent="0.25">
      <c r="A86" s="245"/>
      <c r="B86" s="246" t="s">
        <v>307</v>
      </c>
      <c r="C86" s="247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7">
        <v>366</v>
      </c>
      <c r="AB86" s="248">
        <v>0</v>
      </c>
    </row>
    <row r="90" spans="1:28" ht="18.75" thickBot="1" x14ac:dyDescent="0.3">
      <c r="B90" s="122" t="s">
        <v>308</v>
      </c>
    </row>
    <row r="91" spans="1:28" ht="65.25" x14ac:dyDescent="0.25">
      <c r="A91" s="237"/>
      <c r="B91" s="238" t="s">
        <v>325</v>
      </c>
      <c r="C91" s="239" t="s">
        <v>4</v>
      </c>
      <c r="D91" s="240" t="s">
        <v>83</v>
      </c>
      <c r="E91" s="240" t="s">
        <v>216</v>
      </c>
      <c r="F91" s="240" t="s">
        <v>16</v>
      </c>
      <c r="G91" s="240" t="s">
        <v>75</v>
      </c>
      <c r="H91" s="240" t="s">
        <v>12</v>
      </c>
      <c r="I91" s="240" t="s">
        <v>32</v>
      </c>
      <c r="J91" s="240" t="s">
        <v>320</v>
      </c>
      <c r="K91" s="240" t="s">
        <v>25</v>
      </c>
      <c r="L91" s="240" t="s">
        <v>81</v>
      </c>
      <c r="M91" s="240" t="s">
        <v>80</v>
      </c>
      <c r="N91" s="240" t="s">
        <v>218</v>
      </c>
      <c r="O91" s="240" t="s">
        <v>144</v>
      </c>
      <c r="P91" s="240" t="s">
        <v>20</v>
      </c>
      <c r="Q91" s="240" t="s">
        <v>253</v>
      </c>
      <c r="R91" s="240" t="s">
        <v>88</v>
      </c>
      <c r="S91" s="240" t="s">
        <v>84</v>
      </c>
      <c r="T91" s="240" t="s">
        <v>34</v>
      </c>
      <c r="U91" s="240" t="s">
        <v>339</v>
      </c>
      <c r="V91" s="240" t="s">
        <v>41</v>
      </c>
      <c r="W91" s="240" t="s">
        <v>212</v>
      </c>
      <c r="X91" s="240" t="s">
        <v>37</v>
      </c>
      <c r="Y91" s="240" t="s">
        <v>7</v>
      </c>
      <c r="Z91" s="240" t="s">
        <v>18</v>
      </c>
      <c r="AA91" s="239" t="s">
        <v>103</v>
      </c>
      <c r="AB91" s="241" t="s">
        <v>184</v>
      </c>
    </row>
    <row r="92" spans="1:28" x14ac:dyDescent="0.2">
      <c r="A92" s="242" t="s">
        <v>6</v>
      </c>
      <c r="B92" s="243" t="s">
        <v>271</v>
      </c>
      <c r="C92" s="243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3">
        <v>4</v>
      </c>
      <c r="AB92" s="244">
        <v>0</v>
      </c>
    </row>
    <row r="93" spans="1:28" x14ac:dyDescent="0.2">
      <c r="A93" s="242" t="s">
        <v>8</v>
      </c>
      <c r="B93" s="243" t="s">
        <v>272</v>
      </c>
      <c r="C93" s="243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3">
        <v>2</v>
      </c>
      <c r="AB93" s="244">
        <v>0</v>
      </c>
    </row>
    <row r="94" spans="1:28" x14ac:dyDescent="0.2">
      <c r="A94" s="242"/>
      <c r="B94" s="243" t="s">
        <v>273</v>
      </c>
      <c r="C94" s="243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3">
        <v>2</v>
      </c>
      <c r="AB94" s="244">
        <v>0</v>
      </c>
    </row>
    <row r="95" spans="1:28" x14ac:dyDescent="0.2">
      <c r="A95" s="242" t="s">
        <v>9</v>
      </c>
      <c r="B95" s="243" t="s">
        <v>340</v>
      </c>
      <c r="C95" s="243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3">
        <v>9</v>
      </c>
      <c r="AB95" s="244">
        <v>0</v>
      </c>
    </row>
    <row r="96" spans="1:28" x14ac:dyDescent="0.2">
      <c r="A96" s="242" t="s">
        <v>10</v>
      </c>
      <c r="B96" s="243" t="s">
        <v>274</v>
      </c>
      <c r="C96" s="243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3">
        <v>2</v>
      </c>
      <c r="AB96" s="244">
        <v>0</v>
      </c>
    </row>
    <row r="97" spans="1:28" x14ac:dyDescent="0.2">
      <c r="A97" s="242" t="s">
        <v>11</v>
      </c>
      <c r="B97" s="243" t="s">
        <v>288</v>
      </c>
      <c r="C97" s="243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3">
        <v>2</v>
      </c>
      <c r="AB97" s="244">
        <v>0</v>
      </c>
    </row>
    <row r="98" spans="1:28" x14ac:dyDescent="0.2">
      <c r="A98" s="242" t="s">
        <v>13</v>
      </c>
      <c r="B98" s="243" t="s">
        <v>275</v>
      </c>
      <c r="C98" s="243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3">
        <v>6</v>
      </c>
      <c r="AB98" s="244">
        <v>0</v>
      </c>
    </row>
    <row r="99" spans="1:28" x14ac:dyDescent="0.2">
      <c r="A99" s="242"/>
      <c r="B99" s="243"/>
      <c r="C99" s="243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3"/>
      <c r="AB99" s="244">
        <v>0</v>
      </c>
    </row>
    <row r="100" spans="1:28" x14ac:dyDescent="0.2">
      <c r="A100" s="242"/>
      <c r="B100" s="243"/>
      <c r="C100" s="243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3"/>
      <c r="AB100" s="244">
        <v>0</v>
      </c>
    </row>
    <row r="101" spans="1:28" x14ac:dyDescent="0.2">
      <c r="A101" s="242" t="s">
        <v>209</v>
      </c>
      <c r="B101" s="243" t="s">
        <v>210</v>
      </c>
      <c r="C101" s="243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3">
        <v>8</v>
      </c>
      <c r="AB101" s="244">
        <v>0</v>
      </c>
    </row>
    <row r="102" spans="1:28" x14ac:dyDescent="0.2">
      <c r="A102" s="242" t="s">
        <v>17</v>
      </c>
      <c r="B102" s="243" t="s">
        <v>289</v>
      </c>
      <c r="C102" s="243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3">
        <v>10</v>
      </c>
      <c r="AB102" s="244">
        <v>0</v>
      </c>
    </row>
    <row r="103" spans="1:28" x14ac:dyDescent="0.2">
      <c r="A103" s="242"/>
      <c r="B103" s="243"/>
      <c r="C103" s="243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3"/>
      <c r="AB103" s="244">
        <v>0</v>
      </c>
    </row>
    <row r="104" spans="1:28" x14ac:dyDescent="0.2">
      <c r="A104" s="242" t="s">
        <v>22</v>
      </c>
      <c r="B104" s="243" t="s">
        <v>23</v>
      </c>
      <c r="C104" s="243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3">
        <v>8</v>
      </c>
      <c r="AB104" s="244">
        <v>0</v>
      </c>
    </row>
    <row r="105" spans="1:28" x14ac:dyDescent="0.2">
      <c r="A105" s="242" t="s">
        <v>24</v>
      </c>
      <c r="B105" s="243" t="s">
        <v>276</v>
      </c>
      <c r="C105" s="243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3">
        <v>4</v>
      </c>
      <c r="AB105" s="244">
        <v>0</v>
      </c>
    </row>
    <row r="106" spans="1:28" x14ac:dyDescent="0.2">
      <c r="A106" s="242" t="s">
        <v>26</v>
      </c>
      <c r="B106" s="243" t="s">
        <v>27</v>
      </c>
      <c r="C106" s="243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3">
        <v>12</v>
      </c>
      <c r="AB106" s="244">
        <v>0</v>
      </c>
    </row>
    <row r="107" spans="1:28" x14ac:dyDescent="0.2">
      <c r="A107" s="242"/>
      <c r="B107" s="243"/>
      <c r="C107" s="243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3"/>
      <c r="AB107" s="244">
        <v>0</v>
      </c>
    </row>
    <row r="108" spans="1:28" x14ac:dyDescent="0.2">
      <c r="A108" s="242"/>
      <c r="B108" s="243"/>
      <c r="C108" s="243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3"/>
      <c r="AB108" s="244">
        <v>0</v>
      </c>
    </row>
    <row r="109" spans="1:28" x14ac:dyDescent="0.2">
      <c r="A109" s="242" t="s">
        <v>30</v>
      </c>
      <c r="B109" s="243" t="s">
        <v>64</v>
      </c>
      <c r="C109" s="243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3">
        <v>1</v>
      </c>
      <c r="AB109" s="244">
        <v>0</v>
      </c>
    </row>
    <row r="110" spans="1:28" x14ac:dyDescent="0.2">
      <c r="A110" s="242" t="s">
        <v>33</v>
      </c>
      <c r="B110" s="243" t="s">
        <v>277</v>
      </c>
      <c r="C110" s="243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3">
        <v>6</v>
      </c>
      <c r="AB110" s="244">
        <v>0</v>
      </c>
    </row>
    <row r="111" spans="1:28" x14ac:dyDescent="0.2">
      <c r="A111" s="242" t="s">
        <v>35</v>
      </c>
      <c r="B111" s="243" t="s">
        <v>36</v>
      </c>
      <c r="C111" s="243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3">
        <v>4</v>
      </c>
      <c r="AB111" s="244">
        <v>0</v>
      </c>
    </row>
    <row r="112" spans="1:28" x14ac:dyDescent="0.2">
      <c r="A112" s="242" t="s">
        <v>38</v>
      </c>
      <c r="B112" s="243" t="s">
        <v>291</v>
      </c>
      <c r="C112" s="243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3">
        <v>0</v>
      </c>
      <c r="AB112" s="244">
        <v>0</v>
      </c>
    </row>
    <row r="113" spans="1:28" x14ac:dyDescent="0.2">
      <c r="A113" s="242" t="s">
        <v>211</v>
      </c>
      <c r="B113" s="243" t="s">
        <v>290</v>
      </c>
      <c r="C113" s="243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3">
        <v>0</v>
      </c>
      <c r="AB113" s="244">
        <v>0</v>
      </c>
    </row>
    <row r="114" spans="1:28" x14ac:dyDescent="0.2">
      <c r="A114" s="242" t="s">
        <v>39</v>
      </c>
      <c r="B114" s="243" t="s">
        <v>40</v>
      </c>
      <c r="C114" s="243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3">
        <v>1</v>
      </c>
      <c r="AB114" s="244">
        <v>0</v>
      </c>
    </row>
    <row r="115" spans="1:28" x14ac:dyDescent="0.2">
      <c r="A115" s="242" t="s">
        <v>42</v>
      </c>
      <c r="B115" s="243" t="s">
        <v>65</v>
      </c>
      <c r="C115" s="243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3">
        <v>12</v>
      </c>
      <c r="AB115" s="244">
        <v>0</v>
      </c>
    </row>
    <row r="116" spans="1:28" x14ac:dyDescent="0.2">
      <c r="A116" s="242" t="s">
        <v>44</v>
      </c>
      <c r="B116" s="243" t="s">
        <v>278</v>
      </c>
      <c r="C116" s="243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3">
        <v>1</v>
      </c>
      <c r="AB116" s="244">
        <v>0</v>
      </c>
    </row>
    <row r="117" spans="1:28" x14ac:dyDescent="0.2">
      <c r="A117" s="242" t="s">
        <v>45</v>
      </c>
      <c r="B117" s="243" t="s">
        <v>46</v>
      </c>
      <c r="C117" s="243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3">
        <v>2</v>
      </c>
      <c r="AB117" s="244">
        <v>0</v>
      </c>
    </row>
    <row r="118" spans="1:28" x14ac:dyDescent="0.2">
      <c r="A118" s="242" t="s">
        <v>47</v>
      </c>
      <c r="B118" s="243" t="s">
        <v>279</v>
      </c>
      <c r="C118" s="243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3">
        <v>2</v>
      </c>
      <c r="AB118" s="244">
        <v>0</v>
      </c>
    </row>
    <row r="119" spans="1:28" x14ac:dyDescent="0.2">
      <c r="A119" s="242" t="s">
        <v>48</v>
      </c>
      <c r="B119" s="243" t="s">
        <v>287</v>
      </c>
      <c r="C119" s="243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3">
        <v>2</v>
      </c>
      <c r="AB119" s="244">
        <v>0</v>
      </c>
    </row>
    <row r="120" spans="1:28" x14ac:dyDescent="0.2">
      <c r="A120" s="242" t="s">
        <v>50</v>
      </c>
      <c r="B120" s="243" t="s">
        <v>328</v>
      </c>
      <c r="C120" s="243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3">
        <v>8</v>
      </c>
      <c r="AB120" s="244">
        <v>0</v>
      </c>
    </row>
    <row r="121" spans="1:28" x14ac:dyDescent="0.2">
      <c r="A121" s="242"/>
      <c r="B121" s="243"/>
      <c r="C121" s="243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3"/>
      <c r="AB121" s="244">
        <v>0</v>
      </c>
    </row>
    <row r="122" spans="1:28" x14ac:dyDescent="0.2">
      <c r="A122" s="242" t="s">
        <v>194</v>
      </c>
      <c r="B122" s="243" t="s">
        <v>195</v>
      </c>
      <c r="C122" s="243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3">
        <v>1</v>
      </c>
      <c r="AB122" s="244">
        <v>0</v>
      </c>
    </row>
    <row r="123" spans="1:28" x14ac:dyDescent="0.2">
      <c r="A123" s="242" t="s">
        <v>196</v>
      </c>
      <c r="B123" s="243" t="s">
        <v>197</v>
      </c>
      <c r="C123" s="243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3">
        <v>1</v>
      </c>
      <c r="AB123" s="244">
        <v>0</v>
      </c>
    </row>
    <row r="124" spans="1:28" x14ac:dyDescent="0.2">
      <c r="A124" s="242"/>
      <c r="B124" s="243"/>
      <c r="C124" s="243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3"/>
      <c r="AB124" s="244"/>
    </row>
    <row r="125" spans="1:28" ht="13.5" thickBot="1" x14ac:dyDescent="0.25">
      <c r="A125" s="245"/>
      <c r="B125" s="246" t="s">
        <v>309</v>
      </c>
      <c r="C125" s="247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7">
        <v>110</v>
      </c>
      <c r="AB125" s="248">
        <v>0</v>
      </c>
    </row>
    <row r="129" spans="1:28" ht="18.75" thickBot="1" x14ac:dyDescent="0.3">
      <c r="B129" s="122" t="s">
        <v>310</v>
      </c>
    </row>
    <row r="130" spans="1:28" ht="65.25" x14ac:dyDescent="0.25">
      <c r="A130" s="237"/>
      <c r="B130" s="238" t="s">
        <v>325</v>
      </c>
      <c r="C130" s="239" t="s">
        <v>4</v>
      </c>
      <c r="D130" s="240" t="s">
        <v>83</v>
      </c>
      <c r="E130" s="240" t="s">
        <v>216</v>
      </c>
      <c r="F130" s="240" t="s">
        <v>16</v>
      </c>
      <c r="G130" s="240" t="s">
        <v>75</v>
      </c>
      <c r="H130" s="240" t="s">
        <v>12</v>
      </c>
      <c r="I130" s="240" t="s">
        <v>32</v>
      </c>
      <c r="J130" s="240" t="s">
        <v>320</v>
      </c>
      <c r="K130" s="240" t="s">
        <v>25</v>
      </c>
      <c r="L130" s="240" t="s">
        <v>81</v>
      </c>
      <c r="M130" s="240" t="s">
        <v>80</v>
      </c>
      <c r="N130" s="240" t="s">
        <v>218</v>
      </c>
      <c r="O130" s="240" t="s">
        <v>144</v>
      </c>
      <c r="P130" s="240" t="s">
        <v>20</v>
      </c>
      <c r="Q130" s="240" t="s">
        <v>253</v>
      </c>
      <c r="R130" s="240" t="s">
        <v>88</v>
      </c>
      <c r="S130" s="240" t="s">
        <v>84</v>
      </c>
      <c r="T130" s="240" t="s">
        <v>34</v>
      </c>
      <c r="U130" s="240" t="s">
        <v>339</v>
      </c>
      <c r="V130" s="240" t="s">
        <v>41</v>
      </c>
      <c r="W130" s="240" t="s">
        <v>212</v>
      </c>
      <c r="X130" s="240" t="s">
        <v>37</v>
      </c>
      <c r="Y130" s="240" t="s">
        <v>7</v>
      </c>
      <c r="Z130" s="240" t="s">
        <v>18</v>
      </c>
      <c r="AA130" s="239" t="s">
        <v>103</v>
      </c>
      <c r="AB130" s="241" t="s">
        <v>184</v>
      </c>
    </row>
    <row r="131" spans="1:28" x14ac:dyDescent="0.2">
      <c r="A131" s="242" t="s">
        <v>49</v>
      </c>
      <c r="B131" s="243" t="s">
        <v>157</v>
      </c>
      <c r="C131" s="243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3">
        <v>8</v>
      </c>
      <c r="AB131" s="244">
        <v>0</v>
      </c>
    </row>
    <row r="132" spans="1:28" x14ac:dyDescent="0.2">
      <c r="A132" s="242" t="s">
        <v>52</v>
      </c>
      <c r="B132" s="243" t="s">
        <v>280</v>
      </c>
      <c r="C132" s="243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3">
        <v>24</v>
      </c>
      <c r="AB132" s="244">
        <v>0</v>
      </c>
    </row>
    <row r="133" spans="1:28" x14ac:dyDescent="0.2">
      <c r="A133" s="242" t="s">
        <v>237</v>
      </c>
      <c r="B133" s="243"/>
      <c r="C133" s="243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3">
        <v>0</v>
      </c>
      <c r="AB133" s="244">
        <v>0</v>
      </c>
    </row>
    <row r="134" spans="1:28" x14ac:dyDescent="0.2">
      <c r="A134" s="242" t="s">
        <v>303</v>
      </c>
      <c r="B134" s="243" t="s">
        <v>286</v>
      </c>
      <c r="C134" s="243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3">
        <v>2</v>
      </c>
      <c r="AB134" s="244">
        <v>0</v>
      </c>
    </row>
    <row r="135" spans="1:28" x14ac:dyDescent="0.2">
      <c r="A135" s="242" t="s">
        <v>105</v>
      </c>
      <c r="B135" s="243" t="s">
        <v>172</v>
      </c>
      <c r="C135" s="243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3">
        <v>3</v>
      </c>
      <c r="AB135" s="244">
        <v>0</v>
      </c>
    </row>
    <row r="136" spans="1:28" x14ac:dyDescent="0.2">
      <c r="A136" s="242" t="s">
        <v>104</v>
      </c>
      <c r="B136" s="243" t="s">
        <v>173</v>
      </c>
      <c r="C136" s="243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3">
        <v>1</v>
      </c>
      <c r="AB136" s="244">
        <v>0</v>
      </c>
    </row>
    <row r="137" spans="1:28" x14ac:dyDescent="0.2">
      <c r="A137" s="242" t="s">
        <v>106</v>
      </c>
      <c r="B137" s="243" t="s">
        <v>174</v>
      </c>
      <c r="C137" s="243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3">
        <v>3</v>
      </c>
      <c r="AB137" s="244">
        <v>0</v>
      </c>
    </row>
    <row r="138" spans="1:28" x14ac:dyDescent="0.2">
      <c r="A138" s="242" t="s">
        <v>107</v>
      </c>
      <c r="B138" s="243" t="s">
        <v>175</v>
      </c>
      <c r="C138" s="243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3">
        <v>1</v>
      </c>
      <c r="AB138" s="244">
        <v>0</v>
      </c>
    </row>
    <row r="139" spans="1:28" x14ac:dyDescent="0.2">
      <c r="A139" s="242" t="s">
        <v>130</v>
      </c>
      <c r="B139" s="243" t="s">
        <v>176</v>
      </c>
      <c r="C139" s="243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3">
        <v>7</v>
      </c>
      <c r="AB139" s="244">
        <v>0</v>
      </c>
    </row>
    <row r="140" spans="1:28" x14ac:dyDescent="0.2">
      <c r="A140" s="242" t="s">
        <v>131</v>
      </c>
      <c r="B140" s="243" t="s">
        <v>177</v>
      </c>
      <c r="C140" s="243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3">
        <v>6</v>
      </c>
      <c r="AB140" s="244">
        <v>0</v>
      </c>
    </row>
    <row r="141" spans="1:28" x14ac:dyDescent="0.2">
      <c r="A141" s="242" t="s">
        <v>53</v>
      </c>
      <c r="B141" s="243" t="s">
        <v>91</v>
      </c>
      <c r="C141" s="243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3">
        <v>9</v>
      </c>
      <c r="AB141" s="244">
        <v>0</v>
      </c>
    </row>
    <row r="142" spans="1:28" x14ac:dyDescent="0.2">
      <c r="A142" s="242" t="s">
        <v>54</v>
      </c>
      <c r="B142" s="243" t="s">
        <v>102</v>
      </c>
      <c r="C142" s="243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3">
        <v>10</v>
      </c>
      <c r="AB142" s="244">
        <v>0</v>
      </c>
    </row>
    <row r="143" spans="1:28" x14ac:dyDescent="0.2">
      <c r="A143" s="242" t="s">
        <v>55</v>
      </c>
      <c r="B143" s="243" t="s">
        <v>111</v>
      </c>
      <c r="C143" s="243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3">
        <v>7</v>
      </c>
      <c r="AB143" s="244">
        <v>0</v>
      </c>
    </row>
    <row r="144" spans="1:28" x14ac:dyDescent="0.2">
      <c r="A144" s="242" t="s">
        <v>56</v>
      </c>
      <c r="B144" s="243" t="s">
        <v>163</v>
      </c>
      <c r="C144" s="243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3">
        <v>9</v>
      </c>
      <c r="AB144" s="244">
        <v>0</v>
      </c>
    </row>
    <row r="145" spans="1:28" x14ac:dyDescent="0.2">
      <c r="A145" s="242" t="s">
        <v>57</v>
      </c>
      <c r="B145" s="243" t="s">
        <v>164</v>
      </c>
      <c r="C145" s="243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3">
        <v>10</v>
      </c>
      <c r="AB145" s="244">
        <v>0</v>
      </c>
    </row>
    <row r="146" spans="1:28" x14ac:dyDescent="0.2">
      <c r="A146" s="242" t="s">
        <v>58</v>
      </c>
      <c r="B146" s="243" t="s">
        <v>165</v>
      </c>
      <c r="C146" s="243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3">
        <v>7</v>
      </c>
      <c r="AB146" s="244">
        <v>0</v>
      </c>
    </row>
    <row r="147" spans="1:28" x14ac:dyDescent="0.2">
      <c r="A147" s="242" t="s">
        <v>67</v>
      </c>
      <c r="B147" s="243" t="s">
        <v>178</v>
      </c>
      <c r="C147" s="243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3">
        <v>22</v>
      </c>
      <c r="AB147" s="244">
        <v>0</v>
      </c>
    </row>
    <row r="148" spans="1:28" x14ac:dyDescent="0.2">
      <c r="A148" s="242" t="s">
        <v>67</v>
      </c>
      <c r="B148" s="243" t="s">
        <v>179</v>
      </c>
      <c r="C148" s="243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3">
        <v>14</v>
      </c>
      <c r="AB148" s="244">
        <v>0</v>
      </c>
    </row>
    <row r="149" spans="1:28" x14ac:dyDescent="0.2">
      <c r="A149" s="242" t="s">
        <v>68</v>
      </c>
      <c r="B149" s="243" t="s">
        <v>180</v>
      </c>
      <c r="C149" s="243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3">
        <v>22</v>
      </c>
      <c r="AB149" s="244">
        <v>0</v>
      </c>
    </row>
    <row r="150" spans="1:28" x14ac:dyDescent="0.2">
      <c r="A150" s="242" t="s">
        <v>68</v>
      </c>
      <c r="B150" s="243" t="s">
        <v>181</v>
      </c>
      <c r="C150" s="243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3">
        <v>14</v>
      </c>
      <c r="AB150" s="244">
        <v>0</v>
      </c>
    </row>
    <row r="151" spans="1:28" x14ac:dyDescent="0.2">
      <c r="A151" s="242" t="s">
        <v>119</v>
      </c>
      <c r="B151" s="243" t="s">
        <v>166</v>
      </c>
      <c r="C151" s="243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3">
        <v>7</v>
      </c>
      <c r="AB151" s="244">
        <v>0</v>
      </c>
    </row>
    <row r="152" spans="1:28" x14ac:dyDescent="0.2">
      <c r="A152" s="242" t="s">
        <v>120</v>
      </c>
      <c r="B152" s="243" t="s">
        <v>167</v>
      </c>
      <c r="C152" s="243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3">
        <v>6</v>
      </c>
      <c r="AB152" s="244">
        <v>0</v>
      </c>
    </row>
    <row r="153" spans="1:28" x14ac:dyDescent="0.2">
      <c r="A153" s="242" t="s">
        <v>183</v>
      </c>
      <c r="B153" s="243" t="s">
        <v>293</v>
      </c>
      <c r="C153" s="243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3">
        <v>7</v>
      </c>
      <c r="AB153" s="244">
        <v>0</v>
      </c>
    </row>
    <row r="154" spans="1:28" x14ac:dyDescent="0.2">
      <c r="A154" s="242" t="s">
        <v>122</v>
      </c>
      <c r="B154" s="243" t="s">
        <v>292</v>
      </c>
      <c r="C154" s="243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3">
        <v>5</v>
      </c>
      <c r="AB154" s="244">
        <v>0</v>
      </c>
    </row>
    <row r="155" spans="1:28" x14ac:dyDescent="0.2">
      <c r="A155" s="242" t="s">
        <v>61</v>
      </c>
      <c r="B155" s="243" t="s">
        <v>171</v>
      </c>
      <c r="C155" s="243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3">
        <v>7</v>
      </c>
      <c r="AB155" s="244">
        <v>0</v>
      </c>
    </row>
    <row r="156" spans="1:28" x14ac:dyDescent="0.2">
      <c r="A156" s="242" t="s">
        <v>61</v>
      </c>
      <c r="B156" s="243" t="s">
        <v>170</v>
      </c>
      <c r="C156" s="243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3">
        <v>6</v>
      </c>
      <c r="AB156" s="244">
        <v>0</v>
      </c>
    </row>
    <row r="157" spans="1:28" x14ac:dyDescent="0.2">
      <c r="A157" s="242" t="s">
        <v>248</v>
      </c>
      <c r="B157" s="243" t="s">
        <v>250</v>
      </c>
      <c r="C157" s="243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3">
        <v>0</v>
      </c>
      <c r="AB157" s="244">
        <v>0</v>
      </c>
    </row>
    <row r="158" spans="1:28" x14ac:dyDescent="0.2">
      <c r="A158" s="242" t="s">
        <v>249</v>
      </c>
      <c r="B158" s="243" t="s">
        <v>251</v>
      </c>
      <c r="C158" s="243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3">
        <v>0</v>
      </c>
      <c r="AB158" s="244">
        <v>0</v>
      </c>
    </row>
    <row r="159" spans="1:28" x14ac:dyDescent="0.2">
      <c r="A159" s="242" t="s">
        <v>123</v>
      </c>
      <c r="B159" s="243" t="s">
        <v>168</v>
      </c>
      <c r="C159" s="243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3">
        <v>3</v>
      </c>
      <c r="AB159" s="244">
        <v>0</v>
      </c>
    </row>
    <row r="160" spans="1:28" x14ac:dyDescent="0.2">
      <c r="A160" s="242" t="s">
        <v>124</v>
      </c>
      <c r="B160" s="243" t="s">
        <v>169</v>
      </c>
      <c r="C160" s="243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3">
        <v>1</v>
      </c>
      <c r="AB160" s="244">
        <v>0</v>
      </c>
    </row>
    <row r="161" spans="1:28" x14ac:dyDescent="0.2">
      <c r="A161" s="242" t="s">
        <v>238</v>
      </c>
      <c r="B161" s="243" t="s">
        <v>239</v>
      </c>
      <c r="C161" s="243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3">
        <v>9</v>
      </c>
      <c r="AB161" s="244">
        <v>0</v>
      </c>
    </row>
    <row r="162" spans="1:28" x14ac:dyDescent="0.2">
      <c r="A162" s="242" t="s">
        <v>62</v>
      </c>
      <c r="B162" s="243" t="s">
        <v>69</v>
      </c>
      <c r="C162" s="243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3">
        <v>2</v>
      </c>
      <c r="AB162" s="244">
        <v>0</v>
      </c>
    </row>
    <row r="163" spans="1:28" x14ac:dyDescent="0.2">
      <c r="A163" s="242" t="s">
        <v>84</v>
      </c>
      <c r="B163" s="243" t="s">
        <v>182</v>
      </c>
      <c r="C163" s="243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3">
        <v>6</v>
      </c>
      <c r="AB163" s="244">
        <v>0</v>
      </c>
    </row>
    <row r="164" spans="1:28" x14ac:dyDescent="0.2">
      <c r="A164" s="242"/>
      <c r="B164" s="243"/>
      <c r="C164" s="243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3"/>
      <c r="AB164" s="244"/>
    </row>
    <row r="165" spans="1:28" x14ac:dyDescent="0.2">
      <c r="A165" s="242"/>
      <c r="B165" s="287" t="s">
        <v>311</v>
      </c>
      <c r="C165" s="243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3">
        <v>238</v>
      </c>
      <c r="AB165" s="244">
        <v>0</v>
      </c>
    </row>
    <row r="166" spans="1:28" x14ac:dyDescent="0.2">
      <c r="A166" s="242"/>
      <c r="B166" s="243"/>
      <c r="C166" s="243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3"/>
      <c r="AB166" s="244"/>
    </row>
    <row r="167" spans="1:28" ht="13.5" thickBot="1" x14ac:dyDescent="0.25">
      <c r="A167" s="288"/>
      <c r="B167" s="289" t="s">
        <v>312</v>
      </c>
      <c r="C167" s="290">
        <v>348</v>
      </c>
      <c r="D167" s="291">
        <v>17</v>
      </c>
      <c r="E167" s="291">
        <v>0</v>
      </c>
      <c r="F167" s="291">
        <v>16</v>
      </c>
      <c r="G167" s="291">
        <v>10</v>
      </c>
      <c r="H167" s="291">
        <v>17</v>
      </c>
      <c r="I167" s="291">
        <v>25</v>
      </c>
      <c r="J167" s="291">
        <v>20</v>
      </c>
      <c r="K167" s="291">
        <v>22</v>
      </c>
      <c r="L167" s="291">
        <v>16</v>
      </c>
      <c r="M167" s="291">
        <v>17</v>
      </c>
      <c r="N167" s="291">
        <v>4</v>
      </c>
      <c r="O167" s="291">
        <v>10</v>
      </c>
      <c r="P167" s="291">
        <v>13</v>
      </c>
      <c r="Q167" s="291">
        <v>16</v>
      </c>
      <c r="R167" s="291">
        <v>18</v>
      </c>
      <c r="S167" s="291">
        <v>7</v>
      </c>
      <c r="T167" s="291">
        <v>30</v>
      </c>
      <c r="U167" s="291">
        <v>18</v>
      </c>
      <c r="V167" s="291">
        <v>29</v>
      </c>
      <c r="W167" s="291">
        <v>10</v>
      </c>
      <c r="X167" s="291">
        <v>16</v>
      </c>
      <c r="Y167" s="291">
        <v>10</v>
      </c>
      <c r="Z167" s="291">
        <v>7</v>
      </c>
      <c r="AA167" s="290">
        <v>348</v>
      </c>
      <c r="AB167" s="292">
        <v>0</v>
      </c>
    </row>
    <row r="168" spans="1:28" x14ac:dyDescent="0.2">
      <c r="A168" s="237"/>
      <c r="B168" s="293"/>
      <c r="C168" s="293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3"/>
      <c r="AB168" s="295"/>
    </row>
    <row r="169" spans="1:28" x14ac:dyDescent="0.2">
      <c r="A169" s="242"/>
      <c r="B169" s="287" t="s">
        <v>313</v>
      </c>
      <c r="C169" s="243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3">
        <v>714</v>
      </c>
      <c r="AB169" s="244">
        <v>0</v>
      </c>
    </row>
    <row r="170" spans="1:28" x14ac:dyDescent="0.2">
      <c r="A170" s="242"/>
      <c r="B170" s="287" t="s">
        <v>314</v>
      </c>
      <c r="C170" s="243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3"/>
      <c r="AB170" s="244"/>
    </row>
    <row r="171" spans="1:28" x14ac:dyDescent="0.2">
      <c r="A171" s="242"/>
      <c r="B171" s="287" t="s">
        <v>315</v>
      </c>
      <c r="C171" s="243"/>
      <c r="D171" s="297">
        <v>0.17073170731707421</v>
      </c>
      <c r="E171" s="297">
        <v>0</v>
      </c>
      <c r="F171" s="296">
        <v>-0.82926829268292579</v>
      </c>
      <c r="G171" s="296">
        <v>-0.41463414634146289</v>
      </c>
      <c r="H171" s="296">
        <v>-4.8292682926829258</v>
      </c>
      <c r="I171" s="296">
        <v>-6.2439024390243887</v>
      </c>
      <c r="J171" s="297">
        <v>0.17073170731707421</v>
      </c>
      <c r="K171" s="297">
        <v>7.1707317073170742</v>
      </c>
      <c r="L171" s="296">
        <v>-2.8292682926829258</v>
      </c>
      <c r="M171" s="297">
        <v>2.1707317073170742</v>
      </c>
      <c r="N171" s="296">
        <v>-0.41463414634146289</v>
      </c>
      <c r="O171" s="297">
        <v>8.5853658536585371</v>
      </c>
      <c r="P171" s="296">
        <v>-2.8292682926829258</v>
      </c>
      <c r="Q171" s="297">
        <v>0.17073170731707421</v>
      </c>
      <c r="R171" s="297">
        <v>1.1707317073170742</v>
      </c>
      <c r="S171" s="296">
        <v>-1.4146341463414629</v>
      </c>
      <c r="T171" s="296">
        <v>-2.2439024390243887</v>
      </c>
      <c r="U171" s="297">
        <v>1.1707317073170742</v>
      </c>
      <c r="V171" s="296">
        <v>-0.24390243902438868</v>
      </c>
      <c r="W171" s="296">
        <v>-0.41463414634146289</v>
      </c>
      <c r="X171" s="297">
        <v>1.1707317073170742</v>
      </c>
      <c r="Y171" s="297">
        <v>3.1707317073170742</v>
      </c>
      <c r="Z171" s="296">
        <v>-2.4146341463414629</v>
      </c>
      <c r="AA171" s="243"/>
      <c r="AB171" s="244"/>
    </row>
    <row r="172" spans="1:28" x14ac:dyDescent="0.2">
      <c r="A172" s="242"/>
      <c r="B172" s="243"/>
      <c r="C172" s="243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3"/>
      <c r="AB172" s="244"/>
    </row>
    <row r="173" spans="1:28" x14ac:dyDescent="0.2">
      <c r="A173" s="242"/>
      <c r="B173" s="243"/>
      <c r="C173" s="243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3"/>
      <c r="AB173" s="244"/>
    </row>
    <row r="174" spans="1:28" x14ac:dyDescent="0.2">
      <c r="A174" s="242"/>
      <c r="B174" s="287" t="s">
        <v>316</v>
      </c>
      <c r="C174" s="243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3"/>
      <c r="AB174" s="244"/>
    </row>
    <row r="175" spans="1:28" x14ac:dyDescent="0.2">
      <c r="A175" s="242"/>
      <c r="B175" s="287" t="s">
        <v>317</v>
      </c>
      <c r="C175" s="243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3"/>
      <c r="AB175" s="244"/>
    </row>
    <row r="176" spans="1:28" ht="13.5" thickBot="1" x14ac:dyDescent="0.25">
      <c r="A176" s="245"/>
      <c r="B176" s="298" t="s">
        <v>129</v>
      </c>
      <c r="C176" s="247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7"/>
      <c r="AB176" s="248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2025-07-17T02:20:15Z</cp:lastPrinted>
  <dcterms:created xsi:type="dcterms:W3CDTF">2005-10-16T17:50:13Z</dcterms:created>
  <dcterms:modified xsi:type="dcterms:W3CDTF">2025-07-17T02:41:12Z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