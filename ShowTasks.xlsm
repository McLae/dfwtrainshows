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47B280EE-DC92-4A83-B726-35BEFB600263}" xr6:coauthVersionLast="47" xr6:coauthVersionMax="47" xr10:uidLastSave="{00000000-0000-0000-0000-000000000000}"/>
  <bookViews>
    <workbookView xWindow="-120" yWindow="-120" windowWidth="29040" windowHeight="15720" tabRatio="881" activeTab="5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<sst xmlns="http://schemas.openxmlformats.org/spreadsheetml/2006/main" count="1942" uniqueCount="363">
  <si>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</si>
  <si>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</si>
  <si>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</si>
  <si>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</si>
  <si>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</si>
  <si>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</si>
  <si>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</si>
  <si>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</si>
  <si>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</si>
  <si>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</si>
  <si>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</si>
  <si>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</si>
  <si>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</si>
  <si>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</si>
  <si>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</si>
  <si>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</si>
  <si>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</si>
  <si>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</si>
  <si>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</si>
  <si>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</si>
  <si>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</si>
  <si>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</si>
  <si>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</si>
  <si>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</si>
  <si>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</si>
  <si>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</si>
  <si>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</si>
  <si>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</si>
  <si>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</si>
  <si>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</si>
  <si>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</si>
  <si>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</si>
  <si>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</si>
  <si>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</si>
  <si>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</si>
  <si>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</si>
  <si>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</si>
  <si>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</si>
  <si>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</si>
  <si>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</si>
  <si>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</si>
  <si>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</si>
  <si>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</si>
  <si>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</si>
  <si>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</si>
  <si>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</si>
  <si>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</si>
  <si>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</si>
  <si>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</si>
  <si>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</si>
  <si>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</si>
  <si>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</si>
  <si>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</si>
  <si>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</si>
  <si>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</si>
  <si>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</si>
  <si>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</si>
  <si>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</si>
  <si>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</si>
  <si>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</si>
  <si>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</si>
  <si>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</si>
  <si>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</si>
  <si>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</si>
  <si>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</si>
  <si>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</si>
  <si>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</si>
  <si>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</si>
  <si>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</si>
  <si>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</si>
  <si>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</si>
  <si>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</si>
  <si>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</si>
  <si>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</si>
  <si>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</si>
  <si>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</si>
  <si>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</si>
  <si>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</si>
  <si>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</si>
  <si>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</si>
  <si>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</si>
  <si>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</si>
  <si>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</si>
  <si>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</si>
  <si>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</si>
  <si>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</si>
  <si>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</si>
  <si>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</si>
  <si>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</si>
  <si>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</si>
  <si>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</si>
  <si>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</si>
  <si>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</si>
  <si>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</si>
  <si>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</si>
  <si>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</si>
  <si>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</si>
  <si>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</si>
  <si>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</si>
  <si>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</si>
  <si>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</si>
  <si>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</si>
  <si>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</si>
  <si>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</si>
  <si>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</si>
  <si>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</si>
  <si>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</si>
  <si>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</si>
  <si>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</si>
  <si>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</si>
  <si>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</si>
  <si>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</si>
  <si>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</si>
  <si>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</si>
  <si>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</si>
  <si>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</si>
  <si>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</si>
  <si>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</si>
  <si>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</si>
  <si>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</si>
  <si>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</si>
  <si>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</si>
  <si>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</si>
  <si>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</si>
  <si>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</si>
  <si>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</si>
  <si>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</si>
  <si>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</si>
  <si>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</si>
  <si>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</si>
  <si>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</si>
  <si>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</si>
  <si>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</si>
  <si>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</si>
  <si>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</si>
  <si>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</si>
  <si>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</si>
  <si>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</si>
  <si>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</si>
  <si>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</si>
  <si>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</si>
  <si>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</si>
  <si>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</si>
  <si>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</si>
  <si>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</si>
  <si>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</si>
  <si>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</si>
  <si>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</si>
  <si>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</si>
  <si>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</si>
  <si>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</si>
  <si>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</si>
  <si>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</si>
  <si>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</si>
  <si>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</si>
  <si>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</si>
  <si>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</si>
  <si>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</si>
  <si>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</si>
  <si>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</si>
  <si>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</si>
  <si>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</si>
  <si>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</si>
  <si>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</si>
  <si>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</si>
  <si>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</si>
  <si>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</si>
  <si>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</si>
  <si>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</si>
  <si>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</si>
  <si>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</si>
  <si>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</si>
  <si>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</si>
  <si>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</si>
  <si>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</si>
  <si>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</si>
  <si>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</si>
  <si>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</si>
  <si>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</si>
  <si>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</si>
  <si>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</si>
  <si>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</si>
  <si>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</si>
  <si>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</si>
  <si>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</si>
  <si>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</si>
  <si>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</si>
  <si>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</si>
  <si>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</si>
  <si>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</si>
  <si>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</si>
  <si>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</si>
  <si>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</si>
  <si>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</si>
  <si>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</si>
  <si>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</si>
  <si>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</si>
  <si>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</si>
  <si>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</si>
  <si>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</si>
  <si>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</si>
  <si>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</si>
  <si>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</si>
  <si>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</si>
  <si>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</si>
  <si>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</si>
  <si>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</si>
  <si>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</si>
  <si>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</si>
  <si>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</si>
  <si>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</si>
  <si>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</si>
  <si>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</si>
  <si>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</si>
  <si>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</si>
  <si>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</si>
  <si>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</si>
  <si>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</si>
  <si>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</si>
  <si>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</si>
  <si>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</si>
  <si>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</si>
  <si>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</si>
  <si>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</si>
  <si>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</si>
  <si>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</si>
  <si>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</si>
  <si>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</si>
  <si>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</si>
  <si>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</si>
  <si>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</si>
  <si>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</si>
  <si>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</si>
  <si>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</si>
  <si>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</si>
  <si>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</si>
  <si>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</si>
  <si>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</si>
  <si>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</si>
  <si>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</si>
  <si>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</si>
  <si>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</si>
  <si>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</si>
  <si>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</si>
  <si>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</si>
  <si>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</si>
  <si>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</si>
  <si>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</si>
  <si>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</si>
  <si>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</si>
  <si>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</si>
  <si>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</si>
  <si>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</si>
  <si>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</si>
  <si>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</si>
  <si>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</si>
  <si>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</si>
  <si>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</si>
  <si>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</si>
  <si>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</si>
  <si>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</si>
  <si>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</si>
  <si>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</si>
  <si>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</si>
  <si>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</si>
  <si>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</si>
  <si>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</si>
  <si>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</si>
  <si>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</si>
  <si>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</si>
  <si>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</si>
  <si>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</si>
  <si>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</si>
  <si>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</si>
  <si>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</si>
  <si>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</si>
  <si>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</si>
  <si>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</si>
  <si>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</si>
  <si>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</si>
  <si>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</si>
  <si>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</si>
  <si>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</si>
  <si>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</si>
  <si>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</si>
  <si>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</si>
  <si>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</si>
  <si>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</si>
  <si>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</si>
  <si>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</si>
  <si>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</si>
  <si>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</si>
  <si>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</si>
  <si>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</si>
  <si>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</si>
  <si>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</si>
  <si>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</si>
  <si>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</si>
  <si>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</si>
  <si>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</si>
  <si>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</si>
  <si>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</si>
  <si>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</si>
  <si>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</si>
  <si>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</si>
  <si>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</si>
  <si>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</si>
  <si>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</si>
  <si>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</si>
  <si>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</si>
  <si>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</si>
  <si>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</si>
  <si>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</si>
  <si>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</si>
  <si>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</si>
  <si>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</si>
  <si>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</si>
  <si>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</si>
  <si>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</si>
  <si>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</si>
  <si>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</si>
  <si>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</si>
  <si>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</si>
  <si>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</si>
  <si>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</si>
  <si>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</si>
  <si>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</si>
  <si>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</si>
  <si>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</si>
  <si>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</si>
  <si>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</si>
  <si>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</si>
  <si>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</si>
  <si>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</si>
  <si>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</si>
  <si>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</si>
  <si>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</si>
  <si>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</si>
  <si>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</si>
  <si>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</si>
  <si>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</si>
  <si>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</si>
  <si>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</si>
  <si>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</si>
  <si>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</si>
  <si>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</si>
  <si>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</si>
  <si>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</si>
  <si>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</si>
  <si>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</si>
  <si>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</si>
  <si>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</si>
  <si>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</si>
  <si>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</si>
  <si>
    <t>Lone Star Hi-Railers</t>
  </si>
  <si>
    <t>2025/26 Show Season (final)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</si>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</sst>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29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3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2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2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27" borderId="0" xfId="0" applyFont="1" applyFill="1"/>
    <xf numFmtId="0" fontId="24" fillId="27" borderId="11" xfId="0" applyFont="1" applyFill="1" applyBorder="1" applyProtection="1">
      <protection locked="0"/>
    </xf>
    <xf numFmtId="0" fontId="24" fillId="40" borderId="11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38" borderId="11" xfId="0" applyFont="1" applyFill="1" applyBorder="1"/>
    <xf numFmtId="0" fontId="24" fillId="29" borderId="0" xfId="0" applyFont="1" applyFill="1"/>
    <xf numFmtId="0" fontId="24" fillId="28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19" borderId="0" xfId="0" applyFont="1" applyFill="1"/>
    <xf numFmtId="0" fontId="24" fillId="28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41" borderId="18" xfId="0" applyFont="1" applyFill="1" applyBorder="1"/>
    <xf numFmtId="0" fontId="24" fillId="31" borderId="18" xfId="0" applyFont="1" applyFill="1" applyBorder="1" applyProtection="1">
      <protection locked="0"/>
    </xf>
    <xf numFmtId="0" fontId="24" fillId="31" borderId="19" xfId="0" applyFont="1" applyFill="1" applyBorder="1" applyProtection="1">
      <protection locked="0"/>
    </xf>
    <xf numFmtId="0" fontId="24" fillId="31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41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19" fillId="9" borderId="14" xfId="0" applyFont="1" applyFill="1" applyBorder="1"/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41" borderId="11" xfId="0" applyFont="1" applyFill="1" applyBorder="1"/>
    <xf numFmtId="0" fontId="2" fillId="41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8" borderId="11" xfId="0" applyFont="1" applyFill="1" applyBorder="1"/>
    <xf numFmtId="0" fontId="2" fillId="29" borderId="11" xfId="0" applyFont="1" applyFill="1" applyBorder="1"/>
    <xf numFmtId="0" fontId="2" fillId="28" borderId="11" xfId="0" applyFont="1" applyFill="1" applyBorder="1" applyProtection="1">
      <protection locked="0"/>
    </xf>
    <xf numFmtId="0" fontId="2" fillId="30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1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1" borderId="11" xfId="0" applyFont="1" applyFill="1" applyBorder="1" applyProtection="1">
      <protection locked="0"/>
    </xf>
    <xf numFmtId="0" fontId="2" fillId="41" borderId="18" xfId="0" quotePrefix="1" applyFont="1" applyFill="1" applyBorder="1" applyProtection="1">
      <protection locked="0"/>
    </xf>
    <xf numFmtId="0" fontId="2" fillId="28" borderId="0" xfId="0" applyFont="1" applyFill="1"/>
    <xf numFmtId="0" fontId="2" fillId="31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3" fillId="2" borderId="0" xfId="0" applyFont="1" applyFill="1"/>
    <xf numFmtId="0" fontId="2" fillId="32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36" borderId="11" xfId="0" applyFont="1" applyFill="1" applyBorder="1" applyAlignment="1" applyProtection="1">
      <alignment horizontal="center"/>
      <protection locked="0"/>
    </xf>
    <xf numFmtId="0" fontId="2" fillId="8" borderId="15" xfId="0" applyFont="1" applyFill="1" applyBorder="1" applyAlignment="1">
      <alignment horizontal="center"/>
    </xf>
    <xf numFmtId="0" fontId="2" fillId="36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0" fontId="2" fillId="0" borderId="11" xfId="0" applyFont="1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14" borderId="11" xfId="0" applyFont="1" applyFill="1" applyBorder="1" applyAlignment="1" applyProtection="1">
      <alignment horizontal="center"/>
      <protection locked="0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3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41" borderId="9" xfId="0" applyFont="1" applyFill="1" applyBorder="1" applyAlignment="1">
      <alignment horizontal="center"/>
    </xf>
    <xf numFmtId="0" fontId="2" fillId="26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2" borderId="9" xfId="0" applyFont="1" applyFill="1" applyBorder="1" applyAlignment="1">
      <alignment horizontal="center"/>
    </xf>
    <xf numFmtId="0" fontId="2" fillId="40" borderId="9" xfId="0" applyFont="1" applyFill="1" applyBorder="1" applyAlignment="1">
      <alignment horizontal="center"/>
    </xf>
    <xf numFmtId="0" fontId="2" fillId="39" borderId="9" xfId="0" applyFont="1" applyFill="1" applyBorder="1" applyAlignment="1">
      <alignment horizontal="center"/>
    </xf>
    <xf numFmtId="0" fontId="2" fillId="39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7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0" borderId="18" xfId="0" applyFont="1" applyFill="1" applyBorder="1" applyProtection="1">
      <protection locked="0"/>
    </xf>
    <xf numFmtId="0" fontId="1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B49" sqref="B49"/>
    </sheetView>
  </sheetViews>
  <sheetFormatPr defaultRowHeight="12.75" x14ac:dyDescent="0.2"/>
  <cols>
    <col min="1" max="1" width="15.140625" style="65" customWidth="1"/>
    <col min="2" max="2" width="41.7109375" style="65" bestFit="1" customWidth="1"/>
    <col min="3" max="4" width="11.42578125" style="65" customWidth="1"/>
    <col min="5" max="5" width="11.42578125" style="5" customWidth="1"/>
    <col min="6" max="6" width="11.42578125" style="372" customWidth="1"/>
    <col min="7" max="7" width="33.5703125" style="295" customWidth="1"/>
    <col min="8" max="8" width="64.28515625" style="65" customWidth="1"/>
    <col min="9" max="9" width="12.28515625" style="65" bestFit="1" customWidth="1"/>
    <col min="10" max="16384" width="9.140625" style="65"/>
  </cols>
  <sheetData>
    <row r="1" spans="1:18" x14ac:dyDescent="0.2">
      <c r="A1" s="289"/>
      <c r="B1" s="290"/>
      <c r="C1" s="291"/>
      <c r="D1" s="292"/>
      <c r="E1" s="293"/>
      <c r="F1" s="294"/>
      <c r="K1" s="5"/>
    </row>
    <row r="2" spans="1:18" ht="18" x14ac:dyDescent="0.25">
      <c r="A2" s="374" t="s">
        <v>71</v>
      </c>
      <c r="B2" s="375"/>
      <c r="C2" s="375"/>
      <c r="D2" s="376"/>
      <c r="E2" s="296"/>
      <c r="F2" s="297"/>
      <c r="G2" s="298"/>
      <c r="H2" s="58"/>
    </row>
    <row r="3" spans="1:18" ht="18" x14ac:dyDescent="0.25">
      <c r="A3" s="374"/>
      <c r="B3" s="375"/>
      <c r="C3" s="375"/>
      <c r="D3" s="376"/>
      <c r="E3" s="296"/>
      <c r="F3" s="297"/>
      <c r="G3" s="298"/>
      <c r="H3" s="58"/>
      <c r="I3" s="65" t="s">
        <v>267</v>
      </c>
    </row>
    <row r="4" spans="1:18" ht="18" x14ac:dyDescent="0.25">
      <c r="A4" s="299"/>
      <c r="B4" s="58"/>
      <c r="C4" s="58"/>
      <c r="D4" s="256"/>
      <c r="E4" s="296"/>
      <c r="F4" s="297"/>
      <c r="G4" s="298"/>
      <c r="H4" s="58"/>
      <c r="I4" s="58"/>
      <c r="J4" s="58"/>
      <c r="K4" s="58"/>
    </row>
    <row r="5" spans="1:18" ht="16.5" thickBot="1" x14ac:dyDescent="0.3">
      <c r="A5" s="300"/>
      <c r="B5" s="47" t="str">
        <f>Issue</f>
        <v>2025/26 Show Season (final)</v>
      </c>
      <c r="C5" s="301" t="s">
        <v>325</v>
      </c>
      <c r="D5" s="302"/>
      <c r="E5" s="303"/>
      <c r="F5" s="304"/>
      <c r="K5" s="5"/>
    </row>
    <row r="6" spans="1:18" ht="16.5" thickBot="1" x14ac:dyDescent="0.3">
      <c r="A6" s="300"/>
      <c r="B6" s="47"/>
      <c r="C6" s="305" t="s">
        <v>72</v>
      </c>
      <c r="D6" s="302"/>
      <c r="E6" s="303" t="s">
        <v>4</v>
      </c>
      <c r="F6" s="304"/>
      <c r="H6" s="64" t="s">
        <v>191</v>
      </c>
      <c r="I6" s="377" t="s">
        <v>355</v>
      </c>
      <c r="J6" s="377"/>
      <c r="K6" s="377"/>
      <c r="L6" s="378"/>
    </row>
    <row r="7" spans="1:18" ht="15.75" x14ac:dyDescent="0.25">
      <c r="A7" s="306" t="s">
        <v>73</v>
      </c>
      <c r="B7" s="246" t="s">
        <v>356</v>
      </c>
      <c r="C7" s="307" t="s">
        <v>74</v>
      </c>
      <c r="D7" s="308"/>
      <c r="E7" s="309" t="s">
        <v>158</v>
      </c>
      <c r="F7" s="310" t="s">
        <v>160</v>
      </c>
      <c r="G7" s="311" t="s">
        <v>204</v>
      </c>
      <c r="K7" s="312"/>
    </row>
    <row r="8" spans="1:18" ht="18" x14ac:dyDescent="0.25">
      <c r="A8" s="313" t="s">
        <v>216</v>
      </c>
      <c r="B8" s="314" t="s">
        <v>217</v>
      </c>
      <c r="C8" s="315">
        <v>0</v>
      </c>
      <c r="D8" s="316">
        <v>1</v>
      </c>
      <c r="E8" s="317">
        <v>0</v>
      </c>
      <c r="F8" s="318">
        <v>0</v>
      </c>
      <c r="G8" s="319" t="s">
        <v>240</v>
      </c>
      <c r="H8" s="320"/>
      <c r="I8" s="320"/>
      <c r="J8" s="320"/>
      <c r="K8" s="321"/>
      <c r="L8" s="320"/>
      <c r="M8" s="320"/>
      <c r="N8" s="320"/>
      <c r="O8" s="320"/>
      <c r="P8" s="320"/>
      <c r="Q8" s="320"/>
      <c r="R8" s="320"/>
    </row>
    <row r="9" spans="1:18" ht="18" x14ac:dyDescent="0.25">
      <c r="A9" s="322" t="s">
        <v>16</v>
      </c>
      <c r="B9" s="246" t="s">
        <v>149</v>
      </c>
      <c r="C9" s="323">
        <v>2</v>
      </c>
      <c r="D9" s="316">
        <v>2</v>
      </c>
      <c r="E9" s="303">
        <v>35</v>
      </c>
      <c r="F9" s="304">
        <v>0.17073170731707421</v>
      </c>
      <c r="G9" s="324" t="s">
        <v>198</v>
      </c>
      <c r="H9" s="320" t="s">
        <v>205</v>
      </c>
      <c r="I9" s="320"/>
      <c r="J9" s="320"/>
      <c r="K9" s="321"/>
      <c r="L9" s="320"/>
      <c r="M9" s="325"/>
      <c r="N9" s="320"/>
      <c r="O9" s="320"/>
      <c r="P9" s="320"/>
      <c r="Q9" s="320"/>
      <c r="R9" s="320"/>
    </row>
    <row r="10" spans="1:18" ht="18" x14ac:dyDescent="0.25">
      <c r="A10" s="326" t="s">
        <v>75</v>
      </c>
      <c r="B10" s="246" t="s">
        <v>76</v>
      </c>
      <c r="C10" s="327">
        <v>1</v>
      </c>
      <c r="D10" s="316">
        <v>3</v>
      </c>
      <c r="E10" s="303">
        <v>17</v>
      </c>
      <c r="F10" s="328">
        <v>-0.41463414634146289</v>
      </c>
      <c r="G10" s="298" t="s">
        <v>333</v>
      </c>
      <c r="H10" s="329" t="s">
        <v>296</v>
      </c>
      <c r="I10" s="320"/>
      <c r="J10" s="320"/>
      <c r="K10" s="321"/>
      <c r="L10" s="320"/>
      <c r="M10" s="320"/>
      <c r="N10" s="320"/>
      <c r="O10" s="320"/>
      <c r="P10" s="320"/>
      <c r="Q10" s="320"/>
      <c r="R10" s="320"/>
    </row>
    <row r="11" spans="1:18" ht="18" x14ac:dyDescent="0.25">
      <c r="A11" s="330" t="s">
        <v>12</v>
      </c>
      <c r="B11" s="246" t="s">
        <v>77</v>
      </c>
      <c r="C11" s="331">
        <v>2</v>
      </c>
      <c r="D11" s="316">
        <v>4</v>
      </c>
      <c r="E11" s="303">
        <v>33</v>
      </c>
      <c r="F11" s="328">
        <v>-1.8292682926829258</v>
      </c>
      <c r="G11" s="298" t="s">
        <v>326</v>
      </c>
      <c r="H11" s="329"/>
      <c r="I11" s="320"/>
      <c r="J11" s="320"/>
      <c r="K11" s="321"/>
      <c r="L11" s="320"/>
      <c r="M11" s="320"/>
      <c r="N11" s="320"/>
      <c r="O11" s="320"/>
      <c r="P11" s="320"/>
      <c r="Q11" s="320"/>
      <c r="R11" s="320"/>
    </row>
    <row r="12" spans="1:18" ht="18" x14ac:dyDescent="0.25">
      <c r="A12" s="332" t="s">
        <v>32</v>
      </c>
      <c r="B12" s="246" t="s">
        <v>78</v>
      </c>
      <c r="C12" s="333">
        <v>3</v>
      </c>
      <c r="D12" s="316">
        <v>5</v>
      </c>
      <c r="E12" s="303">
        <v>52</v>
      </c>
      <c r="F12" s="328">
        <v>-0.24390243902438868</v>
      </c>
      <c r="G12" s="298" t="s">
        <v>220</v>
      </c>
      <c r="H12" s="329"/>
      <c r="I12" s="320"/>
      <c r="J12" s="320"/>
      <c r="K12" s="321"/>
      <c r="L12" s="320"/>
      <c r="M12" s="320"/>
      <c r="N12" s="320"/>
      <c r="O12" s="320"/>
      <c r="P12" s="320"/>
      <c r="Q12" s="320"/>
      <c r="R12" s="320"/>
    </row>
    <row r="13" spans="1:18" ht="18" x14ac:dyDescent="0.25">
      <c r="A13" s="334" t="s">
        <v>320</v>
      </c>
      <c r="B13" s="246" t="s">
        <v>354</v>
      </c>
      <c r="C13" s="333">
        <v>3</v>
      </c>
      <c r="D13" s="316">
        <v>6</v>
      </c>
      <c r="E13" s="303">
        <v>51</v>
      </c>
      <c r="F13" s="328">
        <v>-1.2439024390243887</v>
      </c>
      <c r="G13" s="298" t="s">
        <v>319</v>
      </c>
      <c r="H13" s="329"/>
      <c r="I13" s="320"/>
      <c r="J13" s="320"/>
      <c r="K13" s="321"/>
      <c r="L13" s="320"/>
      <c r="M13" s="320"/>
      <c r="N13" s="320"/>
      <c r="O13" s="320"/>
      <c r="P13" s="320"/>
      <c r="Q13" s="320"/>
      <c r="R13" s="320"/>
    </row>
    <row r="14" spans="1:18" ht="18" x14ac:dyDescent="0.25">
      <c r="A14" s="335" t="s">
        <v>25</v>
      </c>
      <c r="B14" s="246" t="s">
        <v>79</v>
      </c>
      <c r="C14" s="331">
        <v>2</v>
      </c>
      <c r="D14" s="316">
        <v>7</v>
      </c>
      <c r="E14" s="303">
        <v>42</v>
      </c>
      <c r="F14" s="336">
        <v>7.1707317073170742</v>
      </c>
      <c r="G14" s="298" t="s">
        <v>327</v>
      </c>
      <c r="H14" s="337" t="s">
        <v>243</v>
      </c>
      <c r="I14" s="320"/>
      <c r="J14" s="320"/>
      <c r="K14" s="321"/>
      <c r="L14" s="320"/>
      <c r="M14" s="320"/>
      <c r="N14" s="320"/>
      <c r="O14" s="320"/>
      <c r="P14" s="320"/>
      <c r="Q14" s="320"/>
      <c r="R14" s="320"/>
    </row>
    <row r="15" spans="1:18" ht="18" x14ac:dyDescent="0.25">
      <c r="A15" s="338" t="s">
        <v>81</v>
      </c>
      <c r="B15" s="339" t="s">
        <v>82</v>
      </c>
      <c r="C15" s="331">
        <v>2</v>
      </c>
      <c r="D15" s="316">
        <v>8</v>
      </c>
      <c r="E15" s="303">
        <v>32</v>
      </c>
      <c r="F15" s="340">
        <v>-2.8292682926829258</v>
      </c>
      <c r="G15" s="298" t="s">
        <v>215</v>
      </c>
      <c r="H15" s="329"/>
      <c r="I15" s="320"/>
      <c r="J15" s="320"/>
      <c r="K15" s="321"/>
      <c r="L15" s="320"/>
      <c r="M15" s="320"/>
      <c r="N15" s="320"/>
      <c r="O15" s="320"/>
      <c r="P15" s="320"/>
      <c r="Q15" s="320"/>
      <c r="R15" s="320"/>
    </row>
    <row r="16" spans="1:18" ht="18" x14ac:dyDescent="0.25">
      <c r="A16" s="341" t="s">
        <v>80</v>
      </c>
      <c r="B16" s="246" t="s">
        <v>147</v>
      </c>
      <c r="C16" s="331">
        <v>2</v>
      </c>
      <c r="D16" s="316">
        <v>9</v>
      </c>
      <c r="E16" s="303">
        <v>31</v>
      </c>
      <c r="F16" s="328">
        <v>-3.8292682926829258</v>
      </c>
      <c r="G16" s="298" t="s">
        <v>203</v>
      </c>
      <c r="H16" s="329"/>
      <c r="I16" s="320"/>
      <c r="J16" s="320"/>
      <c r="K16" s="321"/>
      <c r="L16" s="320"/>
      <c r="M16" s="320"/>
      <c r="N16" s="320"/>
      <c r="O16" s="320"/>
      <c r="P16" s="320"/>
      <c r="Q16" s="320"/>
      <c r="R16" s="320"/>
    </row>
    <row r="17" spans="1:18" ht="18" x14ac:dyDescent="0.25">
      <c r="A17" s="342" t="s">
        <v>218</v>
      </c>
      <c r="B17" s="246" t="s">
        <v>219</v>
      </c>
      <c r="C17" s="327">
        <v>1</v>
      </c>
      <c r="D17" s="316">
        <v>10</v>
      </c>
      <c r="E17" s="303">
        <v>18</v>
      </c>
      <c r="F17" s="343">
        <v>0.58536585365853711</v>
      </c>
      <c r="G17" s="298" t="s">
        <v>242</v>
      </c>
      <c r="H17" s="329"/>
      <c r="I17" s="320"/>
      <c r="J17" s="320"/>
      <c r="K17" s="321"/>
      <c r="L17" s="320"/>
      <c r="M17" s="320"/>
      <c r="N17" s="320"/>
      <c r="O17" s="320"/>
      <c r="P17" s="320"/>
      <c r="Q17" s="320"/>
      <c r="R17" s="320"/>
    </row>
    <row r="18" spans="1:18" ht="18" x14ac:dyDescent="0.25">
      <c r="A18" s="313" t="s">
        <v>344</v>
      </c>
      <c r="B18" s="344" t="s">
        <v>345</v>
      </c>
      <c r="C18" s="315">
        <v>0</v>
      </c>
      <c r="D18" s="316">
        <v>11</v>
      </c>
      <c r="E18" s="317">
        <v>0</v>
      </c>
      <c r="F18" s="343">
        <v>0</v>
      </c>
      <c r="G18" s="298"/>
      <c r="H18" s="329"/>
      <c r="I18" s="320"/>
      <c r="J18" s="320"/>
      <c r="K18" s="321"/>
      <c r="L18" s="320"/>
      <c r="M18" s="320"/>
      <c r="N18" s="320"/>
      <c r="O18" s="320"/>
      <c r="P18" s="320"/>
      <c r="Q18" s="320"/>
      <c r="R18" s="320"/>
    </row>
    <row r="19" spans="1:18" ht="18" x14ac:dyDescent="0.25">
      <c r="A19" s="345" t="s">
        <v>144</v>
      </c>
      <c r="B19" s="246" t="s">
        <v>145</v>
      </c>
      <c r="C19" s="327">
        <v>1</v>
      </c>
      <c r="D19" s="316">
        <v>12</v>
      </c>
      <c r="E19" s="303">
        <v>26</v>
      </c>
      <c r="F19" s="336">
        <v>8.5853658536585371</v>
      </c>
      <c r="G19" s="298" t="s">
        <v>318</v>
      </c>
      <c r="H19" s="329"/>
      <c r="I19" s="320"/>
      <c r="J19" s="320"/>
      <c r="K19" s="321"/>
      <c r="L19" s="320"/>
      <c r="M19" s="320"/>
      <c r="N19" s="320"/>
      <c r="O19" s="320"/>
      <c r="P19" s="320"/>
      <c r="Q19" s="320"/>
      <c r="R19" s="320"/>
    </row>
    <row r="20" spans="1:18" ht="18" x14ac:dyDescent="0.25">
      <c r="A20" s="346" t="s">
        <v>20</v>
      </c>
      <c r="B20" s="246" t="s">
        <v>146</v>
      </c>
      <c r="C20" s="331">
        <v>2</v>
      </c>
      <c r="D20" s="316">
        <v>13</v>
      </c>
      <c r="E20" s="303">
        <v>33</v>
      </c>
      <c r="F20" s="328">
        <v>-1.8292682926829258</v>
      </c>
      <c r="G20" s="298" t="s">
        <v>214</v>
      </c>
      <c r="H20" s="329" t="s">
        <v>193</v>
      </c>
      <c r="I20" s="320"/>
      <c r="J20" s="320"/>
      <c r="K20" s="321"/>
      <c r="L20" s="320"/>
      <c r="M20" s="320"/>
      <c r="N20" s="320"/>
      <c r="O20" s="320"/>
      <c r="P20" s="320"/>
      <c r="Q20" s="320"/>
      <c r="R20" s="320"/>
    </row>
    <row r="21" spans="1:18" ht="18" x14ac:dyDescent="0.25">
      <c r="A21" s="347" t="s">
        <v>83</v>
      </c>
      <c r="B21" s="246" t="s">
        <v>304</v>
      </c>
      <c r="C21" s="331">
        <v>2</v>
      </c>
      <c r="D21" s="316">
        <v>14</v>
      </c>
      <c r="E21" s="303">
        <v>34</v>
      </c>
      <c r="F21" s="328">
        <v>-0.82926829268292579</v>
      </c>
      <c r="G21" s="298" t="s">
        <v>245</v>
      </c>
      <c r="H21" s="329" t="s">
        <v>266</v>
      </c>
      <c r="I21" s="320"/>
      <c r="J21" s="320"/>
      <c r="K21" s="321"/>
      <c r="L21" s="320"/>
      <c r="M21" s="320"/>
      <c r="N21" s="320"/>
      <c r="O21" s="320"/>
      <c r="P21" s="320"/>
      <c r="Q21" s="320"/>
      <c r="R21" s="320"/>
    </row>
    <row r="22" spans="1:18" ht="26.25" x14ac:dyDescent="0.25">
      <c r="A22" s="348" t="s">
        <v>253</v>
      </c>
      <c r="B22" s="246" t="s">
        <v>252</v>
      </c>
      <c r="C22" s="331">
        <v>2</v>
      </c>
      <c r="D22" s="316">
        <v>15</v>
      </c>
      <c r="E22" s="303">
        <v>35</v>
      </c>
      <c r="F22" s="304">
        <v>0.17073170731707421</v>
      </c>
      <c r="G22" s="298" t="s">
        <v>255</v>
      </c>
      <c r="H22" s="349" t="s">
        <v>256</v>
      </c>
      <c r="I22" s="320"/>
      <c r="J22" s="320"/>
      <c r="K22" s="321"/>
      <c r="L22" s="320"/>
      <c r="M22" s="320"/>
      <c r="N22" s="320"/>
      <c r="O22" s="320"/>
      <c r="P22" s="320"/>
      <c r="Q22" s="320"/>
      <c r="R22" s="320"/>
    </row>
    <row r="23" spans="1:18" ht="18" x14ac:dyDescent="0.25">
      <c r="A23" s="350" t="s">
        <v>88</v>
      </c>
      <c r="B23" s="246" t="s">
        <v>89</v>
      </c>
      <c r="C23" s="331">
        <v>2</v>
      </c>
      <c r="D23" s="316">
        <v>16</v>
      </c>
      <c r="E23" s="303">
        <v>35</v>
      </c>
      <c r="F23" s="304">
        <v>0.17073170731707421</v>
      </c>
      <c r="G23" s="298" t="s">
        <v>244</v>
      </c>
      <c r="H23" s="329"/>
      <c r="I23" s="320"/>
      <c r="J23" s="320"/>
      <c r="K23" s="321"/>
      <c r="L23" s="320"/>
      <c r="M23" s="320"/>
      <c r="N23" s="320"/>
      <c r="O23" s="320"/>
      <c r="P23" s="320"/>
      <c r="Q23" s="320"/>
      <c r="R23" s="320"/>
    </row>
    <row r="24" spans="1:18" ht="18" x14ac:dyDescent="0.25">
      <c r="A24" s="351" t="s">
        <v>84</v>
      </c>
      <c r="B24" s="246" t="s">
        <v>148</v>
      </c>
      <c r="C24" s="327">
        <v>1</v>
      </c>
      <c r="D24" s="316">
        <v>17</v>
      </c>
      <c r="E24" s="303">
        <v>17</v>
      </c>
      <c r="F24" s="328">
        <v>-0.41463414634146289</v>
      </c>
      <c r="G24" s="298" t="s">
        <v>241</v>
      </c>
      <c r="H24" s="329"/>
      <c r="I24" s="320"/>
      <c r="J24" s="320"/>
      <c r="K24" s="321"/>
      <c r="L24" s="320"/>
      <c r="M24" s="320"/>
      <c r="N24" s="320"/>
      <c r="O24" s="320"/>
      <c r="P24" s="320"/>
      <c r="Q24" s="320"/>
      <c r="R24" s="320"/>
    </row>
    <row r="25" spans="1:18" ht="18" x14ac:dyDescent="0.25">
      <c r="A25" s="352" t="s">
        <v>34</v>
      </c>
      <c r="B25" s="246" t="s">
        <v>85</v>
      </c>
      <c r="C25" s="333">
        <v>3</v>
      </c>
      <c r="D25" s="316">
        <v>18</v>
      </c>
      <c r="E25" s="303">
        <v>51</v>
      </c>
      <c r="F25" s="328">
        <v>-1.2439024390243887</v>
      </c>
      <c r="G25" s="298" t="s">
        <v>254</v>
      </c>
      <c r="H25" s="329"/>
      <c r="I25" s="320"/>
      <c r="J25" s="320"/>
      <c r="K25" s="321"/>
      <c r="L25" s="320"/>
      <c r="M25" s="320"/>
      <c r="N25" s="320"/>
      <c r="O25" s="320"/>
      <c r="P25" s="320"/>
      <c r="Q25" s="320"/>
      <c r="R25" s="320"/>
    </row>
    <row r="26" spans="1:18" ht="18" x14ac:dyDescent="0.25">
      <c r="A26" s="353" t="s">
        <v>339</v>
      </c>
      <c r="B26" s="246" t="s">
        <v>338</v>
      </c>
      <c r="C26" s="331">
        <v>2</v>
      </c>
      <c r="D26" s="316">
        <v>19</v>
      </c>
      <c r="E26" s="303">
        <v>32</v>
      </c>
      <c r="F26" s="328">
        <v>-2.8292682926829258</v>
      </c>
      <c r="G26" s="298" t="s">
        <v>335</v>
      </c>
      <c r="H26" s="329"/>
      <c r="I26" s="320"/>
      <c r="J26" s="320"/>
      <c r="K26" s="321"/>
      <c r="L26" s="320"/>
      <c r="M26" s="320"/>
      <c r="N26" s="320"/>
      <c r="O26" s="320"/>
      <c r="P26" s="320"/>
      <c r="Q26" s="320"/>
      <c r="R26" s="320"/>
    </row>
    <row r="27" spans="1:18" ht="18" x14ac:dyDescent="0.25">
      <c r="A27" s="326" t="s">
        <v>41</v>
      </c>
      <c r="B27" s="246" t="s">
        <v>156</v>
      </c>
      <c r="C27" s="333">
        <v>3</v>
      </c>
      <c r="D27" s="316">
        <v>20</v>
      </c>
      <c r="E27" s="303">
        <v>52</v>
      </c>
      <c r="F27" s="328">
        <v>-0.24390243902438868</v>
      </c>
      <c r="G27" s="298" t="s">
        <v>200</v>
      </c>
      <c r="H27" s="329"/>
      <c r="I27" s="320"/>
      <c r="J27" s="320"/>
      <c r="K27" s="321"/>
      <c r="L27" s="320"/>
      <c r="M27" s="320"/>
      <c r="N27" s="320"/>
      <c r="O27" s="320"/>
      <c r="P27" s="320"/>
      <c r="Q27" s="320"/>
      <c r="R27" s="320"/>
    </row>
    <row r="28" spans="1:18" ht="18" x14ac:dyDescent="0.25">
      <c r="A28" s="354" t="s">
        <v>212</v>
      </c>
      <c r="B28" s="355" t="s">
        <v>213</v>
      </c>
      <c r="C28" s="327">
        <v>0</v>
      </c>
      <c r="D28" s="316">
        <v>21</v>
      </c>
      <c r="E28" s="303">
        <v>0</v>
      </c>
      <c r="F28" s="304">
        <v>0</v>
      </c>
      <c r="G28" s="298" t="s">
        <v>199</v>
      </c>
      <c r="H28" s="329"/>
      <c r="I28" s="320"/>
      <c r="J28" s="320"/>
      <c r="K28" s="321"/>
      <c r="L28" s="320"/>
      <c r="M28" s="320"/>
      <c r="N28" s="320"/>
      <c r="O28" s="320"/>
      <c r="P28" s="320"/>
      <c r="Q28" s="320"/>
      <c r="R28" s="320"/>
    </row>
    <row r="29" spans="1:18" ht="18" x14ac:dyDescent="0.25">
      <c r="A29" s="356" t="s">
        <v>37</v>
      </c>
      <c r="B29" s="246" t="s">
        <v>87</v>
      </c>
      <c r="C29" s="331">
        <v>2</v>
      </c>
      <c r="D29" s="316">
        <v>22</v>
      </c>
      <c r="E29" s="303">
        <v>36</v>
      </c>
      <c r="F29" s="304">
        <v>1.1707317073170742</v>
      </c>
      <c r="G29" s="298" t="s">
        <v>247</v>
      </c>
      <c r="H29" s="329">
        <v>0</v>
      </c>
      <c r="I29" s="320"/>
      <c r="J29" s="320"/>
      <c r="K29" s="321"/>
      <c r="L29" s="357"/>
      <c r="M29" s="320"/>
      <c r="N29" s="320"/>
      <c r="O29" s="320"/>
      <c r="P29" s="320"/>
      <c r="Q29" s="320"/>
      <c r="R29" s="320"/>
    </row>
    <row r="30" spans="1:18" ht="18" x14ac:dyDescent="0.25">
      <c r="A30" s="358" t="s">
        <v>7</v>
      </c>
      <c r="B30" s="373" t="s">
        <v>202</v>
      </c>
      <c r="C30" s="331">
        <v>2</v>
      </c>
      <c r="D30" s="316">
        <v>23</v>
      </c>
      <c r="E30" s="303">
        <v>35</v>
      </c>
      <c r="F30" s="304">
        <v>0.17073170731707421</v>
      </c>
      <c r="G30" s="298" t="s">
        <v>246</v>
      </c>
      <c r="H30" s="329"/>
      <c r="I30" s="320"/>
      <c r="J30" s="320"/>
      <c r="K30" s="321"/>
      <c r="L30" s="320"/>
      <c r="M30" s="320"/>
      <c r="N30" s="320"/>
      <c r="O30" s="320"/>
      <c r="P30" s="320"/>
      <c r="Q30" s="320"/>
      <c r="R30" s="320"/>
    </row>
    <row r="31" spans="1:18" ht="18" x14ac:dyDescent="0.25">
      <c r="A31" s="359" t="s">
        <v>18</v>
      </c>
      <c r="B31" s="246" t="s">
        <v>86</v>
      </c>
      <c r="C31" s="327">
        <v>1</v>
      </c>
      <c r="D31" s="316">
        <v>24</v>
      </c>
      <c r="E31" s="303">
        <v>17</v>
      </c>
      <c r="F31" s="328">
        <v>-0.41463414634146289</v>
      </c>
      <c r="G31" s="298" t="s">
        <v>201</v>
      </c>
      <c r="H31" s="329"/>
      <c r="I31" s="320"/>
      <c r="J31" s="320"/>
      <c r="K31" s="321"/>
      <c r="L31" s="320"/>
      <c r="M31" s="320"/>
      <c r="N31" s="320"/>
      <c r="O31" s="320"/>
      <c r="P31" s="320"/>
      <c r="Q31" s="320"/>
      <c r="R31" s="320"/>
    </row>
    <row r="32" spans="1:18" ht="15.75" x14ac:dyDescent="0.25">
      <c r="A32" s="360"/>
      <c r="B32" s="246"/>
      <c r="C32" s="327"/>
      <c r="D32" s="361"/>
      <c r="E32" s="303"/>
      <c r="F32" s="328"/>
      <c r="H32" s="329"/>
      <c r="I32" s="320"/>
      <c r="J32" s="320"/>
      <c r="K32" s="321"/>
      <c r="L32" s="320"/>
      <c r="M32" s="320"/>
      <c r="N32" s="320"/>
      <c r="O32" s="320"/>
      <c r="P32" s="320"/>
      <c r="Q32" s="320"/>
      <c r="R32" s="320"/>
    </row>
    <row r="33" spans="1:18" ht="15.75" x14ac:dyDescent="0.25">
      <c r="A33" s="300"/>
      <c r="B33" s="47"/>
      <c r="C33" s="362"/>
      <c r="D33" s="363"/>
      <c r="E33" s="303"/>
      <c r="F33" s="328"/>
      <c r="H33" s="329"/>
      <c r="I33" s="320"/>
      <c r="J33" s="320"/>
      <c r="K33" s="321"/>
      <c r="L33" s="320"/>
      <c r="M33" s="320"/>
      <c r="N33" s="320"/>
      <c r="O33" s="320"/>
      <c r="P33" s="320"/>
      <c r="Q33" s="320"/>
      <c r="R33" s="320"/>
    </row>
    <row r="34" spans="1:18" ht="16.5" thickBot="1" x14ac:dyDescent="0.3">
      <c r="A34" s="300"/>
      <c r="B34" s="47"/>
      <c r="C34" s="364"/>
      <c r="D34" s="363"/>
      <c r="E34" s="303"/>
      <c r="F34" s="304"/>
      <c r="H34" s="65" t="s">
        <v>336</v>
      </c>
      <c r="K34" s="5"/>
    </row>
    <row r="35" spans="1:18" ht="16.5" thickBot="1" x14ac:dyDescent="0.3">
      <c r="A35" s="365"/>
      <c r="B35" s="64" t="s">
        <v>90</v>
      </c>
      <c r="C35" s="366">
        <f>SUM(C8:C34)</f>
        <v>41</v>
      </c>
      <c r="D35" s="367"/>
      <c r="E35" s="368"/>
      <c r="F35" s="369"/>
      <c r="K35" s="5"/>
    </row>
    <row r="36" spans="1:18" ht="15.75" x14ac:dyDescent="0.25">
      <c r="A36" s="47"/>
      <c r="B36" s="47"/>
      <c r="C36" s="50"/>
      <c r="D36" s="47"/>
      <c r="E36" s="50" t="s">
        <v>158</v>
      </c>
      <c r="F36" s="370"/>
    </row>
    <row r="37" spans="1:18" ht="15.75" x14ac:dyDescent="0.25">
      <c r="A37" s="47"/>
      <c r="B37" s="47" t="s">
        <v>128</v>
      </c>
      <c r="C37" s="50">
        <f>GrandTotalHours</f>
        <v>714</v>
      </c>
      <c r="D37" s="47"/>
      <c r="E37" s="50">
        <f>SUM(E7:E36)</f>
        <v>714</v>
      </c>
      <c r="F37" s="370"/>
    </row>
    <row r="38" spans="1:18" ht="15.75" x14ac:dyDescent="0.25">
      <c r="A38" s="47"/>
      <c r="B38" s="47"/>
      <c r="C38" s="50"/>
      <c r="D38" s="47"/>
      <c r="E38" s="50"/>
      <c r="F38" s="370"/>
    </row>
    <row r="39" spans="1:18" ht="15.75" x14ac:dyDescent="0.25">
      <c r="A39" s="47"/>
      <c r="B39" s="47" t="s">
        <v>129</v>
      </c>
      <c r="C39" s="371">
        <f>GrandTotalHours/TotalShowShares</f>
        <v>17.414634146341463</v>
      </c>
      <c r="D39" s="47"/>
      <c r="E39" s="50"/>
      <c r="F39" s="370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9/26/2025</v>
      </c>
      <c r="J4">
        <f>ROW(FALLFriday)</f>
        <v>5</v>
      </c>
    </row>
    <row r="5" spans="1:10" x14ac:dyDescent="0.2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9/27/2025</v>
      </c>
      <c r="J5">
        <f>ROW(FALLSaturday)</f>
        <v>5</v>
      </c>
    </row>
    <row r="6" spans="1:10" x14ac:dyDescent="0.2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9/28/2025</v>
      </c>
      <c r="J6">
        <f>ROW(FALLSunday)</f>
        <v>5</v>
      </c>
    </row>
    <row r="7" spans="1:10" x14ac:dyDescent="0.2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01/16/2026</v>
      </c>
      <c r="J7">
        <f>ROW(DATFriday)</f>
        <v>5</v>
      </c>
    </row>
    <row r="8" spans="1:10" x14ac:dyDescent="0.2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01/17/2026</v>
      </c>
      <c r="J8">
        <f>ROW(DATSaturday)</f>
        <v>5</v>
      </c>
    </row>
    <row r="9" spans="1:10" x14ac:dyDescent="0.2">
      <c r="A9" t="s">
        <v>138</v>
      </c>
      <c r="C9" s="92">
        <v>26</v>
      </c>
      <c r="D9" s="92">
        <f>FindHourlyCols("DAT Sunday",DATSunday)</f>
        <v>11</v>
      </c>
      <c r="F9" t="s">
        <v>262</v>
      </c>
      <c r="H9" s="92" t="str">
        <f>DATSunday</f>
        <v>Sunday 01/18/2026</v>
      </c>
      <c r="J9">
        <f>ROW(DATSunday)</f>
        <v>5</v>
      </c>
    </row>
    <row r="12" spans="1:10" x14ac:dyDescent="0.2">
      <c r="D12" s="92">
        <v>1</v>
      </c>
    </row>
    <row r="13" spans="1:10" x14ac:dyDescent="0.2">
      <c r="D13" s="92">
        <v>1</v>
      </c>
      <c r="F13" t="s">
        <v>208</v>
      </c>
      <c r="I13" s="92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92">
        <v>1</v>
      </c>
      <c r="D16" s="92">
        <v>28</v>
      </c>
    </row>
    <row r="17" spans="1:4" x14ac:dyDescent="0.2">
      <c r="A17" s="13" t="s">
        <v>269</v>
      </c>
      <c r="C17" s="92">
        <v>4</v>
      </c>
      <c r="D17" s="92">
        <v>42</v>
      </c>
    </row>
    <row r="18" spans="1:4" x14ac:dyDescent="0.2">
      <c r="A18" s="13" t="s">
        <v>270</v>
      </c>
      <c r="C18" s="92">
        <v>46</v>
      </c>
      <c r="D18" s="92">
        <v>86</v>
      </c>
    </row>
    <row r="19" spans="1:4" x14ac:dyDescent="0.2">
      <c r="A19" t="s">
        <v>187</v>
      </c>
      <c r="C19" s="92">
        <v>90</v>
      </c>
      <c r="D19" s="92">
        <v>125</v>
      </c>
    </row>
    <row r="20" spans="1:4" x14ac:dyDescent="0.2">
      <c r="A20" t="s">
        <v>188</v>
      </c>
      <c r="C20" s="92">
        <v>129</v>
      </c>
      <c r="D20" s="92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94" t="s">
        <v>232</v>
      </c>
      <c r="B1" s="91"/>
      <c r="C1" s="91"/>
      <c r="D1" s="95"/>
    </row>
    <row r="2" spans="1:8" x14ac:dyDescent="0.2">
      <c r="A2" s="1"/>
      <c r="B2" s="2" t="str">
        <f>Issue</f>
        <v>2025/26 Show Season (final)</v>
      </c>
      <c r="C2" s="2"/>
      <c r="D2" s="96"/>
    </row>
    <row r="3" spans="1:8" ht="15.75" x14ac:dyDescent="0.25">
      <c r="A3" s="3"/>
      <c r="B3" s="107" t="str">
        <f>Season</f>
        <v>2024/2025</v>
      </c>
      <c r="C3" s="2"/>
      <c r="D3" s="97"/>
    </row>
    <row r="4" spans="1:8" x14ac:dyDescent="0.2">
      <c r="A4" s="4"/>
      <c r="C4" s="5" t="s">
        <v>0</v>
      </c>
      <c r="D4" s="97" t="s">
        <v>1</v>
      </c>
    </row>
    <row r="5" spans="1:8" x14ac:dyDescent="0.2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">
      <c r="A9" s="160" t="s">
        <v>9</v>
      </c>
      <c r="B9" s="153" t="s">
        <v>340</v>
      </c>
      <c r="C9" s="19">
        <v>9</v>
      </c>
      <c r="D9" s="99" t="s">
        <v>253</v>
      </c>
      <c r="F9" s="9"/>
      <c r="H9" s="2"/>
    </row>
    <row r="10" spans="1:8" x14ac:dyDescent="0.2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">
      <c r="A12" s="59"/>
      <c r="B12" s="110"/>
      <c r="C12" s="19"/>
      <c r="D12" s="99"/>
      <c r="F12" s="9"/>
      <c r="H12" s="2"/>
    </row>
    <row r="13" spans="1:8" x14ac:dyDescent="0.2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">
      <c r="A14" s="59" t="s">
        <v>14</v>
      </c>
      <c r="B14" s="110"/>
      <c r="C14" s="19"/>
      <c r="D14" s="99"/>
      <c r="F14" s="9"/>
      <c r="H14" s="2"/>
    </row>
    <row r="15" spans="1:8" x14ac:dyDescent="0.2">
      <c r="A15" s="59" t="s">
        <v>15</v>
      </c>
      <c r="B15" s="110"/>
      <c r="C15" s="19"/>
      <c r="D15" s="99"/>
      <c r="F15" s="9"/>
      <c r="H15" s="2"/>
    </row>
    <row r="16" spans="1:8" x14ac:dyDescent="0.2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">
      <c r="A18" s="59" t="s">
        <v>19</v>
      </c>
      <c r="B18" s="110"/>
      <c r="C18" s="19"/>
      <c r="D18" s="99"/>
      <c r="F18" s="9"/>
      <c r="H18" s="2"/>
    </row>
    <row r="19" spans="1:8" x14ac:dyDescent="0.2">
      <c r="A19" s="59" t="s">
        <v>21</v>
      </c>
      <c r="B19" s="153"/>
      <c r="C19" s="19"/>
      <c r="D19" s="99"/>
      <c r="F19" s="9"/>
      <c r="H19" s="2"/>
    </row>
    <row r="20" spans="1:8" x14ac:dyDescent="0.2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">
      <c r="A21" s="59" t="s">
        <v>24</v>
      </c>
      <c r="B21" s="153" t="s">
        <v>337</v>
      </c>
      <c r="C21" s="19">
        <v>4</v>
      </c>
      <c r="D21" s="126" t="s">
        <v>7</v>
      </c>
      <c r="F21" s="88"/>
      <c r="H21" s="2"/>
    </row>
    <row r="22" spans="1:8" x14ac:dyDescent="0.2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">
      <c r="A23" s="59" t="s">
        <v>28</v>
      </c>
      <c r="B23" s="110"/>
      <c r="C23" s="19"/>
      <c r="D23" s="99"/>
      <c r="F23" s="9"/>
      <c r="H23" s="2"/>
    </row>
    <row r="24" spans="1:8" x14ac:dyDescent="0.2">
      <c r="A24" s="59" t="s">
        <v>29</v>
      </c>
      <c r="B24" s="110"/>
      <c r="C24" s="19"/>
      <c r="D24" s="99"/>
      <c r="F24" s="9"/>
      <c r="H24" s="2"/>
    </row>
    <row r="25" spans="1:8" x14ac:dyDescent="0.2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">
      <c r="A26" s="80" t="s">
        <v>33</v>
      </c>
      <c r="B26" s="109" t="s">
        <v>277</v>
      </c>
      <c r="C26" s="19">
        <v>6</v>
      </c>
      <c r="D26" s="99" t="s">
        <v>7</v>
      </c>
      <c r="F26" s="9"/>
      <c r="H26" s="2"/>
    </row>
    <row r="27" spans="1:8" x14ac:dyDescent="0.2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">
      <c r="A28" s="59" t="s">
        <v>38</v>
      </c>
      <c r="B28" s="110"/>
      <c r="C28" s="19"/>
      <c r="D28" s="99"/>
      <c r="F28" s="9"/>
      <c r="H28" s="2"/>
    </row>
    <row r="29" spans="1:8" x14ac:dyDescent="0.2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">
      <c r="A30" s="80"/>
      <c r="B30" t="s">
        <v>291</v>
      </c>
      <c r="C30" s="158">
        <v>0</v>
      </c>
      <c r="D30" s="156"/>
      <c r="F30" s="88"/>
      <c r="H30" s="2"/>
    </row>
    <row r="31" spans="1:8" x14ac:dyDescent="0.2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">
      <c r="A35" s="59" t="s">
        <v>47</v>
      </c>
      <c r="B35" s="109" t="s">
        <v>279</v>
      </c>
      <c r="C35" s="19">
        <v>2</v>
      </c>
      <c r="D35" s="99" t="s">
        <v>339</v>
      </c>
      <c r="F35" s="9"/>
      <c r="H35" s="2"/>
    </row>
    <row r="36" spans="1:8" ht="15" x14ac:dyDescent="0.2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">
      <c r="A38" s="59"/>
      <c r="B38" s="110"/>
      <c r="C38" s="19"/>
      <c r="D38" s="99"/>
      <c r="F38" s="9"/>
      <c r="H38" s="2"/>
    </row>
    <row r="39" spans="1:8" x14ac:dyDescent="0.2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">
      <c r="A41" s="4"/>
      <c r="C41" s="2"/>
      <c r="D41" s="96"/>
    </row>
    <row r="42" spans="1:8" ht="13.5" thickBot="1" x14ac:dyDescent="0.25">
      <c r="A42" s="60"/>
      <c r="B42" s="111" t="s">
        <v>285</v>
      </c>
      <c r="C42" s="71">
        <f>SUM(C5:C41)</f>
        <v>129</v>
      </c>
      <c r="D42" s="101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94" t="s">
        <v>233</v>
      </c>
      <c r="B46" s="91"/>
      <c r="C46" s="91"/>
      <c r="D46" s="95"/>
    </row>
    <row r="47" spans="1:8" x14ac:dyDescent="0.2">
      <c r="A47" s="4"/>
      <c r="B47" s="2" t="str">
        <f>Issue</f>
        <v>2025/26 Show Season (final)</v>
      </c>
      <c r="C47" s="2"/>
      <c r="D47" s="96"/>
    </row>
    <row r="48" spans="1:8" ht="15.75" x14ac:dyDescent="0.25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">
      <c r="A50" s="59"/>
      <c r="B50" s="18"/>
      <c r="C50" s="93">
        <v>0</v>
      </c>
      <c r="D50" s="82">
        <v>0</v>
      </c>
      <c r="H50" s="2"/>
    </row>
    <row r="51" spans="1:8" x14ac:dyDescent="0.2">
      <c r="A51" s="59"/>
      <c r="B51" s="18"/>
      <c r="C51" s="93">
        <v>0</v>
      </c>
      <c r="D51" s="82">
        <v>0</v>
      </c>
      <c r="H51" s="2"/>
    </row>
    <row r="52" spans="1:8" x14ac:dyDescent="0.2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">
      <c r="A53" s="59" t="s">
        <v>52</v>
      </c>
      <c r="B53" s="112" t="s">
        <v>352</v>
      </c>
      <c r="C53" s="19">
        <v>24</v>
      </c>
      <c r="D53" s="82">
        <v>24</v>
      </c>
    </row>
    <row r="54" spans="1:8" ht="15" x14ac:dyDescent="0.2">
      <c r="A54" s="59" t="s">
        <v>294</v>
      </c>
      <c r="B54" s="112"/>
      <c r="C54" s="19"/>
      <c r="D54" s="82">
        <v>0</v>
      </c>
    </row>
    <row r="55" spans="1:8" ht="15" x14ac:dyDescent="0.2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">
      <c r="A84" s="59" t="s">
        <v>228</v>
      </c>
      <c r="B84" s="113" t="s">
        <v>182</v>
      </c>
      <c r="C84" s="19">
        <v>6</v>
      </c>
      <c r="D84" s="82">
        <v>6</v>
      </c>
    </row>
    <row r="85" spans="1:7" x14ac:dyDescent="0.2">
      <c r="A85" s="8"/>
      <c r="C85" s="19"/>
      <c r="D85" s="102" t="s">
        <v>158</v>
      </c>
    </row>
    <row r="86" spans="1:7" x14ac:dyDescent="0.2">
      <c r="A86" s="59"/>
      <c r="B86" s="114" t="s">
        <v>63</v>
      </c>
      <c r="C86" s="70">
        <f>SUM(C49:C85)</f>
        <v>237</v>
      </c>
      <c r="D86" s="104">
        <f>SUM(D49:D85)</f>
        <v>237</v>
      </c>
    </row>
    <row r="87" spans="1:7" x14ac:dyDescent="0.2">
      <c r="A87" s="8"/>
      <c r="C87" s="21"/>
      <c r="D87" s="102"/>
    </row>
    <row r="88" spans="1:7" ht="13.5" thickBot="1" x14ac:dyDescent="0.25">
      <c r="A88" s="60"/>
      <c r="B88" s="111" t="s">
        <v>284</v>
      </c>
      <c r="C88" s="71">
        <f>C42+C86</f>
        <v>366</v>
      </c>
      <c r="D88" s="105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94" t="s">
        <v>234</v>
      </c>
      <c r="B96" s="115"/>
      <c r="C96" s="91"/>
      <c r="D96" s="95"/>
    </row>
    <row r="97" spans="1:4" ht="18" x14ac:dyDescent="0.25">
      <c r="A97" s="57"/>
      <c r="B97" s="2" t="str">
        <f>Issue</f>
        <v>2025/26 Show Season (final)</v>
      </c>
      <c r="C97" s="58"/>
      <c r="D97" s="96"/>
    </row>
    <row r="98" spans="1:4" ht="15.75" x14ac:dyDescent="0.25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">
      <c r="A102" s="59"/>
      <c r="B102" s="109" t="s">
        <v>273</v>
      </c>
      <c r="C102" s="19">
        <v>2</v>
      </c>
      <c r="D102" s="100" t="s">
        <v>144</v>
      </c>
    </row>
    <row r="103" spans="1:4" x14ac:dyDescent="0.2">
      <c r="A103" s="160" t="s">
        <v>9</v>
      </c>
      <c r="B103" s="153" t="s">
        <v>340</v>
      </c>
      <c r="C103" s="19">
        <v>9</v>
      </c>
      <c r="D103" s="99" t="s">
        <v>253</v>
      </c>
    </row>
    <row r="104" spans="1:4" x14ac:dyDescent="0.2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">
      <c r="A107" s="59"/>
      <c r="B107" s="18"/>
      <c r="C107" s="19"/>
      <c r="D107" s="100"/>
    </row>
    <row r="108" spans="1:4" x14ac:dyDescent="0.2">
      <c r="A108" s="59"/>
      <c r="B108" s="18"/>
      <c r="C108" s="19"/>
      <c r="D108" s="99"/>
    </row>
    <row r="109" spans="1:4" x14ac:dyDescent="0.2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">
      <c r="A111" s="59"/>
      <c r="B111" s="18"/>
      <c r="C111" s="19"/>
      <c r="D111" s="99"/>
    </row>
    <row r="112" spans="1:4" x14ac:dyDescent="0.2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">
      <c r="A115" s="59"/>
      <c r="B115" s="18"/>
      <c r="C115" s="19"/>
      <c r="D115" s="100"/>
    </row>
    <row r="116" spans="1:7" x14ac:dyDescent="0.2">
      <c r="A116" s="59"/>
      <c r="B116" s="18"/>
      <c r="C116" s="19"/>
      <c r="D116" s="100"/>
    </row>
    <row r="117" spans="1:7" x14ac:dyDescent="0.2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">
      <c r="A120" s="59" t="s">
        <v>38</v>
      </c>
      <c r="B120" t="s">
        <v>291</v>
      </c>
      <c r="C120" s="158">
        <v>0</v>
      </c>
      <c r="D120" s="156"/>
    </row>
    <row r="121" spans="1:7" x14ac:dyDescent="0.2">
      <c r="A121" s="80" t="s">
        <v>211</v>
      </c>
      <c r="B121" t="s">
        <v>290</v>
      </c>
      <c r="C121" s="158">
        <v>0</v>
      </c>
      <c r="D121" s="156"/>
    </row>
    <row r="122" spans="1:7" x14ac:dyDescent="0.2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">
      <c r="A126" s="59" t="s">
        <v>47</v>
      </c>
      <c r="B126" s="109" t="s">
        <v>279</v>
      </c>
      <c r="C126" s="19">
        <v>2</v>
      </c>
      <c r="D126" s="99" t="s">
        <v>339</v>
      </c>
    </row>
    <row r="127" spans="1:7" ht="15" x14ac:dyDescent="0.2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">
      <c r="A129" s="59"/>
      <c r="B129" s="18"/>
      <c r="C129" s="22"/>
      <c r="D129" s="99"/>
    </row>
    <row r="130" spans="1:4" x14ac:dyDescent="0.2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">
      <c r="A132" s="79"/>
      <c r="C132" s="2"/>
      <c r="D132" s="96"/>
    </row>
    <row r="133" spans="1:4" ht="13.5" thickBot="1" x14ac:dyDescent="0.25">
      <c r="A133" s="62"/>
      <c r="B133" s="61" t="s">
        <v>66</v>
      </c>
      <c r="C133" s="71">
        <f>SUM(C99:C132)</f>
        <v>110</v>
      </c>
      <c r="D133" s="101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94" t="s">
        <v>235</v>
      </c>
      <c r="B137" s="91"/>
      <c r="C137" s="91"/>
      <c r="D137" s="95"/>
    </row>
    <row r="138" spans="1:4" x14ac:dyDescent="0.2">
      <c r="A138" s="8"/>
      <c r="B138" s="2" t="str">
        <f>Issue</f>
        <v>2025/26 Show Season (final)</v>
      </c>
      <c r="C138" s="2"/>
      <c r="D138" s="96"/>
    </row>
    <row r="139" spans="1:4" ht="15.75" x14ac:dyDescent="0.25">
      <c r="A139" s="11"/>
      <c r="B139" s="50" t="str">
        <f>Season</f>
        <v>2024/2025</v>
      </c>
      <c r="C139" s="2"/>
      <c r="D139" s="96"/>
    </row>
    <row r="140" spans="1:4" x14ac:dyDescent="0.2">
      <c r="A140" s="11"/>
      <c r="C140" s="2" t="s">
        <v>51</v>
      </c>
      <c r="D140" s="102" t="s">
        <v>161</v>
      </c>
    </row>
    <row r="141" spans="1:4" x14ac:dyDescent="0.2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">
      <c r="A143" s="20" t="s">
        <v>52</v>
      </c>
      <c r="B143" s="112" t="s">
        <v>352</v>
      </c>
      <c r="C143" s="19">
        <v>24</v>
      </c>
      <c r="D143" s="82">
        <v>24</v>
      </c>
    </row>
    <row r="144" spans="1:4" ht="15" x14ac:dyDescent="0.2">
      <c r="A144" s="20" t="s">
        <v>237</v>
      </c>
      <c r="B144" s="112"/>
      <c r="C144" s="19">
        <v>0</v>
      </c>
      <c r="D144" s="82">
        <v>0</v>
      </c>
    </row>
    <row r="145" spans="1:4" ht="15" x14ac:dyDescent="0.2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">
      <c r="A175" s="63"/>
      <c r="C175" s="2"/>
      <c r="D175" s="106" t="s">
        <v>158</v>
      </c>
    </row>
    <row r="176" spans="1:4" x14ac:dyDescent="0.2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">
      <c r="A177" s="4"/>
      <c r="C177" s="2"/>
      <c r="D177" s="102"/>
    </row>
    <row r="178" spans="1:4" x14ac:dyDescent="0.2">
      <c r="A178" s="20"/>
      <c r="B178" s="116" t="s">
        <v>70</v>
      </c>
      <c r="C178" s="70">
        <f>C133+C176</f>
        <v>348</v>
      </c>
      <c r="D178" s="104"/>
    </row>
    <row r="179" spans="1:4" x14ac:dyDescent="0.2">
      <c r="A179" s="4"/>
      <c r="C179" s="2"/>
      <c r="D179" s="102"/>
    </row>
    <row r="180" spans="1:4" ht="13.5" thickBot="1" x14ac:dyDescent="0.25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F22" sqref="F22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2025/26 Show Season (final)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75" x14ac:dyDescent="0.25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359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5" thickBot="1" x14ac:dyDescent="0.3">
      <c r="A5" s="26" t="str">
        <f>A3</f>
        <v>Friday 9/26/2025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75" x14ac:dyDescent="0.25">
      <c r="A6" s="257" t="s">
        <v>157</v>
      </c>
      <c r="B6" s="227" t="s">
        <v>34</v>
      </c>
      <c r="C6" s="227" t="s">
        <v>34</v>
      </c>
      <c r="D6" s="227" t="s">
        <v>34</v>
      </c>
      <c r="E6" s="227" t="s">
        <v>34</v>
      </c>
      <c r="F6" s="227" t="s">
        <v>34</v>
      </c>
      <c r="G6" s="227" t="s">
        <v>34</v>
      </c>
      <c r="H6" s="227" t="s">
        <v>34</v>
      </c>
      <c r="I6" s="227" t="s">
        <v>34</v>
      </c>
      <c r="J6" s="227" t="s">
        <v>34</v>
      </c>
      <c r="K6" s="258"/>
      <c r="L6" s="258"/>
      <c r="M6" s="258"/>
      <c r="N6" s="258"/>
      <c r="O6" s="258"/>
      <c r="P6" s="258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75" x14ac:dyDescent="0.25">
      <c r="A7" s="197" t="s">
        <v>239</v>
      </c>
      <c r="B7" s="197"/>
      <c r="C7" s="197"/>
      <c r="D7" s="259" t="s">
        <v>20</v>
      </c>
      <c r="E7" s="260" t="s">
        <v>20</v>
      </c>
      <c r="F7" s="260" t="s">
        <v>20</v>
      </c>
      <c r="G7" s="260" t="s">
        <v>20</v>
      </c>
      <c r="H7" s="260" t="s">
        <v>20</v>
      </c>
      <c r="I7" s="260" t="s">
        <v>20</v>
      </c>
      <c r="J7" s="260" t="s">
        <v>20</v>
      </c>
      <c r="K7" s="260" t="s">
        <v>20</v>
      </c>
      <c r="L7" s="259" t="s">
        <v>20</v>
      </c>
      <c r="M7" s="258"/>
      <c r="N7" s="258"/>
      <c r="O7" s="258"/>
      <c r="P7" s="258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75" x14ac:dyDescent="0.25">
      <c r="A8" s="197" t="s">
        <v>352</v>
      </c>
      <c r="B8" s="197"/>
      <c r="C8" s="197"/>
      <c r="D8" s="197"/>
      <c r="E8" s="261" t="s">
        <v>37</v>
      </c>
      <c r="F8" s="261" t="s">
        <v>37</v>
      </c>
      <c r="G8" s="262" t="s">
        <v>339</v>
      </c>
      <c r="H8" s="263" t="s">
        <v>12</v>
      </c>
      <c r="I8" s="264" t="s">
        <v>84</v>
      </c>
      <c r="J8" s="265" t="s">
        <v>83</v>
      </c>
      <c r="K8" s="265" t="s">
        <v>83</v>
      </c>
      <c r="L8" s="265" t="s">
        <v>83</v>
      </c>
      <c r="M8" s="266" t="s">
        <v>75</v>
      </c>
      <c r="N8" s="258"/>
      <c r="O8" s="258"/>
      <c r="P8" s="258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75" x14ac:dyDescent="0.25">
      <c r="A9" s="197" t="s">
        <v>352</v>
      </c>
      <c r="B9" s="197"/>
      <c r="C9" s="197"/>
      <c r="D9" s="197"/>
      <c r="E9" s="267" t="s">
        <v>253</v>
      </c>
      <c r="F9" s="266" t="s">
        <v>41</v>
      </c>
      <c r="G9" s="268" t="s">
        <v>41</v>
      </c>
      <c r="H9" s="269" t="s">
        <v>16</v>
      </c>
      <c r="I9" s="269" t="s">
        <v>16</v>
      </c>
      <c r="J9" s="269" t="s">
        <v>16</v>
      </c>
      <c r="K9" s="261" t="s">
        <v>37</v>
      </c>
      <c r="L9" s="268" t="s">
        <v>75</v>
      </c>
      <c r="M9" s="270" t="s">
        <v>18</v>
      </c>
      <c r="N9" s="258"/>
      <c r="O9" s="258"/>
      <c r="P9" s="258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75" x14ac:dyDescent="0.25">
      <c r="A10" s="213" t="s">
        <v>91</v>
      </c>
      <c r="B10" s="248"/>
      <c r="C10" s="248"/>
      <c r="D10" s="248"/>
      <c r="E10" s="248"/>
      <c r="F10" s="248"/>
      <c r="G10" s="271"/>
      <c r="H10" s="271"/>
      <c r="I10" s="220" t="s">
        <v>80</v>
      </c>
      <c r="J10" s="220" t="s">
        <v>80</v>
      </c>
      <c r="K10" s="220" t="s">
        <v>80</v>
      </c>
      <c r="L10" s="220" t="s">
        <v>80</v>
      </c>
      <c r="M10" s="220" t="s">
        <v>80</v>
      </c>
      <c r="N10" s="272" t="s">
        <v>80</v>
      </c>
      <c r="O10" s="272" t="s">
        <v>80</v>
      </c>
      <c r="P10" s="273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75" x14ac:dyDescent="0.25">
      <c r="A11" s="213" t="s">
        <v>163</v>
      </c>
      <c r="B11" s="248"/>
      <c r="C11" s="248"/>
      <c r="D11" s="248"/>
      <c r="E11" s="248"/>
      <c r="F11" s="248"/>
      <c r="G11" s="274" t="s">
        <v>37</v>
      </c>
      <c r="H11" s="274" t="s">
        <v>37</v>
      </c>
      <c r="I11" s="224" t="s">
        <v>37</v>
      </c>
      <c r="J11" s="224" t="s">
        <v>37</v>
      </c>
      <c r="K11" s="215" t="s">
        <v>41</v>
      </c>
      <c r="L11" s="215" t="s">
        <v>41</v>
      </c>
      <c r="M11" s="215" t="s">
        <v>41</v>
      </c>
      <c r="N11" s="210" t="s">
        <v>41</v>
      </c>
      <c r="O11" s="210" t="s">
        <v>41</v>
      </c>
      <c r="P11" s="275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3" bestFit="1" customWidth="1"/>
  </cols>
  <sheetData>
    <row r="1" spans="1:43" ht="15.75" x14ac:dyDescent="0.25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39" t="s">
        <v>358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26" t="str">
        <f>A3</f>
        <v>Saturday 9/27/2025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352</v>
      </c>
      <c r="B6" s="235" t="s">
        <v>320</v>
      </c>
      <c r="C6" s="210" t="s">
        <v>41</v>
      </c>
      <c r="D6" s="276" t="s">
        <v>37</v>
      </c>
      <c r="E6" s="258"/>
      <c r="F6" s="258"/>
      <c r="G6" s="258"/>
      <c r="H6" s="258"/>
      <c r="I6" s="258"/>
      <c r="J6" s="258"/>
      <c r="K6" s="258"/>
      <c r="L6" s="27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352</v>
      </c>
      <c r="B7" s="234" t="s">
        <v>7</v>
      </c>
      <c r="C7" s="234" t="s">
        <v>7</v>
      </c>
      <c r="D7" s="276" t="s">
        <v>37</v>
      </c>
      <c r="E7" s="258"/>
      <c r="F7" s="258"/>
      <c r="G7" s="258"/>
      <c r="H7" s="258"/>
      <c r="I7" s="258"/>
      <c r="J7" s="258"/>
      <c r="K7" s="258"/>
      <c r="L7" s="27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13" t="s">
        <v>172</v>
      </c>
      <c r="B8" s="241" t="s">
        <v>88</v>
      </c>
      <c r="C8" s="223" t="s">
        <v>339</v>
      </c>
      <c r="D8" s="278" t="s">
        <v>12</v>
      </c>
      <c r="E8" s="271"/>
      <c r="F8" s="271"/>
      <c r="G8" s="271"/>
      <c r="H8" s="271"/>
      <c r="I8" s="271"/>
      <c r="J8" s="271"/>
      <c r="K8" s="271"/>
      <c r="L8" s="27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02" t="s">
        <v>83</v>
      </c>
      <c r="C9" s="202" t="s">
        <v>83</v>
      </c>
      <c r="D9" s="238" t="s">
        <v>83</v>
      </c>
      <c r="E9" s="271"/>
      <c r="F9" s="258"/>
      <c r="G9" s="258"/>
      <c r="H9" s="258"/>
      <c r="I9" s="258"/>
      <c r="J9" s="258"/>
      <c r="K9" s="258"/>
      <c r="L9" s="27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221</v>
      </c>
      <c r="B10" s="271"/>
      <c r="C10" s="271"/>
      <c r="D10" s="271"/>
      <c r="E10" s="230" t="s">
        <v>18</v>
      </c>
      <c r="F10" s="230" t="s">
        <v>18</v>
      </c>
      <c r="G10" s="216" t="s">
        <v>12</v>
      </c>
      <c r="H10" s="224" t="s">
        <v>37</v>
      </c>
      <c r="I10" s="224" t="s">
        <v>37</v>
      </c>
      <c r="J10" s="230" t="s">
        <v>18</v>
      </c>
      <c r="K10" s="224" t="s">
        <v>37</v>
      </c>
      <c r="L10" s="279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20" t="s">
        <v>80</v>
      </c>
      <c r="C11" s="220" t="s">
        <v>80</v>
      </c>
      <c r="D11" s="280" t="s">
        <v>80</v>
      </c>
      <c r="E11" s="237" t="s">
        <v>16</v>
      </c>
      <c r="F11" s="237" t="s">
        <v>16</v>
      </c>
      <c r="G11" s="237" t="s">
        <v>16</v>
      </c>
      <c r="H11" s="221" t="s">
        <v>84</v>
      </c>
      <c r="I11" s="215" t="s">
        <v>75</v>
      </c>
      <c r="J11" s="236" t="s">
        <v>7</v>
      </c>
      <c r="K11" s="281" t="s">
        <v>20</v>
      </c>
      <c r="L11" s="279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9" t="s">
        <v>253</v>
      </c>
      <c r="C12" s="229" t="s">
        <v>253</v>
      </c>
      <c r="D12" s="229" t="s">
        <v>253</v>
      </c>
      <c r="E12" s="223" t="s">
        <v>339</v>
      </c>
      <c r="F12" s="241" t="s">
        <v>88</v>
      </c>
      <c r="G12" s="241" t="s">
        <v>88</v>
      </c>
      <c r="H12" s="217" t="s">
        <v>320</v>
      </c>
      <c r="I12" s="223" t="s">
        <v>339</v>
      </c>
      <c r="J12" s="221" t="s">
        <v>84</v>
      </c>
      <c r="K12" s="217" t="s">
        <v>320</v>
      </c>
      <c r="L12" s="279"/>
      <c r="M12" s="33"/>
    </row>
    <row r="13" spans="1:43" ht="15.75" x14ac:dyDescent="0.25">
      <c r="A13" s="65" t="s">
        <v>286</v>
      </c>
      <c r="B13" s="381"/>
      <c r="C13" s="381"/>
      <c r="D13" s="225" t="s">
        <v>218</v>
      </c>
      <c r="E13" s="225" t="s">
        <v>218</v>
      </c>
      <c r="F13" s="279"/>
      <c r="G13" s="279"/>
      <c r="H13" s="279"/>
      <c r="I13" s="279"/>
      <c r="J13" s="279"/>
      <c r="K13" s="279"/>
      <c r="L13" s="279"/>
      <c r="M13" s="33"/>
    </row>
    <row r="14" spans="1:43" ht="15.75" x14ac:dyDescent="0.25">
      <c r="A14" s="213" t="s">
        <v>222</v>
      </c>
      <c r="B14" s="271"/>
      <c r="C14" s="271"/>
      <c r="D14" s="271"/>
      <c r="E14" s="217" t="s">
        <v>320</v>
      </c>
      <c r="F14" s="217" t="s">
        <v>320</v>
      </c>
      <c r="G14" s="235" t="s">
        <v>320</v>
      </c>
      <c r="H14" s="230" t="s">
        <v>18</v>
      </c>
      <c r="I14" s="241" t="s">
        <v>88</v>
      </c>
      <c r="J14" s="241" t="s">
        <v>88</v>
      </c>
      <c r="K14" s="282" t="s">
        <v>41</v>
      </c>
      <c r="L14" s="279"/>
      <c r="M14" s="33"/>
    </row>
    <row r="15" spans="1:43" ht="15.75" x14ac:dyDescent="0.25">
      <c r="A15" s="197" t="s">
        <v>222</v>
      </c>
      <c r="B15" s="258"/>
      <c r="C15" s="258"/>
      <c r="D15" s="258"/>
      <c r="E15" s="283" t="s">
        <v>80</v>
      </c>
      <c r="F15" s="283" t="s">
        <v>80</v>
      </c>
      <c r="G15" s="239" t="s">
        <v>20</v>
      </c>
      <c r="H15" s="284" t="s">
        <v>12</v>
      </c>
      <c r="I15" s="284" t="s">
        <v>12</v>
      </c>
      <c r="J15" s="284" t="s">
        <v>12</v>
      </c>
      <c r="K15" s="285" t="s">
        <v>84</v>
      </c>
      <c r="L15" s="277"/>
      <c r="M15" s="33"/>
    </row>
    <row r="16" spans="1:43" ht="15.75" x14ac:dyDescent="0.25">
      <c r="A16" s="197" t="s">
        <v>222</v>
      </c>
      <c r="B16" s="258"/>
      <c r="C16" s="258"/>
      <c r="D16" s="258"/>
      <c r="E16" s="210" t="s">
        <v>41</v>
      </c>
      <c r="F16" s="210" t="s">
        <v>41</v>
      </c>
      <c r="G16" s="210" t="s">
        <v>41</v>
      </c>
      <c r="H16" s="210" t="s">
        <v>41</v>
      </c>
      <c r="I16" s="258"/>
      <c r="J16" s="258"/>
      <c r="K16" s="258"/>
      <c r="L16" s="277"/>
      <c r="M16" s="33"/>
    </row>
    <row r="17" spans="1:13" ht="15.75" x14ac:dyDescent="0.25">
      <c r="A17" s="197" t="s">
        <v>222</v>
      </c>
      <c r="B17" s="258"/>
      <c r="C17" s="258"/>
      <c r="D17" s="258"/>
      <c r="E17" s="202" t="s">
        <v>83</v>
      </c>
      <c r="F17" s="202" t="s">
        <v>83</v>
      </c>
      <c r="G17" s="283" t="s">
        <v>80</v>
      </c>
      <c r="H17" s="283" t="s">
        <v>80</v>
      </c>
      <c r="I17" s="258"/>
      <c r="J17" s="258"/>
      <c r="K17" s="258"/>
      <c r="L17" s="277"/>
      <c r="M17" s="33"/>
    </row>
    <row r="18" spans="1:13" ht="15.75" x14ac:dyDescent="0.25">
      <c r="A18" s="213" t="s">
        <v>224</v>
      </c>
      <c r="B18" s="258"/>
      <c r="C18" s="258"/>
      <c r="D18" s="258"/>
      <c r="E18" s="228" t="s">
        <v>88</v>
      </c>
      <c r="F18" s="241" t="s">
        <v>88</v>
      </c>
      <c r="G18" s="228" t="s">
        <v>88</v>
      </c>
      <c r="H18" s="233" t="s">
        <v>16</v>
      </c>
      <c r="I18" s="233" t="s">
        <v>16</v>
      </c>
      <c r="J18" s="233" t="s">
        <v>16</v>
      </c>
      <c r="K18" s="227" t="s">
        <v>34</v>
      </c>
      <c r="L18" s="277"/>
      <c r="M18" s="33"/>
    </row>
    <row r="19" spans="1:13" ht="15.75" x14ac:dyDescent="0.25">
      <c r="A19" s="213" t="s">
        <v>224</v>
      </c>
      <c r="B19" s="258"/>
      <c r="C19" s="258"/>
      <c r="D19" s="258"/>
      <c r="E19" s="286" t="s">
        <v>253</v>
      </c>
      <c r="F19" s="286" t="s">
        <v>253</v>
      </c>
      <c r="G19" s="211" t="s">
        <v>339</v>
      </c>
      <c r="H19" s="211" t="s">
        <v>339</v>
      </c>
      <c r="I19" s="198" t="s">
        <v>32</v>
      </c>
      <c r="J19" s="198" t="s">
        <v>32</v>
      </c>
      <c r="K19" s="210" t="s">
        <v>41</v>
      </c>
      <c r="L19" s="277"/>
      <c r="M19" s="33"/>
    </row>
    <row r="20" spans="1:13" ht="15.75" x14ac:dyDescent="0.25">
      <c r="A20" s="213" t="s">
        <v>224</v>
      </c>
      <c r="B20" s="258"/>
      <c r="C20" s="258"/>
      <c r="D20" s="258"/>
      <c r="E20" s="227" t="s">
        <v>34</v>
      </c>
      <c r="F20" s="198" t="s">
        <v>32</v>
      </c>
      <c r="G20" s="198" t="s">
        <v>32</v>
      </c>
      <c r="H20" s="226" t="s">
        <v>32</v>
      </c>
      <c r="I20" s="258"/>
      <c r="J20" s="258"/>
      <c r="K20" s="258"/>
      <c r="L20" s="277"/>
      <c r="M20" s="33"/>
    </row>
    <row r="21" spans="1:13" ht="15.75" x14ac:dyDescent="0.25">
      <c r="A21" s="213" t="s">
        <v>224</v>
      </c>
      <c r="B21" s="258"/>
      <c r="C21" s="258"/>
      <c r="D21" s="258"/>
      <c r="E21" s="199" t="s">
        <v>37</v>
      </c>
      <c r="F21" s="199" t="s">
        <v>37</v>
      </c>
      <c r="G21" s="199" t="s">
        <v>37</v>
      </c>
      <c r="H21" s="199" t="s">
        <v>37</v>
      </c>
      <c r="I21" s="258"/>
      <c r="J21" s="258"/>
      <c r="K21" s="258"/>
      <c r="L21" s="277"/>
      <c r="M21" s="33"/>
    </row>
    <row r="22" spans="1:13" ht="15.75" x14ac:dyDescent="0.25">
      <c r="A22" s="213" t="s">
        <v>166</v>
      </c>
      <c r="B22" s="271"/>
      <c r="C22" s="271"/>
      <c r="D22" s="271"/>
      <c r="E22" s="241" t="s">
        <v>88</v>
      </c>
      <c r="F22" s="236" t="s">
        <v>7</v>
      </c>
      <c r="G22" s="215" t="s">
        <v>41</v>
      </c>
      <c r="H22" s="222" t="s">
        <v>320</v>
      </c>
      <c r="I22" s="220" t="s">
        <v>80</v>
      </c>
      <c r="J22" s="210" t="s">
        <v>75</v>
      </c>
      <c r="K22" s="217" t="s">
        <v>320</v>
      </c>
      <c r="L22" s="279"/>
      <c r="M22" s="33"/>
    </row>
    <row r="23" spans="1:13" ht="15.75" x14ac:dyDescent="0.25">
      <c r="A23" s="213" t="s">
        <v>293</v>
      </c>
      <c r="B23" s="271"/>
      <c r="C23" s="271"/>
      <c r="D23" s="271"/>
      <c r="E23" s="222" t="s">
        <v>320</v>
      </c>
      <c r="F23" s="235" t="s">
        <v>320</v>
      </c>
      <c r="G23" s="199" t="s">
        <v>37</v>
      </c>
      <c r="H23" s="241" t="s">
        <v>88</v>
      </c>
      <c r="I23" s="238" t="s">
        <v>83</v>
      </c>
      <c r="J23" s="238" t="s">
        <v>83</v>
      </c>
      <c r="K23" s="241" t="s">
        <v>88</v>
      </c>
      <c r="L23" s="279"/>
      <c r="M23" s="33"/>
    </row>
    <row r="24" spans="1:13" ht="15.75" x14ac:dyDescent="0.25">
      <c r="A24" s="213" t="s">
        <v>171</v>
      </c>
      <c r="B24" s="271"/>
      <c r="C24" s="271"/>
      <c r="D24" s="271"/>
      <c r="E24" s="219" t="s">
        <v>34</v>
      </c>
      <c r="F24" s="219" t="s">
        <v>34</v>
      </c>
      <c r="G24" s="238" t="s">
        <v>83</v>
      </c>
      <c r="H24" s="238" t="s">
        <v>83</v>
      </c>
      <c r="I24" s="221" t="s">
        <v>84</v>
      </c>
      <c r="J24" s="215" t="s">
        <v>41</v>
      </c>
      <c r="K24" s="226" t="s">
        <v>32</v>
      </c>
      <c r="L24" s="279"/>
      <c r="M24" s="33"/>
    </row>
    <row r="25" spans="1:13" ht="15.75" x14ac:dyDescent="0.25">
      <c r="A25" s="250" t="s">
        <v>341</v>
      </c>
      <c r="B25" s="271"/>
      <c r="C25" s="271"/>
      <c r="D25" s="271"/>
      <c r="E25" s="246"/>
      <c r="F25" s="246"/>
      <c r="G25" s="246"/>
      <c r="H25" s="246"/>
      <c r="I25" s="246"/>
      <c r="J25" s="246"/>
      <c r="K25" s="246"/>
      <c r="L25" s="279"/>
      <c r="M25" s="33"/>
    </row>
    <row r="26" spans="1:13" ht="15.75" x14ac:dyDescent="0.25">
      <c r="A26" s="213" t="s">
        <v>168</v>
      </c>
      <c r="B26" s="221" t="s">
        <v>84</v>
      </c>
      <c r="C26" s="221" t="s">
        <v>84</v>
      </c>
      <c r="D26" s="237" t="s">
        <v>16</v>
      </c>
      <c r="E26" s="271"/>
      <c r="F26" s="271"/>
      <c r="G26" s="271"/>
      <c r="H26" s="271"/>
      <c r="I26" s="271"/>
      <c r="J26" s="271"/>
      <c r="K26" s="271"/>
      <c r="L26" s="279"/>
      <c r="M26" s="33"/>
    </row>
    <row r="27" spans="1:13" ht="15.75" x14ac:dyDescent="0.25">
      <c r="A27" s="197" t="s">
        <v>69</v>
      </c>
      <c r="B27" s="258"/>
      <c r="C27" s="287"/>
      <c r="D27" s="287"/>
      <c r="E27" s="258"/>
      <c r="F27" s="258"/>
      <c r="G27" s="258"/>
      <c r="H27" s="258"/>
      <c r="I27" s="258"/>
      <c r="J27" s="258"/>
      <c r="K27" s="258"/>
      <c r="L27" s="288" t="s">
        <v>34</v>
      </c>
      <c r="M27" s="33"/>
    </row>
    <row r="28" spans="1:13" ht="15.75" x14ac:dyDescent="0.25">
      <c r="A28" s="197" t="s">
        <v>69</v>
      </c>
      <c r="B28" s="258"/>
      <c r="C28" s="287"/>
      <c r="D28" s="287"/>
      <c r="E28" s="258"/>
      <c r="F28" s="258"/>
      <c r="G28" s="258"/>
      <c r="H28" s="258"/>
      <c r="I28" s="258"/>
      <c r="J28" s="258"/>
      <c r="K28" s="258"/>
      <c r="L28" s="288" t="s">
        <v>34</v>
      </c>
      <c r="M28" s="33"/>
    </row>
    <row r="29" spans="1:13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abSelected="1" workbookViewId="0">
      <selection activeCell="A3" sqref="A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8.75" x14ac:dyDescent="0.3">
      <c r="A3" s="39" t="s">
        <v>357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75" x14ac:dyDescent="0.25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5" thickBot="1" x14ac:dyDescent="0.3">
      <c r="A5" s="26" t="str">
        <f>A3</f>
        <v>Sunday 9/28/2025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75" x14ac:dyDescent="0.25">
      <c r="A6" s="257" t="s">
        <v>173</v>
      </c>
      <c r="B6" s="34"/>
      <c r="C6" s="34"/>
      <c r="D6" s="210" t="s">
        <v>41</v>
      </c>
      <c r="E6" s="200"/>
      <c r="F6" s="200"/>
      <c r="G6" s="200"/>
      <c r="H6" s="200"/>
      <c r="I6" s="200"/>
      <c r="J6" s="200"/>
      <c r="K6" s="200"/>
      <c r="L6" s="201"/>
      <c r="M6" s="33"/>
    </row>
    <row r="7" spans="1:43" ht="15.75" x14ac:dyDescent="0.25">
      <c r="A7" s="197" t="s">
        <v>175</v>
      </c>
      <c r="B7" s="34"/>
      <c r="C7" s="34"/>
      <c r="D7" s="227" t="s">
        <v>34</v>
      </c>
      <c r="E7" s="200"/>
      <c r="F7" s="200"/>
      <c r="G7" s="200"/>
      <c r="H7" s="200"/>
      <c r="I7" s="200"/>
      <c r="J7" s="200"/>
      <c r="K7" s="200"/>
      <c r="L7" s="20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75" x14ac:dyDescent="0.25">
      <c r="A8" s="213" t="s">
        <v>229</v>
      </c>
      <c r="B8" s="248"/>
      <c r="C8" s="248"/>
      <c r="D8" s="214"/>
      <c r="E8" s="217" t="s">
        <v>320</v>
      </c>
      <c r="F8" s="217" t="s">
        <v>320</v>
      </c>
      <c r="G8" s="230" t="s">
        <v>18</v>
      </c>
      <c r="H8" s="230" t="s">
        <v>18</v>
      </c>
      <c r="I8" s="231" t="s">
        <v>20</v>
      </c>
      <c r="J8" s="231" t="s">
        <v>20</v>
      </c>
      <c r="K8" s="214"/>
      <c r="L8" s="218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23" t="s">
        <v>339</v>
      </c>
      <c r="G9" s="219" t="s">
        <v>34</v>
      </c>
      <c r="H9" s="216" t="s">
        <v>12</v>
      </c>
      <c r="I9" s="221" t="s">
        <v>84</v>
      </c>
      <c r="J9" s="224" t="s">
        <v>37</v>
      </c>
      <c r="K9" s="214"/>
      <c r="L9" s="218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165</v>
      </c>
      <c r="B10" s="248"/>
      <c r="C10" s="248"/>
      <c r="D10" s="223" t="s">
        <v>339</v>
      </c>
      <c r="E10" s="223" t="s">
        <v>339</v>
      </c>
      <c r="F10" s="238" t="s">
        <v>83</v>
      </c>
      <c r="G10" s="230" t="s">
        <v>18</v>
      </c>
      <c r="H10" s="215" t="s">
        <v>41</v>
      </c>
      <c r="I10" s="224" t="s">
        <v>37</v>
      </c>
      <c r="J10" s="241" t="s">
        <v>88</v>
      </c>
      <c r="K10" s="214"/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169</v>
      </c>
      <c r="B11" s="248"/>
      <c r="C11" s="248"/>
      <c r="D11" s="286" t="s">
        <v>253</v>
      </c>
      <c r="E11" s="214"/>
      <c r="F11" s="214"/>
      <c r="G11" s="214"/>
      <c r="H11" s="214"/>
      <c r="I11" s="214"/>
      <c r="J11" s="214"/>
      <c r="K11" s="214"/>
      <c r="L11" s="218"/>
      <c r="M11" s="33"/>
      <c r="O11" s="15"/>
    </row>
    <row r="12" spans="1:43" ht="15.75" x14ac:dyDescent="0.25">
      <c r="A12" s="213" t="s">
        <v>223</v>
      </c>
      <c r="B12" s="248"/>
      <c r="C12" s="248"/>
      <c r="D12" s="214"/>
      <c r="E12" s="220" t="s">
        <v>80</v>
      </c>
      <c r="F12" s="216" t="s">
        <v>12</v>
      </c>
      <c r="G12" s="216" t="s">
        <v>12</v>
      </c>
      <c r="H12" s="223" t="s">
        <v>339</v>
      </c>
      <c r="I12" s="223" t="s">
        <v>339</v>
      </c>
      <c r="J12" s="214"/>
      <c r="K12" s="214"/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213" t="s">
        <v>223</v>
      </c>
      <c r="B13" s="34"/>
      <c r="C13" s="34"/>
      <c r="D13" s="200"/>
      <c r="E13" s="228" t="s">
        <v>88</v>
      </c>
      <c r="F13" s="233" t="s">
        <v>16</v>
      </c>
      <c r="G13" s="228" t="s">
        <v>88</v>
      </c>
      <c r="H13" s="228" t="s">
        <v>88</v>
      </c>
      <c r="I13" s="210" t="s">
        <v>75</v>
      </c>
      <c r="J13" s="200"/>
      <c r="K13" s="200"/>
      <c r="L13" s="20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223</v>
      </c>
      <c r="B14" s="34"/>
      <c r="C14" s="34"/>
      <c r="D14" s="200"/>
      <c r="E14" s="200"/>
      <c r="F14" s="200"/>
      <c r="G14" s="198" t="s">
        <v>32</v>
      </c>
      <c r="H14" s="198" t="s">
        <v>32</v>
      </c>
      <c r="I14" s="200"/>
      <c r="J14" s="200"/>
      <c r="K14" s="200"/>
      <c r="L14" s="20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213" t="s">
        <v>223</v>
      </c>
      <c r="B15" s="34"/>
      <c r="C15" s="34"/>
      <c r="D15" s="200"/>
      <c r="E15" s="200"/>
      <c r="F15" s="200"/>
      <c r="G15" s="211" t="s">
        <v>339</v>
      </c>
      <c r="H15" s="241" t="s">
        <v>88</v>
      </c>
      <c r="I15" s="200"/>
      <c r="J15" s="200"/>
      <c r="K15" s="200"/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213" t="s">
        <v>225</v>
      </c>
      <c r="B16" s="34"/>
      <c r="C16" s="34"/>
      <c r="D16" s="200"/>
      <c r="E16" s="227" t="s">
        <v>34</v>
      </c>
      <c r="F16" s="228" t="s">
        <v>88</v>
      </c>
      <c r="G16" s="202" t="s">
        <v>83</v>
      </c>
      <c r="H16" s="202" t="s">
        <v>83</v>
      </c>
      <c r="I16" s="202" t="s">
        <v>83</v>
      </c>
      <c r="J16" s="200"/>
      <c r="K16" s="200"/>
      <c r="L16" s="20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75" x14ac:dyDescent="0.25">
      <c r="A17" s="213" t="s">
        <v>225</v>
      </c>
      <c r="B17" s="34"/>
      <c r="C17" s="34"/>
      <c r="D17" s="200"/>
      <c r="E17" s="286" t="s">
        <v>253</v>
      </c>
      <c r="F17" s="286" t="s">
        <v>253</v>
      </c>
      <c r="G17" s="222" t="s">
        <v>320</v>
      </c>
      <c r="H17" s="227" t="s">
        <v>34</v>
      </c>
      <c r="I17" s="227" t="s">
        <v>34</v>
      </c>
      <c r="J17" s="200"/>
      <c r="K17" s="200"/>
      <c r="L17" s="20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75" x14ac:dyDescent="0.25">
      <c r="A18" s="213" t="s">
        <v>225</v>
      </c>
      <c r="B18" s="34"/>
      <c r="C18" s="34"/>
      <c r="D18" s="200"/>
      <c r="E18" s="200"/>
      <c r="F18" s="200"/>
      <c r="G18" s="235" t="s">
        <v>320</v>
      </c>
      <c r="H18" s="235" t="s">
        <v>320</v>
      </c>
      <c r="I18" s="200"/>
      <c r="J18" s="200"/>
      <c r="K18" s="200"/>
      <c r="L18" s="20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75" x14ac:dyDescent="0.25">
      <c r="A19" s="213" t="s">
        <v>225</v>
      </c>
      <c r="B19" s="34"/>
      <c r="C19" s="34"/>
      <c r="D19" s="200"/>
      <c r="E19" s="200"/>
      <c r="F19" s="200"/>
      <c r="G19" s="210" t="s">
        <v>41</v>
      </c>
      <c r="H19" s="210" t="s">
        <v>41</v>
      </c>
      <c r="I19" s="200"/>
      <c r="J19" s="200"/>
      <c r="K19" s="200"/>
      <c r="L19" s="20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75" x14ac:dyDescent="0.25">
      <c r="A20" s="213" t="s">
        <v>167</v>
      </c>
      <c r="B20" s="248"/>
      <c r="C20" s="248"/>
      <c r="D20" s="214"/>
      <c r="E20" s="239" t="s">
        <v>20</v>
      </c>
      <c r="F20" s="231" t="s">
        <v>20</v>
      </c>
      <c r="G20" s="225" t="s">
        <v>218</v>
      </c>
      <c r="H20" s="221" t="s">
        <v>84</v>
      </c>
      <c r="I20" s="241" t="s">
        <v>88</v>
      </c>
      <c r="J20" s="215" t="s">
        <v>41</v>
      </c>
      <c r="K20" s="214"/>
      <c r="L20" s="218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75" x14ac:dyDescent="0.25">
      <c r="A21" s="213" t="s">
        <v>292</v>
      </c>
      <c r="B21" s="248"/>
      <c r="C21" s="248"/>
      <c r="D21" s="214"/>
      <c r="E21" s="217" t="s">
        <v>320</v>
      </c>
      <c r="F21" s="215" t="s">
        <v>75</v>
      </c>
      <c r="G21" s="216" t="s">
        <v>12</v>
      </c>
      <c r="H21" s="236" t="s">
        <v>7</v>
      </c>
      <c r="I21" s="222" t="s">
        <v>320</v>
      </c>
      <c r="J21" s="214"/>
      <c r="K21" s="214"/>
      <c r="L21" s="218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75" x14ac:dyDescent="0.25">
      <c r="A22" s="213" t="s">
        <v>170</v>
      </c>
      <c r="B22" s="248"/>
      <c r="C22" s="248"/>
      <c r="D22" s="214"/>
      <c r="E22" s="229" t="s">
        <v>253</v>
      </c>
      <c r="F22" s="226" t="s">
        <v>32</v>
      </c>
      <c r="G22" s="226" t="s">
        <v>32</v>
      </c>
      <c r="H22" s="239" t="s">
        <v>20</v>
      </c>
      <c r="I22" s="215" t="s">
        <v>41</v>
      </c>
      <c r="J22" s="238" t="s">
        <v>83</v>
      </c>
      <c r="K22" s="214"/>
      <c r="L22" s="218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75" x14ac:dyDescent="0.25">
      <c r="A23" s="213" t="s">
        <v>182</v>
      </c>
      <c r="B23" s="248"/>
      <c r="C23" s="248"/>
      <c r="D23" s="214"/>
      <c r="E23" s="214"/>
      <c r="F23" s="214"/>
      <c r="G23" s="214"/>
      <c r="H23" s="214"/>
      <c r="I23" s="214"/>
      <c r="J23" s="214"/>
      <c r="K23" s="239" t="s">
        <v>20</v>
      </c>
      <c r="L23" s="218"/>
      <c r="M23" s="33"/>
    </row>
    <row r="24" spans="1:4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39" t="s">
        <v>20</v>
      </c>
      <c r="L24" s="218"/>
      <c r="M24" s="33"/>
    </row>
    <row r="25" spans="1:42" ht="15.75" x14ac:dyDescent="0.25">
      <c r="A25" s="213" t="s">
        <v>182</v>
      </c>
      <c r="B25" s="248"/>
      <c r="C25" s="248"/>
      <c r="D25" s="214"/>
      <c r="E25" s="214"/>
      <c r="F25" s="214"/>
      <c r="G25" s="214"/>
      <c r="H25" s="214"/>
      <c r="I25" s="214"/>
      <c r="J25" s="214"/>
      <c r="K25" s="239" t="s">
        <v>20</v>
      </c>
      <c r="L25" s="218"/>
      <c r="M25" s="33"/>
    </row>
    <row r="26" spans="1:42" ht="15.75" x14ac:dyDescent="0.25">
      <c r="A26" s="213" t="s">
        <v>182</v>
      </c>
      <c r="B26" s="248"/>
      <c r="C26" s="248"/>
      <c r="D26" s="214"/>
      <c r="E26" s="214"/>
      <c r="F26" s="214"/>
      <c r="G26" s="214"/>
      <c r="H26" s="214"/>
      <c r="I26" s="214"/>
      <c r="J26" s="214"/>
      <c r="K26" s="239" t="s">
        <v>20</v>
      </c>
      <c r="L26" s="218"/>
      <c r="M26" s="33"/>
    </row>
    <row r="27" spans="1:42" ht="15.75" x14ac:dyDescent="0.25">
      <c r="A27" s="213" t="s">
        <v>182</v>
      </c>
      <c r="B27" s="248"/>
      <c r="C27" s="248"/>
      <c r="D27" s="214"/>
      <c r="E27" s="214"/>
      <c r="F27" s="214"/>
      <c r="G27" s="214"/>
      <c r="H27" s="214"/>
      <c r="I27" s="214"/>
      <c r="J27" s="214"/>
      <c r="K27" s="223" t="s">
        <v>339</v>
      </c>
      <c r="L27" s="218"/>
      <c r="M27" s="33"/>
    </row>
    <row r="28" spans="1:42" ht="15.75" x14ac:dyDescent="0.25">
      <c r="A28" s="213" t="s">
        <v>182</v>
      </c>
      <c r="B28" s="248"/>
      <c r="C28" s="248"/>
      <c r="D28" s="214"/>
      <c r="E28" s="214"/>
      <c r="F28" s="214"/>
      <c r="G28" s="214"/>
      <c r="H28" s="214"/>
      <c r="I28" s="214"/>
      <c r="J28" s="214"/>
      <c r="K28" s="226" t="s">
        <v>32</v>
      </c>
      <c r="L28" s="218"/>
      <c r="M28" s="33"/>
    </row>
    <row r="29" spans="1:42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  <row r="30" spans="1:42" ht="15" x14ac:dyDescent="0.2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4" sqref="A4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2025/26 Show Season (final)</v>
      </c>
      <c r="N1" s="67"/>
      <c r="O1" s="67"/>
      <c r="P1" s="67"/>
      <c r="Q1" s="33"/>
    </row>
    <row r="2" spans="1:48" ht="15.75" x14ac:dyDescent="0.25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43" t="s">
        <v>360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5" thickBot="1" x14ac:dyDescent="0.3">
      <c r="A5" s="26" t="str">
        <f>A3</f>
        <v>Friday 01/16/2026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75" x14ac:dyDescent="0.25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75" x14ac:dyDescent="0.25">
      <c r="A7" s="165" t="s">
        <v>352</v>
      </c>
      <c r="B7" s="168"/>
      <c r="C7" s="168"/>
      <c r="D7" s="169" t="s">
        <v>37</v>
      </c>
      <c r="E7" s="170" t="s">
        <v>37</v>
      </c>
      <c r="F7" s="171" t="s">
        <v>83</v>
      </c>
      <c r="G7" s="172" t="s">
        <v>83</v>
      </c>
      <c r="H7" s="172" t="s">
        <v>83</v>
      </c>
      <c r="I7" s="173" t="s">
        <v>339</v>
      </c>
      <c r="J7" s="173" t="s">
        <v>339</v>
      </c>
      <c r="K7" s="174" t="s">
        <v>7</v>
      </c>
      <c r="L7" s="175" t="s">
        <v>7</v>
      </c>
      <c r="M7" s="167"/>
      <c r="N7" s="167"/>
      <c r="O7" s="167"/>
      <c r="P7" s="24"/>
      <c r="Q7" s="33"/>
    </row>
    <row r="8" spans="1:48" ht="15.75" x14ac:dyDescent="0.25">
      <c r="A8" s="165" t="s">
        <v>352</v>
      </c>
      <c r="B8" s="168"/>
      <c r="C8" s="168"/>
      <c r="D8" s="168"/>
      <c r="E8" s="176" t="s">
        <v>253</v>
      </c>
      <c r="F8" s="176" t="s">
        <v>253</v>
      </c>
      <c r="G8" s="177" t="s">
        <v>41</v>
      </c>
      <c r="H8" s="177" t="s">
        <v>41</v>
      </c>
      <c r="I8" s="178" t="s">
        <v>320</v>
      </c>
      <c r="J8" s="179" t="s">
        <v>84</v>
      </c>
      <c r="K8" s="177" t="s">
        <v>75</v>
      </c>
      <c r="L8" s="180" t="s">
        <v>18</v>
      </c>
      <c r="M8" s="181" t="s">
        <v>41</v>
      </c>
      <c r="N8" s="167"/>
      <c r="O8" s="167"/>
      <c r="P8" s="24"/>
      <c r="Q8" s="33"/>
    </row>
    <row r="9" spans="1:48" ht="15.75" x14ac:dyDescent="0.25">
      <c r="A9" s="182" t="s">
        <v>91</v>
      </c>
      <c r="B9" s="183"/>
      <c r="C9" s="183"/>
      <c r="D9" s="183"/>
      <c r="E9" s="183"/>
      <c r="F9" s="183"/>
      <c r="G9" s="184" t="s">
        <v>20</v>
      </c>
      <c r="H9" s="184" t="s">
        <v>20</v>
      </c>
      <c r="I9" s="185" t="s">
        <v>80</v>
      </c>
      <c r="J9" s="185" t="s">
        <v>80</v>
      </c>
      <c r="K9" s="185" t="s">
        <v>80</v>
      </c>
      <c r="L9" s="185" t="s">
        <v>80</v>
      </c>
      <c r="M9" s="186" t="s">
        <v>80</v>
      </c>
      <c r="N9" s="187" t="s">
        <v>80</v>
      </c>
      <c r="O9" s="187" t="s">
        <v>80</v>
      </c>
      <c r="P9" s="24"/>
      <c r="Q9" s="33"/>
    </row>
    <row r="10" spans="1:48" ht="15.75" x14ac:dyDescent="0.25">
      <c r="A10" s="182" t="s">
        <v>163</v>
      </c>
      <c r="B10" s="183"/>
      <c r="C10" s="183"/>
      <c r="D10" s="183"/>
      <c r="E10" s="183"/>
      <c r="F10" s="183"/>
      <c r="G10" s="188" t="s">
        <v>37</v>
      </c>
      <c r="H10" s="188" t="s">
        <v>37</v>
      </c>
      <c r="I10" s="189" t="s">
        <v>37</v>
      </c>
      <c r="J10" s="189" t="s">
        <v>37</v>
      </c>
      <c r="K10" s="190" t="s">
        <v>41</v>
      </c>
      <c r="L10" s="190" t="s">
        <v>41</v>
      </c>
      <c r="M10" s="191" t="s">
        <v>41</v>
      </c>
      <c r="N10" s="181" t="s">
        <v>41</v>
      </c>
      <c r="O10" s="181" t="s">
        <v>41</v>
      </c>
      <c r="P10" s="24"/>
      <c r="Q10" s="33"/>
    </row>
    <row r="11" spans="1:48" ht="15.75" x14ac:dyDescent="0.25">
      <c r="A11" s="192" t="s">
        <v>239</v>
      </c>
      <c r="B11" s="192"/>
      <c r="C11" s="192"/>
      <c r="D11" s="192"/>
      <c r="E11" s="193" t="s">
        <v>20</v>
      </c>
      <c r="F11" s="193" t="s">
        <v>20</v>
      </c>
      <c r="G11" s="194" t="s">
        <v>88</v>
      </c>
      <c r="H11" s="194" t="s">
        <v>88</v>
      </c>
      <c r="I11" s="194" t="s">
        <v>88</v>
      </c>
      <c r="J11" s="194" t="s">
        <v>88</v>
      </c>
      <c r="K11" s="194" t="s">
        <v>88</v>
      </c>
      <c r="L11" s="195" t="s">
        <v>88</v>
      </c>
      <c r="M11" s="195" t="s">
        <v>88</v>
      </c>
      <c r="N11" s="196"/>
      <c r="O11" s="167"/>
      <c r="P11" s="23"/>
      <c r="Q11" s="33"/>
    </row>
    <row r="12" spans="1:48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">
      <c r="A13" s="12"/>
      <c r="B13" s="12"/>
      <c r="C13" s="12"/>
      <c r="D13" s="12"/>
      <c r="E13" s="12"/>
      <c r="F13" s="12"/>
    </row>
    <row r="16" spans="1:48" x14ac:dyDescent="0.2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2025/26 Show Season (final)</v>
      </c>
      <c r="J1" s="31"/>
      <c r="K1" s="31"/>
      <c r="L1" s="33"/>
      <c r="M1" s="33"/>
    </row>
    <row r="2" spans="1:43" ht="15.75" x14ac:dyDescent="0.25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44" t="s">
        <v>361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30" t="str">
        <f>A3</f>
        <v>Saturday 01/17/2026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352</v>
      </c>
      <c r="B6" s="198" t="s">
        <v>32</v>
      </c>
      <c r="C6" s="199" t="s">
        <v>37</v>
      </c>
      <c r="D6" s="199" t="s">
        <v>37</v>
      </c>
      <c r="E6" s="200"/>
      <c r="F6" s="200"/>
      <c r="G6" s="200"/>
      <c r="H6" s="200"/>
      <c r="I6" s="200"/>
      <c r="J6" s="200"/>
      <c r="K6" s="200"/>
      <c r="L6" s="20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352</v>
      </c>
      <c r="B7" s="202" t="s">
        <v>83</v>
      </c>
      <c r="C7" s="199" t="s">
        <v>37</v>
      </c>
      <c r="D7" s="199" t="s">
        <v>37</v>
      </c>
      <c r="E7" s="200"/>
      <c r="F7" s="200"/>
      <c r="G7" s="200"/>
      <c r="H7" s="200"/>
      <c r="I7" s="200"/>
      <c r="J7" s="200"/>
      <c r="K7" s="200"/>
      <c r="L7" s="20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03" t="s">
        <v>172</v>
      </c>
      <c r="B8" s="204" t="s">
        <v>320</v>
      </c>
      <c r="C8" s="205" t="s">
        <v>253</v>
      </c>
      <c r="D8" s="206" t="s">
        <v>41</v>
      </c>
      <c r="E8" s="207"/>
      <c r="F8" s="208"/>
      <c r="G8" s="208"/>
      <c r="H8" s="208"/>
      <c r="I8" s="208"/>
      <c r="J8" s="208"/>
      <c r="K8" s="208"/>
      <c r="L8" s="20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10" t="s">
        <v>41</v>
      </c>
      <c r="C9" s="198" t="s">
        <v>32</v>
      </c>
      <c r="D9" s="211" t="s">
        <v>339</v>
      </c>
      <c r="E9" s="212"/>
      <c r="F9" s="200"/>
      <c r="G9" s="200"/>
      <c r="H9" s="200"/>
      <c r="I9" s="200"/>
      <c r="J9" s="200"/>
      <c r="K9" s="200"/>
      <c r="L9" s="20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176</v>
      </c>
      <c r="B10" s="214"/>
      <c r="C10" s="214"/>
      <c r="D10" s="214"/>
      <c r="E10" s="215" t="s">
        <v>41</v>
      </c>
      <c r="F10" s="215" t="s">
        <v>41</v>
      </c>
      <c r="G10" s="216" t="s">
        <v>12</v>
      </c>
      <c r="H10" s="216" t="s">
        <v>12</v>
      </c>
      <c r="I10" s="217" t="s">
        <v>320</v>
      </c>
      <c r="J10" s="215" t="s">
        <v>75</v>
      </c>
      <c r="K10" s="217" t="s">
        <v>320</v>
      </c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19" t="s">
        <v>34</v>
      </c>
      <c r="C11" s="220" t="s">
        <v>80</v>
      </c>
      <c r="D11" s="220" t="s">
        <v>80</v>
      </c>
      <c r="E11" s="220" t="s">
        <v>80</v>
      </c>
      <c r="F11" s="220" t="s">
        <v>80</v>
      </c>
      <c r="G11" s="220" t="s">
        <v>80</v>
      </c>
      <c r="H11" s="221" t="s">
        <v>84</v>
      </c>
      <c r="I11" s="220" t="s">
        <v>80</v>
      </c>
      <c r="J11" s="220" t="s">
        <v>80</v>
      </c>
      <c r="K11" s="220" t="s">
        <v>80</v>
      </c>
      <c r="L11" s="218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2" t="s">
        <v>320</v>
      </c>
      <c r="C12" s="222" t="s">
        <v>320</v>
      </c>
      <c r="D12" s="217" t="s">
        <v>320</v>
      </c>
      <c r="E12" s="217" t="s">
        <v>320</v>
      </c>
      <c r="F12" s="223" t="s">
        <v>339</v>
      </c>
      <c r="G12" s="199" t="s">
        <v>37</v>
      </c>
      <c r="H12" s="217" t="s">
        <v>320</v>
      </c>
      <c r="I12" s="211" t="s">
        <v>339</v>
      </c>
      <c r="J12" s="224" t="s">
        <v>37</v>
      </c>
      <c r="K12" s="224" t="s">
        <v>37</v>
      </c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65" t="s">
        <v>286</v>
      </c>
      <c r="B13" s="214"/>
      <c r="C13" s="200"/>
      <c r="D13" s="225" t="s">
        <v>218</v>
      </c>
      <c r="E13" s="225" t="s">
        <v>218</v>
      </c>
      <c r="F13" s="218"/>
      <c r="G13" s="218"/>
      <c r="H13" s="218"/>
      <c r="I13" s="218"/>
      <c r="J13" s="218"/>
      <c r="K13" s="218"/>
      <c r="L13" s="218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178</v>
      </c>
      <c r="B14" s="214"/>
      <c r="C14" s="214"/>
      <c r="D14" s="214"/>
      <c r="E14" s="215" t="s">
        <v>41</v>
      </c>
      <c r="F14" s="215" t="s">
        <v>41</v>
      </c>
      <c r="G14" s="226" t="s">
        <v>32</v>
      </c>
      <c r="H14" s="226" t="s">
        <v>32</v>
      </c>
      <c r="I14" s="226" t="s">
        <v>32</v>
      </c>
      <c r="J14" s="215" t="s">
        <v>41</v>
      </c>
      <c r="K14" s="215" t="s">
        <v>41</v>
      </c>
      <c r="L14" s="218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197" t="s">
        <v>178</v>
      </c>
      <c r="B15" s="200"/>
      <c r="C15" s="200"/>
      <c r="D15" s="200"/>
      <c r="E15" s="210" t="s">
        <v>75</v>
      </c>
      <c r="F15" s="210" t="s">
        <v>75</v>
      </c>
      <c r="G15" s="210" t="s">
        <v>41</v>
      </c>
      <c r="H15" s="210" t="s">
        <v>41</v>
      </c>
      <c r="I15" s="202" t="s">
        <v>83</v>
      </c>
      <c r="J15" s="202" t="s">
        <v>83</v>
      </c>
      <c r="K15" s="210" t="s">
        <v>75</v>
      </c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197" t="s">
        <v>178</v>
      </c>
      <c r="B16" s="200"/>
      <c r="C16" s="200"/>
      <c r="D16" s="200"/>
      <c r="E16" s="202" t="s">
        <v>83</v>
      </c>
      <c r="F16" s="227" t="s">
        <v>34</v>
      </c>
      <c r="G16" s="202" t="s">
        <v>83</v>
      </c>
      <c r="H16" s="202" t="s">
        <v>83</v>
      </c>
      <c r="I16" s="212"/>
      <c r="J16" s="212"/>
      <c r="K16" s="200"/>
      <c r="L16" s="20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75" x14ac:dyDescent="0.25">
      <c r="A17" s="197" t="s">
        <v>178</v>
      </c>
      <c r="B17" s="200"/>
      <c r="C17" s="200"/>
      <c r="D17" s="200"/>
      <c r="E17" s="228" t="s">
        <v>88</v>
      </c>
      <c r="F17" s="228" t="s">
        <v>88</v>
      </c>
      <c r="G17" s="228" t="s">
        <v>88</v>
      </c>
      <c r="H17" s="228" t="s">
        <v>88</v>
      </c>
      <c r="I17" s="200"/>
      <c r="J17" s="200"/>
      <c r="K17" s="200"/>
      <c r="L17" s="201"/>
      <c r="M17" s="33"/>
    </row>
    <row r="18" spans="1:14" ht="15.75" x14ac:dyDescent="0.25">
      <c r="A18" s="213" t="s">
        <v>180</v>
      </c>
      <c r="B18" s="214"/>
      <c r="C18" s="214"/>
      <c r="D18" s="214"/>
      <c r="E18" s="229" t="s">
        <v>253</v>
      </c>
      <c r="F18" s="229" t="s">
        <v>253</v>
      </c>
      <c r="G18" s="211" t="s">
        <v>339</v>
      </c>
      <c r="H18" s="230" t="s">
        <v>18</v>
      </c>
      <c r="I18" s="231" t="s">
        <v>20</v>
      </c>
      <c r="J18" s="226" t="s">
        <v>32</v>
      </c>
      <c r="K18" s="226" t="s">
        <v>32</v>
      </c>
      <c r="L18" s="218"/>
      <c r="M18" s="33"/>
    </row>
    <row r="19" spans="1:14" ht="15.75" x14ac:dyDescent="0.25">
      <c r="A19" s="197" t="s">
        <v>180</v>
      </c>
      <c r="B19" s="200"/>
      <c r="C19" s="200"/>
      <c r="D19" s="200"/>
      <c r="E19" s="198" t="s">
        <v>32</v>
      </c>
      <c r="F19" s="198" t="s">
        <v>32</v>
      </c>
      <c r="G19" s="198" t="s">
        <v>32</v>
      </c>
      <c r="H19" s="199" t="s">
        <v>37</v>
      </c>
      <c r="I19" s="199" t="s">
        <v>37</v>
      </c>
      <c r="J19" s="232" t="s">
        <v>18</v>
      </c>
      <c r="K19" s="232" t="s">
        <v>18</v>
      </c>
      <c r="L19" s="201"/>
      <c r="M19" s="33"/>
      <c r="N19" s="12"/>
    </row>
    <row r="20" spans="1:14" ht="15.75" x14ac:dyDescent="0.25">
      <c r="A20" s="197" t="s">
        <v>180</v>
      </c>
      <c r="B20" s="200"/>
      <c r="C20" s="200"/>
      <c r="D20" s="200"/>
      <c r="E20" s="233" t="s">
        <v>16</v>
      </c>
      <c r="F20" s="233" t="s">
        <v>16</v>
      </c>
      <c r="G20" s="228" t="s">
        <v>88</v>
      </c>
      <c r="H20" s="234" t="s">
        <v>7</v>
      </c>
      <c r="I20" s="200"/>
      <c r="J20" s="200"/>
      <c r="K20" s="200"/>
      <c r="L20" s="201"/>
      <c r="M20" s="33"/>
    </row>
    <row r="21" spans="1:14" ht="15.75" x14ac:dyDescent="0.25">
      <c r="A21" s="197" t="s">
        <v>180</v>
      </c>
      <c r="B21" s="200"/>
      <c r="C21" s="200"/>
      <c r="D21" s="200"/>
      <c r="E21" s="235" t="s">
        <v>320</v>
      </c>
      <c r="F21" s="235" t="s">
        <v>320</v>
      </c>
      <c r="G21" s="235" t="s">
        <v>320</v>
      </c>
      <c r="H21" s="235" t="s">
        <v>320</v>
      </c>
      <c r="I21" s="200"/>
      <c r="J21" s="200"/>
      <c r="K21" s="200"/>
      <c r="L21" s="201"/>
      <c r="M21" s="33"/>
    </row>
    <row r="22" spans="1:14" ht="15.75" x14ac:dyDescent="0.25">
      <c r="A22" s="213" t="s">
        <v>166</v>
      </c>
      <c r="B22" s="214"/>
      <c r="C22" s="214"/>
      <c r="D22" s="214"/>
      <c r="E22" s="223" t="s">
        <v>339</v>
      </c>
      <c r="F22" s="236" t="s">
        <v>7</v>
      </c>
      <c r="G22" s="236" t="s">
        <v>7</v>
      </c>
      <c r="H22" s="237" t="s">
        <v>16</v>
      </c>
      <c r="I22" s="237" t="s">
        <v>16</v>
      </c>
      <c r="J22" s="217" t="s">
        <v>320</v>
      </c>
      <c r="K22" s="222" t="s">
        <v>320</v>
      </c>
      <c r="L22" s="218"/>
      <c r="M22" s="33"/>
    </row>
    <row r="23" spans="1:14" ht="15.75" x14ac:dyDescent="0.25">
      <c r="A23" s="213" t="s">
        <v>293</v>
      </c>
      <c r="B23" s="214"/>
      <c r="C23" s="214"/>
      <c r="D23" s="214"/>
      <c r="E23" s="221" t="s">
        <v>84</v>
      </c>
      <c r="F23" s="238" t="s">
        <v>83</v>
      </c>
      <c r="G23" s="239" t="s">
        <v>20</v>
      </c>
      <c r="H23" s="215" t="s">
        <v>75</v>
      </c>
      <c r="I23" s="216" t="s">
        <v>12</v>
      </c>
      <c r="J23" s="216" t="s">
        <v>12</v>
      </c>
      <c r="K23" s="240" t="s">
        <v>83</v>
      </c>
      <c r="L23" s="218"/>
      <c r="M23" s="33"/>
    </row>
    <row r="24" spans="1:14" ht="15.75" x14ac:dyDescent="0.25">
      <c r="A24" s="213" t="s">
        <v>171</v>
      </c>
      <c r="B24" s="214"/>
      <c r="C24" s="214"/>
      <c r="D24" s="214"/>
      <c r="E24" s="222" t="s">
        <v>320</v>
      </c>
      <c r="F24" s="222" t="s">
        <v>320</v>
      </c>
      <c r="G24" s="237" t="s">
        <v>16</v>
      </c>
      <c r="H24" s="215" t="s">
        <v>41</v>
      </c>
      <c r="I24" s="215" t="s">
        <v>41</v>
      </c>
      <c r="J24" s="215" t="s">
        <v>41</v>
      </c>
      <c r="K24" s="241" t="s">
        <v>88</v>
      </c>
      <c r="L24" s="218"/>
      <c r="M24" s="33"/>
    </row>
    <row r="25" spans="1:14" ht="15.75" x14ac:dyDescent="0.25">
      <c r="A25" s="213" t="s">
        <v>168</v>
      </c>
      <c r="B25" s="221" t="s">
        <v>84</v>
      </c>
      <c r="C25" s="221" t="s">
        <v>84</v>
      </c>
      <c r="D25" s="215" t="s">
        <v>75</v>
      </c>
      <c r="E25" s="214"/>
      <c r="F25" s="214"/>
      <c r="G25" s="214"/>
      <c r="H25" s="214"/>
      <c r="I25" s="214"/>
      <c r="J25" s="214"/>
      <c r="K25" s="214"/>
      <c r="L25" s="218"/>
      <c r="M25" s="33"/>
    </row>
    <row r="26" spans="1:14" ht="15.75" x14ac:dyDescent="0.25">
      <c r="A26" s="213" t="s">
        <v>69</v>
      </c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42" t="s">
        <v>32</v>
      </c>
      <c r="M26" s="33"/>
    </row>
    <row r="27" spans="1:14" ht="15.75" x14ac:dyDescent="0.25">
      <c r="A27" s="243" t="s">
        <v>69</v>
      </c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5" t="s">
        <v>32</v>
      </c>
      <c r="M27" s="33"/>
    </row>
    <row r="28" spans="1:14" ht="15.75" x14ac:dyDescent="0.25">
      <c r="A28" s="34" t="s">
        <v>341</v>
      </c>
      <c r="B28" s="200"/>
      <c r="C28" s="200"/>
      <c r="D28" s="200"/>
      <c r="E28" s="246"/>
      <c r="F28" s="246"/>
      <c r="G28" s="246"/>
      <c r="H28" s="246"/>
      <c r="I28" s="246"/>
      <c r="J28" s="246"/>
      <c r="K28" s="246"/>
      <c r="L28" s="214"/>
      <c r="M28" s="33"/>
    </row>
    <row r="29" spans="1:14" x14ac:dyDescent="0.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2025/26 Show Season (final)</v>
      </c>
      <c r="I1" s="31"/>
      <c r="J1" s="31"/>
      <c r="K1" s="31"/>
      <c r="L1" s="33"/>
    </row>
    <row r="2" spans="1:42" ht="15.75" x14ac:dyDescent="0.25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39" t="s">
        <v>362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75" x14ac:dyDescent="0.25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75" x14ac:dyDescent="0.25">
      <c r="A5" s="32" t="str">
        <f>A3</f>
        <v>Sunday 01/18/2026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42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75" x14ac:dyDescent="0.25">
      <c r="A7" s="197" t="s">
        <v>175</v>
      </c>
      <c r="B7" s="34"/>
      <c r="C7" s="34"/>
      <c r="D7" s="202" t="s">
        <v>83</v>
      </c>
      <c r="E7" s="212"/>
      <c r="F7" s="200"/>
      <c r="G7" s="200"/>
      <c r="H7" s="200"/>
      <c r="I7" s="200"/>
      <c r="J7" s="200"/>
      <c r="K7" s="201"/>
      <c r="L7" s="24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75" x14ac:dyDescent="0.25">
      <c r="A8" s="213" t="s">
        <v>177</v>
      </c>
      <c r="B8" s="248"/>
      <c r="C8" s="248"/>
      <c r="D8" s="214"/>
      <c r="E8" s="230" t="s">
        <v>18</v>
      </c>
      <c r="F8" s="215" t="s">
        <v>41</v>
      </c>
      <c r="G8" s="215" t="s">
        <v>41</v>
      </c>
      <c r="H8" s="230" t="s">
        <v>18</v>
      </c>
      <c r="I8" s="238" t="s">
        <v>83</v>
      </c>
      <c r="J8" s="217" t="s">
        <v>320</v>
      </c>
      <c r="K8" s="218"/>
      <c r="L8" s="247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19" t="s">
        <v>34</v>
      </c>
      <c r="G9" s="219" t="s">
        <v>34</v>
      </c>
      <c r="H9" s="216" t="s">
        <v>12</v>
      </c>
      <c r="I9" s="217" t="s">
        <v>320</v>
      </c>
      <c r="J9" s="223" t="s">
        <v>339</v>
      </c>
      <c r="K9" s="218"/>
      <c r="L9" s="247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75" x14ac:dyDescent="0.25">
      <c r="A10" s="213" t="s">
        <v>165</v>
      </c>
      <c r="B10" s="248"/>
      <c r="C10" s="248"/>
      <c r="D10" s="237" t="s">
        <v>16</v>
      </c>
      <c r="E10" s="224" t="s">
        <v>37</v>
      </c>
      <c r="F10" s="238" t="s">
        <v>83</v>
      </c>
      <c r="G10" s="239" t="s">
        <v>20</v>
      </c>
      <c r="H10" s="217" t="s">
        <v>320</v>
      </c>
      <c r="I10" s="224" t="s">
        <v>37</v>
      </c>
      <c r="J10" s="238" t="s">
        <v>83</v>
      </c>
      <c r="K10" s="218"/>
      <c r="L10" s="247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75" x14ac:dyDescent="0.25">
      <c r="A11" s="213" t="s">
        <v>179</v>
      </c>
      <c r="B11" s="248"/>
      <c r="C11" s="248"/>
      <c r="D11" s="214"/>
      <c r="E11" s="229" t="s">
        <v>253</v>
      </c>
      <c r="F11" s="229" t="s">
        <v>253</v>
      </c>
      <c r="G11" s="216" t="s">
        <v>12</v>
      </c>
      <c r="H11" s="216" t="s">
        <v>12</v>
      </c>
      <c r="I11" s="223" t="s">
        <v>339</v>
      </c>
      <c r="J11" s="218"/>
      <c r="K11" s="218"/>
      <c r="L11" s="247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75" x14ac:dyDescent="0.25">
      <c r="A12" s="197" t="s">
        <v>179</v>
      </c>
      <c r="B12" s="34"/>
      <c r="C12" s="34"/>
      <c r="D12" s="200"/>
      <c r="E12" s="235" t="s">
        <v>320</v>
      </c>
      <c r="F12" s="235" t="s">
        <v>320</v>
      </c>
      <c r="G12" s="235" t="s">
        <v>320</v>
      </c>
      <c r="H12" s="235" t="s">
        <v>320</v>
      </c>
      <c r="I12" s="210" t="s">
        <v>75</v>
      </c>
      <c r="J12" s="201"/>
      <c r="K12" s="201"/>
      <c r="L12" s="24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75" x14ac:dyDescent="0.25">
      <c r="A13" s="197" t="s">
        <v>179</v>
      </c>
      <c r="B13" s="34"/>
      <c r="C13" s="34"/>
      <c r="D13" s="200"/>
      <c r="E13" s="200"/>
      <c r="F13" s="200"/>
      <c r="G13" s="226" t="s">
        <v>32</v>
      </c>
      <c r="H13" s="198" t="s">
        <v>32</v>
      </c>
      <c r="I13" s="200"/>
      <c r="J13" s="200"/>
      <c r="K13" s="201"/>
      <c r="L13" s="24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75" x14ac:dyDescent="0.25">
      <c r="A14" s="197" t="s">
        <v>179</v>
      </c>
      <c r="B14" s="34"/>
      <c r="C14" s="34"/>
      <c r="D14" s="200"/>
      <c r="E14" s="200"/>
      <c r="F14" s="200"/>
      <c r="G14" s="249" t="s">
        <v>20</v>
      </c>
      <c r="H14" s="202" t="s">
        <v>83</v>
      </c>
      <c r="I14" s="200"/>
      <c r="J14" s="200"/>
      <c r="K14" s="201"/>
      <c r="L14" s="24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75" x14ac:dyDescent="0.25">
      <c r="A15" s="213" t="s">
        <v>181</v>
      </c>
      <c r="B15" s="248"/>
      <c r="C15" s="248"/>
      <c r="D15" s="214"/>
      <c r="E15" s="223" t="s">
        <v>339</v>
      </c>
      <c r="F15" s="223" t="s">
        <v>339</v>
      </c>
      <c r="G15" s="223" t="s">
        <v>339</v>
      </c>
      <c r="H15" s="215" t="s">
        <v>41</v>
      </c>
      <c r="I15" s="215" t="s">
        <v>41</v>
      </c>
      <c r="J15" s="218"/>
      <c r="K15" s="218"/>
      <c r="L15" s="247"/>
    </row>
    <row r="16" spans="1:42" ht="15.75" x14ac:dyDescent="0.25">
      <c r="A16" s="197" t="s">
        <v>181</v>
      </c>
      <c r="B16" s="34"/>
      <c r="C16" s="34"/>
      <c r="D16" s="200"/>
      <c r="E16" s="228" t="s">
        <v>88</v>
      </c>
      <c r="F16" s="228" t="s">
        <v>88</v>
      </c>
      <c r="G16" s="210" t="s">
        <v>41</v>
      </c>
      <c r="H16" s="228" t="s">
        <v>88</v>
      </c>
      <c r="I16" s="232" t="s">
        <v>18</v>
      </c>
      <c r="J16" s="201"/>
      <c r="K16" s="201"/>
      <c r="L16" s="247"/>
      <c r="N16" s="15"/>
    </row>
    <row r="17" spans="1:12" ht="15.75" x14ac:dyDescent="0.25">
      <c r="A17" s="197" t="s">
        <v>181</v>
      </c>
      <c r="B17" s="34"/>
      <c r="C17" s="34"/>
      <c r="D17" s="200"/>
      <c r="E17" s="200"/>
      <c r="F17" s="200"/>
      <c r="G17" s="227" t="s">
        <v>34</v>
      </c>
      <c r="H17" s="227" t="s">
        <v>34</v>
      </c>
      <c r="I17" s="200"/>
      <c r="J17" s="200"/>
      <c r="K17" s="201"/>
      <c r="L17" s="247"/>
    </row>
    <row r="18" spans="1:12" ht="15.75" x14ac:dyDescent="0.25">
      <c r="A18" s="197" t="s">
        <v>181</v>
      </c>
      <c r="B18" s="34"/>
      <c r="C18" s="34"/>
      <c r="D18" s="200"/>
      <c r="E18" s="200"/>
      <c r="F18" s="200"/>
      <c r="G18" s="228" t="s">
        <v>88</v>
      </c>
      <c r="H18" s="222" t="s">
        <v>320</v>
      </c>
      <c r="I18" s="200"/>
      <c r="J18" s="200"/>
      <c r="K18" s="201"/>
      <c r="L18" s="247"/>
    </row>
    <row r="19" spans="1:12" ht="15.75" x14ac:dyDescent="0.25">
      <c r="A19" s="213" t="s">
        <v>167</v>
      </c>
      <c r="B19" s="248"/>
      <c r="C19" s="248"/>
      <c r="D19" s="214"/>
      <c r="E19" s="226" t="s">
        <v>32</v>
      </c>
      <c r="F19" s="226" t="s">
        <v>32</v>
      </c>
      <c r="G19" s="238" t="s">
        <v>83</v>
      </c>
      <c r="H19" s="221" t="s">
        <v>84</v>
      </c>
      <c r="I19" s="216" t="s">
        <v>12</v>
      </c>
      <c r="J19" s="216" t="s">
        <v>12</v>
      </c>
      <c r="K19" s="218"/>
      <c r="L19" s="247"/>
    </row>
    <row r="20" spans="1:12" ht="15.75" x14ac:dyDescent="0.25">
      <c r="A20" s="213" t="s">
        <v>292</v>
      </c>
      <c r="B20" s="248"/>
      <c r="C20" s="248"/>
      <c r="D20" s="214"/>
      <c r="E20" s="216" t="s">
        <v>12</v>
      </c>
      <c r="F20" s="216" t="s">
        <v>12</v>
      </c>
      <c r="G20" s="215" t="s">
        <v>75</v>
      </c>
      <c r="H20" s="223" t="s">
        <v>339</v>
      </c>
      <c r="I20" s="217" t="s">
        <v>320</v>
      </c>
      <c r="J20" s="218"/>
      <c r="K20" s="218"/>
      <c r="L20" s="34"/>
    </row>
    <row r="21" spans="1:12" ht="15.75" x14ac:dyDescent="0.25">
      <c r="A21" s="213" t="s">
        <v>170</v>
      </c>
      <c r="B21" s="248"/>
      <c r="C21" s="248"/>
      <c r="D21" s="214"/>
      <c r="E21" s="234" t="s">
        <v>7</v>
      </c>
      <c r="F21" s="237" t="s">
        <v>16</v>
      </c>
      <c r="G21" s="237" t="s">
        <v>16</v>
      </c>
      <c r="H21" s="215" t="s">
        <v>41</v>
      </c>
      <c r="I21" s="215" t="s">
        <v>41</v>
      </c>
      <c r="J21" s="226" t="s">
        <v>32</v>
      </c>
      <c r="K21" s="218"/>
      <c r="L21" s="247"/>
    </row>
    <row r="22" spans="1:12" ht="15.75" x14ac:dyDescent="0.25">
      <c r="A22" s="250" t="s">
        <v>342</v>
      </c>
      <c r="B22" s="248"/>
      <c r="C22" s="248"/>
      <c r="D22" s="214"/>
      <c r="E22" s="381"/>
      <c r="F22" s="381"/>
      <c r="G22" s="381"/>
      <c r="H22" s="381"/>
      <c r="I22" s="381"/>
      <c r="J22" s="381"/>
      <c r="K22" s="218"/>
      <c r="L22" s="247"/>
    </row>
    <row r="23" spans="1:12" ht="15.75" x14ac:dyDescent="0.25">
      <c r="A23" s="213" t="s">
        <v>169</v>
      </c>
      <c r="B23" s="248"/>
      <c r="C23" s="248"/>
      <c r="D23" s="223" t="s">
        <v>339</v>
      </c>
      <c r="E23" s="214"/>
      <c r="F23" s="214"/>
      <c r="G23" s="214"/>
      <c r="H23" s="214"/>
      <c r="I23" s="214"/>
      <c r="J23" s="214"/>
      <c r="K23" s="218"/>
      <c r="L23" s="247"/>
    </row>
    <row r="24" spans="1:1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51" t="s">
        <v>339</v>
      </c>
      <c r="L24" s="247"/>
    </row>
    <row r="25" spans="1:12" ht="15.75" x14ac:dyDescent="0.25">
      <c r="A25" s="197" t="s">
        <v>182</v>
      </c>
      <c r="B25" s="34"/>
      <c r="C25" s="34"/>
      <c r="D25" s="200"/>
      <c r="E25" s="200"/>
      <c r="F25" s="200"/>
      <c r="G25" s="214"/>
      <c r="H25" s="214"/>
      <c r="I25" s="200"/>
      <c r="J25" s="200"/>
      <c r="K25" s="252" t="s">
        <v>20</v>
      </c>
      <c r="L25" s="247"/>
    </row>
    <row r="26" spans="1:12" ht="15.75" x14ac:dyDescent="0.25">
      <c r="A26" s="197" t="s">
        <v>182</v>
      </c>
      <c r="B26" s="34"/>
      <c r="C26" s="34"/>
      <c r="D26" s="212"/>
      <c r="E26" s="212"/>
      <c r="F26" s="212"/>
      <c r="G26" s="212"/>
      <c r="H26" s="212"/>
      <c r="I26" s="212"/>
      <c r="J26" s="212"/>
      <c r="K26" s="252" t="s">
        <v>20</v>
      </c>
      <c r="L26" s="247"/>
    </row>
    <row r="27" spans="1:12" ht="15.75" x14ac:dyDescent="0.25">
      <c r="A27" s="197" t="s">
        <v>182</v>
      </c>
      <c r="B27" s="34"/>
      <c r="C27" s="34"/>
      <c r="D27" s="212"/>
      <c r="E27" s="212"/>
      <c r="F27" s="212"/>
      <c r="G27" s="212"/>
      <c r="H27" s="212"/>
      <c r="I27" s="212"/>
      <c r="J27" s="212"/>
      <c r="K27" s="252" t="s">
        <v>20</v>
      </c>
      <c r="L27" s="247"/>
    </row>
    <row r="28" spans="1:12" ht="15.75" x14ac:dyDescent="0.25">
      <c r="A28" s="197" t="s">
        <v>182</v>
      </c>
      <c r="B28" s="34"/>
      <c r="C28" s="34"/>
      <c r="D28" s="212"/>
      <c r="E28" s="212"/>
      <c r="F28" s="212"/>
      <c r="G28" s="212"/>
      <c r="H28" s="212"/>
      <c r="I28" s="212"/>
      <c r="J28" s="212"/>
      <c r="K28" s="252" t="s">
        <v>20</v>
      </c>
      <c r="L28" s="247"/>
    </row>
    <row r="29" spans="1:12" ht="15.75" x14ac:dyDescent="0.25">
      <c r="A29" s="243" t="s">
        <v>182</v>
      </c>
      <c r="B29" s="253"/>
      <c r="C29" s="253"/>
      <c r="D29" s="254"/>
      <c r="E29" s="254"/>
      <c r="F29" s="254"/>
      <c r="G29" s="254"/>
      <c r="H29" s="254"/>
      <c r="I29" s="254"/>
      <c r="J29" s="254"/>
      <c r="K29" s="255" t="s">
        <v>20</v>
      </c>
      <c r="L29" s="247"/>
    </row>
    <row r="30" spans="1:12" x14ac:dyDescent="0.2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</row>
    <row r="31" spans="1:12" ht="15" x14ac:dyDescent="0.2">
      <c r="A31" s="12"/>
      <c r="B31" s="12"/>
      <c r="C31" s="12"/>
    </row>
    <row r="33" spans="12:12" ht="15" x14ac:dyDescent="0.2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4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3"/>
    </row>
    <row r="2" spans="1:26" ht="26.25" customHeight="1" x14ac:dyDescent="0.35">
      <c r="A2" s="154" t="s">
        <v>133</v>
      </c>
      <c r="B2" s="16"/>
      <c r="C2" s="162" t="s">
        <v>18</v>
      </c>
      <c r="D2" s="17"/>
    </row>
    <row r="3" spans="1:26" ht="20.25" customHeight="1" x14ac:dyDescent="0.25">
      <c r="A3" s="20" t="s">
        <v>112</v>
      </c>
      <c r="B3" s="379" t="str">
        <f>VLOOKUP(ClubSumSymbol,ClubList,2,FALSE)</f>
        <v>Trinity River Express</v>
      </c>
      <c r="C3" s="380"/>
      <c r="D3" s="380"/>
      <c r="E3" s="380"/>
      <c r="F3" s="380"/>
      <c r="G3" s="380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45">
        <f>VLOOKUP(ClubSumSymbol,ClubList,8,FALSE)</f>
        <v>0</v>
      </c>
      <c r="C5" s="2"/>
    </row>
    <row r="6" spans="1:26" ht="15.75" x14ac:dyDescent="0.25">
      <c r="H6" s="47" t="s">
        <v>191</v>
      </c>
      <c r="I6" s="122" t="str">
        <f>Issue</f>
        <v>2025/26 Show Season (final)</v>
      </c>
    </row>
    <row r="7" spans="1:26" x14ac:dyDescent="0.2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5" thickBot="1" x14ac:dyDescent="0.25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5" thickBot="1" x14ac:dyDescent="0.25">
      <c r="A16" s="118" t="s">
        <v>347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">
      <c r="A17" s="121" t="s">
        <v>352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121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5" thickBot="1" x14ac:dyDescent="0.25">
      <c r="A19" s="118" t="s">
        <v>348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">
      <c r="A20" s="121" t="s">
        <v>221</v>
      </c>
      <c r="B20" s="121" t="s">
        <v>329</v>
      </c>
      <c r="C20" s="121" t="s">
        <v>329</v>
      </c>
      <c r="D20" s="121" t="s">
        <v>329</v>
      </c>
      <c r="E20" s="121" t="s">
        <v>18</v>
      </c>
      <c r="F20" s="121" t="s">
        <v>18</v>
      </c>
      <c r="G20" s="121" t="s">
        <v>329</v>
      </c>
      <c r="H20" s="121" t="s">
        <v>329</v>
      </c>
      <c r="I20" s="121" t="s">
        <v>329</v>
      </c>
      <c r="J20" s="121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161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5" thickBot="1" x14ac:dyDescent="0.25">
      <c r="A23" s="118" t="s">
        <v>349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121" t="s">
        <v>18</v>
      </c>
      <c r="H24" s="121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161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">
      <c r="A29" s="119"/>
      <c r="B29" s="119"/>
      <c r="C29" s="119"/>
      <c r="D29" s="119"/>
      <c r="E29" s="120" t="s">
        <v>346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5" thickBot="1" x14ac:dyDescent="0.25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5" thickBot="1" x14ac:dyDescent="0.25">
      <c r="A34" s="118" t="s">
        <v>353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">
      <c r="A35" s="121" t="s">
        <v>352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121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5" thickBot="1" x14ac:dyDescent="0.25">
      <c r="A37" s="118" t="s">
        <v>350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121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161" t="s">
        <v>18</v>
      </c>
      <c r="K39" s="161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5" thickBot="1" x14ac:dyDescent="0.25">
      <c r="A41" s="118" t="s">
        <v>351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">
      <c r="A42" s="121" t="s">
        <v>177</v>
      </c>
      <c r="B42" s="121" t="s">
        <v>329</v>
      </c>
      <c r="C42" s="121" t="s">
        <v>329</v>
      </c>
      <c r="D42" s="121" t="s">
        <v>329</v>
      </c>
      <c r="E42" s="121" t="s">
        <v>18</v>
      </c>
      <c r="F42" s="121" t="s">
        <v>329</v>
      </c>
      <c r="G42" s="121" t="s">
        <v>329</v>
      </c>
      <c r="H42" s="121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161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47" customWidth="1"/>
    <col min="2" max="2" width="7.85546875" style="47" customWidth="1"/>
    <col min="3" max="3" width="39.140625" style="50" bestFit="1" customWidth="1"/>
    <col min="4" max="4" width="4.28515625" style="47" customWidth="1"/>
    <col min="5" max="6" width="11.42578125" style="47" customWidth="1"/>
    <col min="7" max="7" width="20" style="47" customWidth="1"/>
    <col min="8" max="8" width="11.42578125" style="47" customWidth="1"/>
    <col min="9" max="9" width="4.28515625" style="47" customWidth="1"/>
    <col min="10" max="16384" width="9.140625" style="47"/>
  </cols>
  <sheetData>
    <row r="1" spans="1:26" s="12" customFormat="1" ht="15" x14ac:dyDescent="0.2">
      <c r="A1" s="155" t="s">
        <v>191</v>
      </c>
      <c r="B1" s="12" t="str">
        <f>Issue</f>
        <v>2025/26 Show Season (final)</v>
      </c>
      <c r="C1" s="51"/>
    </row>
    <row r="2" spans="1:26" x14ac:dyDescent="0.25">
      <c r="H2" s="75"/>
      <c r="I2"/>
    </row>
    <row r="3" spans="1:26" ht="26.25" x14ac:dyDescent="0.4">
      <c r="B3" s="139"/>
      <c r="C3" s="382" t="s">
        <v>259</v>
      </c>
      <c r="D3" s="53"/>
      <c r="E3" s="54" t="str">
        <f>VLOOKUP(SelShowDay,ShowDates,3,FALSE)</f>
        <v>Sunday 9/28/2025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339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5" thickBot="1" x14ac:dyDescent="0.3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95</v>
      </c>
      <c r="C29" s="48" t="s">
        <v>339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99</v>
      </c>
      <c r="C37" s="48" t="s">
        <v>339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5" thickBot="1" x14ac:dyDescent="0.3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95</v>
      </c>
      <c r="C47" s="48" t="s">
        <v>339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5" thickBot="1" x14ac:dyDescent="0.3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5" thickBot="1" x14ac:dyDescent="0.3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339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339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65" customWidth="1"/>
    <col min="3" max="3" width="5.140625" style="65" customWidth="1"/>
    <col min="4" max="26" width="5.140625" customWidth="1"/>
    <col min="27" max="27" width="5.140625" style="65" customWidth="1"/>
    <col min="28" max="28" width="5.140625" customWidth="1"/>
    <col min="29" max="31" width="5.140625" style="65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66" t="s">
        <v>305</v>
      </c>
    </row>
    <row r="5" spans="1:28" ht="65.25" x14ac:dyDescent="0.25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339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">
      <c r="A9" s="132" t="s">
        <v>9</v>
      </c>
      <c r="B9" s="133" t="s">
        <v>340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">
      <c r="A21" s="132" t="s">
        <v>24</v>
      </c>
      <c r="B21" s="133" t="s">
        <v>337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5" thickBot="1" x14ac:dyDescent="0.25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.75" thickBot="1" x14ac:dyDescent="0.3">
      <c r="B46" s="66" t="s">
        <v>302</v>
      </c>
    </row>
    <row r="47" spans="1:28" ht="65.25" x14ac:dyDescent="0.25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339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5" thickBot="1" x14ac:dyDescent="0.25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.75" thickBot="1" x14ac:dyDescent="0.3">
      <c r="B90" s="66" t="s">
        <v>308</v>
      </c>
    </row>
    <row r="91" spans="1:28" ht="65.25" x14ac:dyDescent="0.25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339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">
      <c r="A95" s="132" t="s">
        <v>9</v>
      </c>
      <c r="B95" s="133" t="s">
        <v>340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5" thickBot="1" x14ac:dyDescent="0.25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.75" thickBot="1" x14ac:dyDescent="0.3">
      <c r="B129" s="66" t="s">
        <v>310</v>
      </c>
    </row>
    <row r="130" spans="1:28" ht="65.25" x14ac:dyDescent="0.25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339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5" thickBot="1" x14ac:dyDescent="0.25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5" thickBot="1" x14ac:dyDescent="0.25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2025-08-19T07:10:01Z</cp:lastPrinted>
  <dcterms:created xsi:type="dcterms:W3CDTF">2005-10-16T17:50:13Z</dcterms:created>
  <dcterms:modified xsi:type="dcterms:W3CDTF">2025-08-19T07:10:12Z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